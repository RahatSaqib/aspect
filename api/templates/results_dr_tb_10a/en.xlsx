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ROJECTS_2020\SystemOne\aspect\api\templates\results_dr_tb_10a\"/>
    </mc:Choice>
  </mc:AlternateContent>
  <bookViews>
    <workbookView xWindow="0" yWindow="0" windowWidth="17616" windowHeight="7752"/>
  </bookViews>
  <sheets>
    <sheet name="DR-TB 10A" sheetId="3" r:id="rId1"/>
    <sheet name="DR-TB 10B" sheetId="4" r:id="rId2"/>
    <sheet name="COVID19 Reporting Form" sheetId="6" r:id="rId3"/>
  </sheets>
  <definedNames>
    <definedName name="Bagerhat">'DR-TB 10A'!#REF!</definedName>
    <definedName name="Bandarban">'DR-TB 10A'!#REF!</definedName>
    <definedName name="Barguna">'DR-TB 10A'!#REF!</definedName>
    <definedName name="Barisal">'DR-TB 10A'!#REF!</definedName>
    <definedName name="Barisal_Division">'DR-TB 10A'!#REF!</definedName>
    <definedName name="Bhola">'DR-TB 10A'!#REF!</definedName>
    <definedName name="Bogra">'DR-TB 10A'!#REF!</definedName>
    <definedName name="Brahmanbaria">'DR-TB 10A'!#REF!</definedName>
    <definedName name="Chandpur">'DR-TB 10A'!#REF!</definedName>
    <definedName name="Chattogram">'DR-TB 10A'!#REF!</definedName>
    <definedName name="Chattogram_Division">'DR-TB 10A'!#REF!</definedName>
    <definedName name="Chuadanga">'DR-TB 10A'!#REF!</definedName>
    <definedName name="Comilla">'DR-TB 10A'!#REF!</definedName>
    <definedName name="Coxs_Bazar">'DR-TB 10A'!#REF!</definedName>
    <definedName name="Dhaka">'DR-TB 10A'!#REF!</definedName>
    <definedName name="Dhaka_Division">'DR-TB 10A'!#REF!</definedName>
    <definedName name="Dinajpur">'DR-TB 10A'!#REF!</definedName>
    <definedName name="Faridpur">'DR-TB 10A'!#REF!</definedName>
    <definedName name="Feni">'DR-TB 10A'!#REF!</definedName>
    <definedName name="Gaibandha">'DR-TB 10A'!#REF!</definedName>
    <definedName name="Gazipur">'DR-TB 10A'!#REF!</definedName>
    <definedName name="Gopalganj">'DR-TB 10A'!#REF!</definedName>
    <definedName name="Habiganj">'DR-TB 10A'!#REF!</definedName>
    <definedName name="Jamalpur">'DR-TB 10A'!#REF!</definedName>
    <definedName name="Jessore">'DR-TB 10A'!#REF!</definedName>
    <definedName name="Jhalakathi">'DR-TB 10A'!#REF!</definedName>
    <definedName name="Jhenaidah">'DR-TB 10A'!#REF!</definedName>
    <definedName name="Joypurhat">'DR-TB 10A'!#REF!</definedName>
    <definedName name="Khagrachari">'DR-TB 10A'!#REF!</definedName>
    <definedName name="Khulna">'DR-TB 10A'!#REF!</definedName>
    <definedName name="Khulna_Division">'DR-TB 10A'!#REF!</definedName>
    <definedName name="Kishoreganj">'DR-TB 10A'!#REF!</definedName>
    <definedName name="Kurigram">'DR-TB 10A'!#REF!</definedName>
    <definedName name="Kushtia">'DR-TB 10A'!#REF!</definedName>
    <definedName name="Lalmonirhat">'DR-TB 10A'!#REF!</definedName>
    <definedName name="Laxmipur">'DR-TB 10A'!#REF!</definedName>
    <definedName name="Madaripur">'DR-TB 10A'!#REF!</definedName>
    <definedName name="Magura">'DR-TB 10A'!#REF!</definedName>
    <definedName name="Manikganj">'DR-TB 10A'!#REF!</definedName>
    <definedName name="Meherpur">'DR-TB 10A'!#REF!</definedName>
    <definedName name="Moulvibazar">'DR-TB 10A'!#REF!</definedName>
    <definedName name="Munshiganj">'DR-TB 10A'!#REF!</definedName>
    <definedName name="Mymensingh">'DR-TB 10A'!#REF!</definedName>
    <definedName name="Mymensingh_Division">'DR-TB 10A'!#REF!</definedName>
    <definedName name="Naogaon">'DR-TB 10A'!#REF!</definedName>
    <definedName name="Narail">'DR-TB 10A'!#REF!</definedName>
    <definedName name="Narayanganj">'DR-TB 10A'!#REF!</definedName>
    <definedName name="Narsingdi">'DR-TB 10A'!#REF!</definedName>
    <definedName name="Natore">'DR-TB 10A'!#REF!</definedName>
    <definedName name="Nawabganj">'DR-TB 10A'!#REF!</definedName>
    <definedName name="Netrakona">'DR-TB 10A'!#REF!</definedName>
    <definedName name="Nilphamari">'DR-TB 10A'!#REF!</definedName>
    <definedName name="Noakhali">'DR-TB 10A'!#REF!</definedName>
    <definedName name="Pabna">'DR-TB 10A'!#REF!</definedName>
    <definedName name="Panchagarh">'DR-TB 10A'!#REF!</definedName>
    <definedName name="Patuakhali">'DR-TB 10A'!#REF!</definedName>
    <definedName name="Pirojpur">'DR-TB 10A'!#REF!</definedName>
    <definedName name="_xlnm.Print_Area" localSheetId="0">'DR-TB 10A'!$A$1:$U$49</definedName>
    <definedName name="_xlnm.Print_Area" localSheetId="1">'DR-TB 10B'!$A$1:$O$32</definedName>
    <definedName name="_xlnm.Print_Titles" localSheetId="1">'DR-TB 10B'!$1:$11</definedName>
    <definedName name="Rajbari">'DR-TB 10A'!#REF!</definedName>
    <definedName name="Rajshahi">'DR-TB 10A'!#REF!</definedName>
    <definedName name="Rajshahi_Division">'DR-TB 10A'!#REF!</definedName>
    <definedName name="Rangamati">'DR-TB 10A'!#REF!</definedName>
    <definedName name="Rangpur">'DR-TB 10A'!#REF!</definedName>
    <definedName name="Rangpur_Division">'DR-TB 10A'!#REF!</definedName>
    <definedName name="Satkhira">'DR-TB 10A'!#REF!</definedName>
    <definedName name="Shariatpur">'DR-TB 10A'!#REF!</definedName>
    <definedName name="Sherpur">'DR-TB 10A'!#REF!</definedName>
    <definedName name="Sirajganj">'DR-TB 10A'!#REF!</definedName>
    <definedName name="Sunamganj">'DR-TB 10A'!#REF!</definedName>
    <definedName name="Sylhet">'DR-TB 10A'!#REF!</definedName>
    <definedName name="Sylhet_Division">'DR-TB 10A'!#REF!</definedName>
    <definedName name="Tangail">'DR-TB 10A'!#REF!</definedName>
    <definedName name="Thakurgaon">'DR-TB 10A'!#REF!</definedName>
  </definedNames>
  <calcPr calcId="162913"/>
</workbook>
</file>

<file path=xl/calcChain.xml><?xml version="1.0" encoding="utf-8"?>
<calcChain xmlns="http://schemas.openxmlformats.org/spreadsheetml/2006/main">
  <c r="N6" i="3" l="1"/>
  <c r="N23" i="6"/>
  <c r="N26" i="6"/>
  <c r="N20" i="6"/>
  <c r="O14" i="6"/>
  <c r="L23" i="6"/>
  <c r="L26" i="6"/>
  <c r="L20" i="6"/>
  <c r="J23" i="6"/>
  <c r="J26" i="6"/>
  <c r="J20" i="6"/>
  <c r="E23" i="6"/>
  <c r="E26" i="6"/>
  <c r="E20" i="6"/>
  <c r="R7" i="6"/>
  <c r="L7" i="6"/>
  <c r="C9" i="6"/>
  <c r="C8" i="6"/>
  <c r="C7" i="6"/>
  <c r="P20" i="6" l="1"/>
  <c r="P26" i="6"/>
  <c r="P23" i="6"/>
  <c r="O8" i="4" l="1"/>
  <c r="I8" i="4"/>
  <c r="D8" i="4"/>
  <c r="E43" i="3" l="1"/>
  <c r="E41" i="3"/>
  <c r="E39" i="3"/>
  <c r="D32" i="3"/>
  <c r="D29" i="3"/>
  <c r="D26" i="3"/>
  <c r="F19" i="3"/>
  <c r="R18" i="3"/>
  <c r="K8" i="4" l="1"/>
  <c r="N7" i="6"/>
  <c r="D18" i="3"/>
  <c r="H12" i="3"/>
  <c r="D17" i="3"/>
  <c r="S32" i="3"/>
  <c r="S29" i="3"/>
  <c r="S26" i="3"/>
  <c r="U29" i="3" l="1"/>
  <c r="U26" i="3"/>
  <c r="U32" i="3"/>
  <c r="D20" i="3"/>
  <c r="E18" i="3" l="1"/>
  <c r="H13" i="3"/>
  <c r="E17" i="3"/>
  <c r="F17" i="3" l="1"/>
  <c r="E20" i="3"/>
  <c r="F18" i="3"/>
  <c r="H14" i="3"/>
  <c r="F9" i="4" l="1"/>
  <c r="F20" i="3"/>
</calcChain>
</file>

<file path=xl/sharedStrings.xml><?xml version="1.0" encoding="utf-8"?>
<sst xmlns="http://schemas.openxmlformats.org/spreadsheetml/2006/main" count="192" uniqueCount="141">
  <si>
    <t>Block 1:</t>
  </si>
  <si>
    <t>Number of :</t>
  </si>
  <si>
    <t>Type of Patient</t>
  </si>
  <si>
    <t>Total</t>
  </si>
  <si>
    <t>MTB detected</t>
  </si>
  <si>
    <t>RR TB detected</t>
  </si>
  <si>
    <t>Presumptive DR TB cases</t>
  </si>
  <si>
    <t>N</t>
  </si>
  <si>
    <t>Block 2:</t>
  </si>
  <si>
    <t xml:space="preserve">District : </t>
  </si>
  <si>
    <t>Name of the reporting unit :</t>
  </si>
  <si>
    <t>Date of completion of the form :</t>
  </si>
  <si>
    <t>Cell Number :</t>
  </si>
  <si>
    <t>New:</t>
  </si>
  <si>
    <t>Month</t>
  </si>
  <si>
    <t>Quarter of year</t>
  </si>
  <si>
    <t xml:space="preserve">Reporting period : </t>
  </si>
  <si>
    <t>Type of Patient : Presumptive DR TB Cases</t>
  </si>
  <si>
    <t>Column (1)</t>
  </si>
  <si>
    <t>Column (2)</t>
  </si>
  <si>
    <t>Failures of CAT I (remain positive at month 5 or later/ Smear negative patients become smear positive at month 2)</t>
  </si>
  <si>
    <t>Failures of CAT II (remain positive at month 5 or 8)</t>
  </si>
  <si>
    <t>Non converters of CAT I (remain positive at month 2)</t>
  </si>
  <si>
    <t>Column (3)</t>
  </si>
  <si>
    <t>Non converters of CAT II (remain positive at month 3)</t>
  </si>
  <si>
    <t>Column (4)</t>
  </si>
  <si>
    <t>Relapses (CAT I)</t>
  </si>
  <si>
    <t>Column (5)</t>
  </si>
  <si>
    <t>Relapses (CAT II)</t>
  </si>
  <si>
    <t>Column (6)</t>
  </si>
  <si>
    <t>Treatment after loss to follow up (CAT I)</t>
  </si>
  <si>
    <t>Column (7)</t>
  </si>
  <si>
    <t>Treatment after loss to follow up (CAT II)</t>
  </si>
  <si>
    <t>Column (8)</t>
  </si>
  <si>
    <t>Close contacts of DR TB patient with symptoms</t>
  </si>
  <si>
    <t>Column (9)</t>
  </si>
  <si>
    <t>HIV infected person with TB S/S</t>
  </si>
  <si>
    <t>Column (10)</t>
  </si>
  <si>
    <r>
      <t xml:space="preserve">Others (Specify)*                               </t>
    </r>
    <r>
      <rPr>
        <sz val="6.5"/>
        <color indexed="63"/>
        <rFont val="Arial Narrow"/>
        <family val="2"/>
      </rPr>
      <t>i) Pulmonary clinically diagnosed
ii) Extra Pulmonary
iii) Pulmonary bacteriologically confirmed</t>
    </r>
    <r>
      <rPr>
        <sz val="6"/>
        <color indexed="63"/>
        <rFont val="Arial Narrow"/>
        <family val="2"/>
      </rPr>
      <t xml:space="preserve">
</t>
    </r>
  </si>
  <si>
    <t>Column (11)</t>
  </si>
  <si>
    <t>Unknown history:</t>
  </si>
  <si>
    <t>Block 3:</t>
  </si>
  <si>
    <t>Presumptive Sm. Neg cases tested by Xpert MTB/RIF</t>
  </si>
  <si>
    <t>MTB Detected</t>
  </si>
  <si>
    <t>RR TB Detected</t>
  </si>
  <si>
    <t>Number of Presumptive smear negative TB cases</t>
  </si>
  <si>
    <t>Unknown History</t>
  </si>
  <si>
    <t>New</t>
  </si>
  <si>
    <t>Prev. Treated</t>
  </si>
  <si>
    <t>Prev. treated:</t>
  </si>
  <si>
    <t>*Others (Specify)</t>
  </si>
  <si>
    <t>Un. His.</t>
  </si>
  <si>
    <t>Prev. Tr.</t>
  </si>
  <si>
    <t>i) Pulmonary clinically diagnosed</t>
  </si>
  <si>
    <t>ii) Extra Pulmonary</t>
  </si>
  <si>
    <t>iii) Pulmonary bacteriologically confirmed</t>
  </si>
  <si>
    <t>Un. His. = Unknown History, N = New, Prev. Tr. = Previously Treated</t>
  </si>
  <si>
    <t>Name and disignation of Coordinator/ authority of the center:</t>
  </si>
  <si>
    <t>Organization:</t>
  </si>
  <si>
    <t>Signature:</t>
  </si>
  <si>
    <t>Date:</t>
  </si>
  <si>
    <t xml:space="preserve">Cell number: </t>
  </si>
  <si>
    <t>Results:</t>
  </si>
  <si>
    <t>A) Number of MTB detected, Rif Resistance not detected (T):</t>
  </si>
  <si>
    <t>B) Number of MTB detected, Rif Resistance detected (RR):</t>
  </si>
  <si>
    <t>C) Number of MTB detected, Rif Resistance indeterminate (TI):</t>
  </si>
  <si>
    <t xml:space="preserve">E) Number of invalid / no result / error (I): </t>
  </si>
  <si>
    <t xml:space="preserve">                                                                  National TB Control Programme                                                                      </t>
  </si>
  <si>
    <t>Designation and organization :</t>
  </si>
  <si>
    <t>Name of the person completing the report :</t>
  </si>
  <si>
    <t>Form DR TB 10 A</t>
  </si>
  <si>
    <t xml:space="preserve">                                                 Government of the People's Republic of Bangladesh</t>
  </si>
  <si>
    <t>Monthly Report on Xpert MTB/RIF Results</t>
  </si>
  <si>
    <t>Presumptive DR-TB</t>
  </si>
  <si>
    <t>Number of total Cases Tested</t>
  </si>
  <si>
    <t xml:space="preserve">Signature : </t>
  </si>
  <si>
    <t>Presumptive cases tested by Xpert MTB/RIF</t>
  </si>
  <si>
    <t xml:space="preserve"> Presumptive DR TB Cases(Total)</t>
  </si>
  <si>
    <t>Column (12)</t>
  </si>
  <si>
    <t>Column (13)</t>
  </si>
  <si>
    <t xml:space="preserve">                                                               Programmatic Management of Drug Resistant Tuberculosis (PMDT)</t>
  </si>
  <si>
    <r>
      <rPr>
        <b/>
        <sz val="7"/>
        <color indexed="63"/>
        <rFont val="Arial Narrow"/>
        <family val="2"/>
      </rPr>
      <t xml:space="preserve">Total
</t>
    </r>
    <r>
      <rPr>
        <sz val="6"/>
        <color indexed="63"/>
        <rFont val="Arial Narrow"/>
        <family val="2"/>
      </rPr>
      <t>(Column 1- Column 2)</t>
    </r>
  </si>
  <si>
    <r>
      <t xml:space="preserve">Total
</t>
    </r>
    <r>
      <rPr>
        <sz val="6"/>
        <color indexed="63"/>
        <rFont val="Arial Narrow"/>
        <family val="2"/>
      </rPr>
      <t>(Column 3- Column 13)</t>
    </r>
  </si>
  <si>
    <t>Presumptive  TB</t>
  </si>
  <si>
    <t>Presumptive   TB</t>
  </si>
  <si>
    <t xml:space="preserve"> Presumptive  TB Cases(Total)</t>
  </si>
  <si>
    <t>Type of Patient : Presumptive  TB Cases</t>
  </si>
  <si>
    <t>Division :</t>
  </si>
  <si>
    <t>Government of the People's Republic of Bangladesh</t>
  </si>
  <si>
    <t>National TB Control Program</t>
  </si>
  <si>
    <t>Programmatic Management of Drug Resistant Tuberculosis (PMDT)</t>
  </si>
  <si>
    <t xml:space="preserve">Monthly Report of Enrolment status of Detected </t>
  </si>
  <si>
    <t>Drug Resistant Cases by Xpert MTB/RIF</t>
  </si>
  <si>
    <t>Fill this format as per total RR TB detected cases during the reporting month reported in the form DR TB 10 A</t>
  </si>
  <si>
    <t>Name and address of the reporting Unit:</t>
  </si>
  <si>
    <t>Reporting period:</t>
  </si>
  <si>
    <t xml:space="preserve">Month:  </t>
  </si>
  <si>
    <t>Quarter of year:</t>
  </si>
  <si>
    <t>Sl.              No</t>
  </si>
  <si>
    <t>Name of the                                                                                                                              RR TB patient</t>
  </si>
  <si>
    <t>Age</t>
  </si>
  <si>
    <t>Address and                                        cell number</t>
  </si>
  <si>
    <t>Name and address          of the referring unit                                                and cell number</t>
  </si>
  <si>
    <t>* Type of patient</t>
  </si>
  <si>
    <t>Current and previous (if any)  TB registration number</t>
  </si>
  <si>
    <t>** Result of                         Xpert                     MTB/RIF</t>
  </si>
  <si>
    <t>Name and address of the hospital/ treatment                initiation center            for enrollment of             DR TB treatment</t>
  </si>
  <si>
    <t>*** Current status of the patient</t>
  </si>
  <si>
    <t>Remarks</t>
  </si>
  <si>
    <r>
      <rPr>
        <b/>
        <sz val="9"/>
        <color indexed="63"/>
        <rFont val="Arial Narrow"/>
        <family val="2"/>
      </rPr>
      <t>*Type of patient (Code):</t>
    </r>
    <r>
      <rPr>
        <sz val="9"/>
        <color indexed="63"/>
        <rFont val="Arial Narrow"/>
        <family val="2"/>
      </rPr>
      <t xml:space="preserve"> </t>
    </r>
    <r>
      <rPr>
        <b/>
        <sz val="9"/>
        <color indexed="63"/>
        <rFont val="Arial Narrow"/>
        <family val="2"/>
      </rPr>
      <t>1,</t>
    </r>
    <r>
      <rPr>
        <sz val="9"/>
        <color indexed="63"/>
        <rFont val="Arial Narrow"/>
        <family val="2"/>
      </rPr>
      <t xml:space="preserve"> Failures of Category I (remain positive at month 5 or later and / Smear negative patients become smear positive at month 2); </t>
    </r>
    <r>
      <rPr>
        <b/>
        <sz val="9"/>
        <color indexed="63"/>
        <rFont val="Arial Narrow"/>
        <family val="2"/>
      </rPr>
      <t>2,</t>
    </r>
    <r>
      <rPr>
        <sz val="9"/>
        <color indexed="63"/>
        <rFont val="Arial Narrow"/>
        <family val="2"/>
      </rPr>
      <t xml:space="preserve"> Failures of Category II (remain positive at month 5 or 8); </t>
    </r>
    <r>
      <rPr>
        <b/>
        <sz val="9"/>
        <color indexed="63"/>
        <rFont val="Arial Narrow"/>
        <family val="2"/>
      </rPr>
      <t xml:space="preserve">3, </t>
    </r>
    <r>
      <rPr>
        <sz val="9"/>
        <color indexed="63"/>
        <rFont val="Arial Narrow"/>
        <family val="2"/>
      </rPr>
      <t xml:space="preserve">Non Converters of CAT II (remain positive at month 3); </t>
    </r>
    <r>
      <rPr>
        <b/>
        <sz val="9"/>
        <color indexed="63"/>
        <rFont val="Arial Narrow"/>
        <family val="2"/>
      </rPr>
      <t xml:space="preserve">4, </t>
    </r>
    <r>
      <rPr>
        <sz val="9"/>
        <color indexed="63"/>
        <rFont val="Arial Narrow"/>
        <family val="2"/>
      </rPr>
      <t xml:space="preserve">Non Converters of Category I (remain positive at month 2) ; </t>
    </r>
    <r>
      <rPr>
        <b/>
        <sz val="9"/>
        <color indexed="63"/>
        <rFont val="Arial Narrow"/>
        <family val="2"/>
      </rPr>
      <t>5,</t>
    </r>
    <r>
      <rPr>
        <sz val="9"/>
        <color indexed="63"/>
        <rFont val="Arial Narrow"/>
        <family val="2"/>
      </rPr>
      <t xml:space="preserve"> Relapse - a) Category I, b) Category II; </t>
    </r>
    <r>
      <rPr>
        <b/>
        <sz val="9"/>
        <color indexed="63"/>
        <rFont val="Arial Narrow"/>
        <family val="2"/>
      </rPr>
      <t>6</t>
    </r>
    <r>
      <rPr>
        <sz val="9"/>
        <color indexed="63"/>
        <rFont val="Arial Narrow"/>
        <family val="2"/>
      </rPr>
      <t xml:space="preserve">, Treatment after loss to follow up - a) Category I, b) Category II ; </t>
    </r>
    <r>
      <rPr>
        <b/>
        <sz val="9"/>
        <color indexed="63"/>
        <rFont val="Arial Narrow"/>
        <family val="2"/>
      </rPr>
      <t>7</t>
    </r>
    <r>
      <rPr>
        <sz val="9"/>
        <color indexed="63"/>
        <rFont val="Arial Narrow"/>
        <family val="2"/>
      </rPr>
      <t xml:space="preserve">, Close contacts of DR-TB patient with symptoms, a) Unknown history b) New c) Prev. treated; </t>
    </r>
    <r>
      <rPr>
        <b/>
        <sz val="9"/>
        <color indexed="63"/>
        <rFont val="Arial Narrow"/>
        <family val="2"/>
      </rPr>
      <t>8</t>
    </r>
    <r>
      <rPr>
        <sz val="9"/>
        <color indexed="63"/>
        <rFont val="Arial Narrow"/>
        <family val="2"/>
      </rPr>
      <t xml:space="preserve">,  HIV infected person with TB S/S, a) Unknown history b) New c) Prev. treated; </t>
    </r>
    <r>
      <rPr>
        <b/>
        <sz val="9"/>
        <color indexed="63"/>
        <rFont val="Arial Narrow"/>
        <family val="2"/>
      </rPr>
      <t>9</t>
    </r>
    <r>
      <rPr>
        <sz val="9"/>
        <color indexed="63"/>
        <rFont val="Arial Narrow"/>
        <family val="2"/>
      </rPr>
      <t xml:space="preserve">, Others (Specify) i) Pulmonary, clinically diagnosed, a) Unknown history b) New c) Prev. treated, ii) Extra Pulmonary, a) Unknown history b) New c) Prev. treated, iii) Pulmonary, bacteriologically confirmed, a) Unknown history b) New; </t>
    </r>
    <r>
      <rPr>
        <b/>
        <sz val="9"/>
        <color indexed="63"/>
        <rFont val="Arial Narrow"/>
        <family val="2"/>
      </rPr>
      <t>10,</t>
    </r>
    <r>
      <rPr>
        <sz val="9"/>
        <color indexed="63"/>
        <rFont val="Arial Narrow"/>
        <family val="2"/>
      </rPr>
      <t xml:space="preserve"> Presumptive Pulmonary Smear Negative cases  a) Unknown history b) New c) Prev. treated. </t>
    </r>
  </si>
  <si>
    <t>**Result of Xpert MTB/RIF: T = MTB detected, Rif resistance not detected, RR = MTB detected, Rif resistance detected, TI =  MTB detected, Rif resistance indeterminate, N  = MTB not detected, I = invalid/ no result/ error</t>
  </si>
  <si>
    <t xml:space="preserve">Number of total RR TB detected in the reporting month: </t>
  </si>
  <si>
    <t>Sex
(M/F)</t>
  </si>
  <si>
    <t>Enrollment status                   (Y/N)</t>
  </si>
  <si>
    <t>D) Number of MTB not detected (N):</t>
  </si>
  <si>
    <t>Comments</t>
  </si>
  <si>
    <t>Date of Diagnosis</t>
  </si>
  <si>
    <t>***Example: died(With Date), absconded/Lost to follow up, under treatment etc.</t>
  </si>
  <si>
    <t xml:space="preserve">                                               Directorate General of Health Services</t>
  </si>
  <si>
    <t>Monthly Report on Xpert COVID19 Results</t>
  </si>
  <si>
    <t>Name of the person reporting</t>
  </si>
  <si>
    <t>Cartridge information</t>
  </si>
  <si>
    <t>Cartridges Received</t>
  </si>
  <si>
    <t>Cartridges in Hand</t>
  </si>
  <si>
    <t xml:space="preserve"> Number of invalid / no result / error: </t>
  </si>
  <si>
    <t>COVID19 Test</t>
  </si>
  <si>
    <t>Type of test : New</t>
  </si>
  <si>
    <t xml:space="preserve">Type of Test : Follow up </t>
  </si>
  <si>
    <t>Grand Total</t>
  </si>
  <si>
    <t>Male</t>
  </si>
  <si>
    <t>Female</t>
  </si>
  <si>
    <t>Number Of COVID19 Test</t>
  </si>
  <si>
    <t>Number of COVID 19 Positive Detected</t>
  </si>
  <si>
    <t>Number of COVID 19 Negative Detected</t>
  </si>
  <si>
    <t>Name and designation of Coordinator/ authority :</t>
  </si>
  <si>
    <t>COVID19 Test Reporting Form</t>
  </si>
  <si>
    <t xml:space="preserve">                                                                                       Government of the People's Republic of Bangladesh</t>
  </si>
  <si>
    <t>Number of Gene Xpert Machine:</t>
  </si>
  <si>
    <t>Number of Module Functional:</t>
  </si>
  <si>
    <t>Total Number Of Module:</t>
  </si>
  <si>
    <t>Date Of Enrollment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</si>
</sst>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dd\/mm\/yyyy"/>
    <numFmt numFmtId="165" formatCode="dd/mm/yyyy"/>
    <numFmt numFmtId="166" formatCode="[$-409]General"/>
    <numFmt numFmtId="167" formatCode="[$$-409]#,##0.00;[Red]&quot;-&quot;[$$-409]#,##0.00"/>
  </numFmts>
  <fonts count="60"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charset val="1"/>
    </font>
    <font>
      <sz val="9"/>
      <color indexed="63"/>
      <name val="Arial Narrow"/>
      <family val="2"/>
    </font>
    <font>
      <b/>
      <sz val="11"/>
      <color indexed="63"/>
      <name val="Arial Narrow"/>
      <family val="2"/>
    </font>
    <font>
      <sz val="8"/>
      <color indexed="63"/>
      <name val="Arial Narrow"/>
      <family val="2"/>
    </font>
    <font>
      <sz val="7"/>
      <color indexed="63"/>
      <name val="Arial Narrow"/>
      <family val="2"/>
    </font>
    <font>
      <sz val="10"/>
      <color indexed="8"/>
      <name val="Arial Narrow"/>
      <family val="2"/>
    </font>
    <font>
      <sz val="6"/>
      <color indexed="63"/>
      <name val="Arial Narrow"/>
      <family val="2"/>
    </font>
    <font>
      <sz val="6.5"/>
      <color indexed="63"/>
      <name val="Arial Narrow"/>
      <family val="2"/>
    </font>
    <font>
      <b/>
      <sz val="8"/>
      <color indexed="63"/>
      <name val="Arial Narrow"/>
      <family val="2"/>
    </font>
    <font>
      <b/>
      <sz val="12"/>
      <color indexed="63"/>
      <name val="Arial Narrow"/>
      <family val="2"/>
    </font>
    <font>
      <b/>
      <sz val="10"/>
      <color indexed="63"/>
      <name val="Arial Narrow"/>
      <family val="2"/>
    </font>
    <font>
      <sz val="10"/>
      <color indexed="63"/>
      <name val="Arial Narrow"/>
      <family val="2"/>
    </font>
    <font>
      <sz val="11"/>
      <color indexed="63"/>
      <name val="Arial Narrow"/>
      <family val="2"/>
    </font>
    <font>
      <b/>
      <sz val="11"/>
      <color indexed="8"/>
      <name val="Arial Narrow"/>
      <family val="2"/>
    </font>
    <font>
      <b/>
      <sz val="7"/>
      <color indexed="8"/>
      <name val="Arial Narrow"/>
      <family val="2"/>
    </font>
    <font>
      <sz val="11"/>
      <color theme="1"/>
      <name val="Calibri"/>
      <family val="2"/>
      <scheme val="minor"/>
    </font>
    <font>
      <sz val="11"/>
      <color theme="1"/>
      <name val="Arial Narrow"/>
      <family val="2"/>
    </font>
    <font>
      <sz val="10"/>
      <color theme="1"/>
      <name val="Arial Narrow"/>
      <family val="2"/>
    </font>
    <font>
      <sz val="8"/>
      <color theme="1"/>
      <name val="Arial Narrow"/>
      <family val="2"/>
    </font>
    <font>
      <sz val="7"/>
      <color theme="1"/>
      <name val="Arial Narrow"/>
      <family val="2"/>
    </font>
    <font>
      <b/>
      <sz val="11"/>
      <color theme="1"/>
      <name val="Arial Narrow"/>
      <family val="2"/>
    </font>
    <font>
      <b/>
      <sz val="6"/>
      <color indexed="63"/>
      <name val="Arial Narrow"/>
      <family val="2"/>
    </font>
    <font>
      <b/>
      <sz val="7"/>
      <color indexed="63"/>
      <name val="Arial Narrow"/>
      <family val="2"/>
    </font>
    <font>
      <b/>
      <sz val="8"/>
      <color theme="1"/>
      <name val="Arial Narrow"/>
      <family val="2"/>
    </font>
    <font>
      <b/>
      <sz val="9"/>
      <color indexed="63"/>
      <name val="Arial Narrow"/>
      <family val="2"/>
    </font>
    <font>
      <b/>
      <sz val="6"/>
      <color indexed="8"/>
      <name val="Arial Narrow"/>
      <family val="2"/>
    </font>
    <font>
      <b/>
      <sz val="12"/>
      <color indexed="8"/>
      <name val="Arial Narrow"/>
      <family val="2"/>
    </font>
    <font>
      <b/>
      <sz val="10"/>
      <color indexed="8"/>
      <name val="Arial Narrow"/>
      <family val="2"/>
    </font>
    <font>
      <b/>
      <sz val="10"/>
      <color theme="1"/>
      <name val="Arial Narrow"/>
      <family val="2"/>
    </font>
    <font>
      <sz val="11"/>
      <color rgb="FF000000"/>
      <name val="Calibri"/>
      <family val="2"/>
    </font>
    <font>
      <sz val="12"/>
      <color indexed="8"/>
      <name val="Arial"/>
      <family val="2"/>
    </font>
    <font>
      <sz val="10"/>
      <color indexed="8"/>
      <name val="Arial"/>
      <family val="2"/>
    </font>
    <font>
      <sz val="11"/>
      <color indexed="8"/>
      <name val="Symbol"/>
      <family val="1"/>
      <charset val="2"/>
    </font>
    <font>
      <b/>
      <sz val="10"/>
      <color indexed="8"/>
      <name val="Arial"/>
      <family val="2"/>
    </font>
    <font>
      <b/>
      <sz val="10"/>
      <color indexed="8"/>
      <name val="Calibri"/>
      <family val="2"/>
    </font>
    <font>
      <b/>
      <sz val="11"/>
      <color rgb="FF000000"/>
      <name val="Calibri"/>
      <family val="2"/>
    </font>
    <font>
      <b/>
      <sz val="10"/>
      <name val="Arial Narrow"/>
      <family val="2"/>
    </font>
    <font>
      <b/>
      <sz val="11"/>
      <name val="Arial Narrow"/>
      <family val="2"/>
    </font>
    <font>
      <b/>
      <sz val="12"/>
      <name val="Arial Narrow"/>
      <family val="2"/>
    </font>
    <font>
      <sz val="11"/>
      <name val="Calibri"/>
      <family val="2"/>
    </font>
    <font>
      <sz val="9"/>
      <name val="Calibri"/>
      <family val="2"/>
      <scheme val="minor"/>
    </font>
    <font>
      <sz val="11"/>
      <color theme="1"/>
      <name val="Arial"/>
      <family val="2"/>
    </font>
    <font>
      <sz val="11"/>
      <color theme="1"/>
      <name val="Calibri"/>
      <family val="2"/>
      <charset val="1"/>
      <scheme val="minor"/>
    </font>
    <font>
      <b/>
      <i/>
      <sz val="16"/>
      <color theme="1"/>
      <name val="Arial"/>
      <family val="2"/>
    </font>
    <font>
      <b/>
      <i/>
      <u/>
      <sz val="11"/>
      <color theme="1"/>
      <name val="Arial"/>
      <family val="2"/>
    </font>
    <font>
      <sz val="12"/>
      <color indexed="63"/>
      <name val="Arial Narrow"/>
      <family val="2"/>
    </font>
    <font>
      <sz val="12"/>
      <color theme="1"/>
      <name val="Arial Narrow"/>
      <family val="2"/>
    </font>
    <font>
      <b/>
      <sz val="12"/>
      <color theme="1"/>
      <name val="Arial Narrow"/>
      <family val="2"/>
    </font>
    <font>
      <sz val="12"/>
      <color indexed="8"/>
      <name val="Arial Narrow"/>
      <family val="2"/>
    </font>
    <font>
      <sz val="11"/>
      <color indexed="8"/>
      <name val="Arial Narrow"/>
      <family val="2"/>
    </font>
    <font>
      <sz val="14"/>
      <color indexed="63"/>
      <name val="Arial Narrow"/>
      <family val="2"/>
    </font>
    <font>
      <b/>
      <sz val="14"/>
      <color indexed="63"/>
      <name val="Arial Narrow"/>
      <family val="2"/>
    </font>
    <font>
      <b/>
      <sz val="13"/>
      <color theme="1"/>
      <name val="Arial Narrow"/>
      <family val="2"/>
    </font>
    <font>
      <sz val="13"/>
      <color theme="1"/>
      <name val="Arial Narrow"/>
      <family val="2"/>
    </font>
    <font>
      <sz val="13"/>
      <color indexed="63"/>
      <name val="Arial Narrow"/>
      <family val="2"/>
    </font>
    <font>
      <b/>
      <sz val="13"/>
      <color indexed="8"/>
      <name val="Arial Narrow"/>
      <family val="2"/>
    </font>
  </fonts>
  <fills count="7">
    <fill>
      <patternFill patternType="none"/>
    </fill>
    <fill>
      <patternFill patternType="gray125"/>
    </fill>
    <fill>
      <patternFill patternType="solid">
        <fgColor theme="1" tint="0.499984740745262"/>
        <bgColor indexed="64"/>
      </patternFill>
    </fill>
    <fill>
      <patternFill patternType="solid">
        <fgColor rgb="FFFFFFCC"/>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s>
  <borders count="7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ashed">
        <color indexed="64"/>
      </left>
      <right style="thin">
        <color indexed="64"/>
      </right>
      <top style="dashed">
        <color indexed="64"/>
      </top>
      <bottom style="dashed">
        <color indexed="64"/>
      </bottom>
      <diagonal/>
    </border>
    <border>
      <left style="dashed">
        <color indexed="64"/>
      </left>
      <right style="thin">
        <color indexed="64"/>
      </right>
      <top style="dashed">
        <color indexed="64"/>
      </top>
      <bottom style="medium">
        <color indexed="64"/>
      </bottom>
      <diagonal/>
    </border>
    <border>
      <left/>
      <right/>
      <top style="dashed">
        <color indexed="64"/>
      </top>
      <bottom style="dashed">
        <color indexed="64"/>
      </bottom>
      <diagonal/>
    </border>
    <border>
      <left/>
      <right/>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bottom style="dotted">
        <color auto="1"/>
      </bottom>
      <diagonal/>
    </border>
    <border>
      <left/>
      <right/>
      <top style="dotted">
        <color auto="1"/>
      </top>
      <bottom/>
      <diagonal/>
    </border>
    <border>
      <left/>
      <right/>
      <top style="dotted">
        <color auto="1"/>
      </top>
      <bottom style="dotted">
        <color auto="1"/>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1">
    <xf numFmtId="0" fontId="0" fillId="0" borderId="0"/>
    <xf numFmtId="0" fontId="19" fillId="0" borderId="0"/>
    <xf numFmtId="0" fontId="33" fillId="0" borderId="0"/>
    <xf numFmtId="0" fontId="3" fillId="0" borderId="0"/>
    <xf numFmtId="0" fontId="46" fillId="0" borderId="0"/>
    <xf numFmtId="0" fontId="45" fillId="0" borderId="0"/>
    <xf numFmtId="166" fontId="33" fillId="0" borderId="0"/>
    <xf numFmtId="0" fontId="47" fillId="0" borderId="0">
      <alignment horizontal="center"/>
    </xf>
    <xf numFmtId="0" fontId="47" fillId="0" borderId="0">
      <alignment horizontal="center" textRotation="90"/>
    </xf>
    <xf numFmtId="0" fontId="3" fillId="0" borderId="0"/>
    <xf numFmtId="166" fontId="33" fillId="0" borderId="0"/>
    <xf numFmtId="166" fontId="33" fillId="0" borderId="0"/>
    <xf numFmtId="0" fontId="45" fillId="0" borderId="0"/>
    <xf numFmtId="0" fontId="48" fillId="0" borderId="0"/>
    <xf numFmtId="167" fontId="48" fillId="0" borderId="0"/>
    <xf numFmtId="0" fontId="2" fillId="0" borderId="0"/>
    <xf numFmtId="0" fontId="2" fillId="0" borderId="0"/>
    <xf numFmtId="0" fontId="2" fillId="0" borderId="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318">
    <xf numFmtId="0" fontId="0" fillId="0" borderId="0" xfId="0"/>
    <xf numFmtId="0" fontId="16" fillId="0" borderId="0" xfId="0" applyFont="1" applyAlignment="1" applyProtection="1">
      <alignment vertical="center"/>
      <protection hidden="1"/>
    </xf>
    <xf numFmtId="0" fontId="6" fillId="0" borderId="0" xfId="0" applyFont="1" applyAlignment="1" applyProtection="1">
      <alignment vertical="center"/>
      <protection hidden="1"/>
    </xf>
    <xf numFmtId="0" fontId="20" fillId="0" borderId="0" xfId="0" applyFont="1" applyProtection="1">
      <protection hidden="1"/>
    </xf>
    <xf numFmtId="0" fontId="13" fillId="0" borderId="0" xfId="0" applyFont="1" applyAlignment="1" applyProtection="1">
      <alignment vertical="center"/>
      <protection hidden="1"/>
    </xf>
    <xf numFmtId="0" fontId="15" fillId="0" borderId="0" xfId="0" applyFont="1" applyAlignment="1" applyProtection="1">
      <alignment vertical="center"/>
      <protection hidden="1"/>
    </xf>
    <xf numFmtId="0" fontId="16" fillId="0" borderId="0" xfId="0" applyFont="1" applyAlignment="1" applyProtection="1">
      <alignment horizontal="left" vertical="center"/>
      <protection hidden="1"/>
    </xf>
    <xf numFmtId="0" fontId="21" fillId="0" borderId="0" xfId="0" applyFont="1" applyAlignment="1" applyProtection="1">
      <alignment vertical="center"/>
      <protection hidden="1"/>
    </xf>
    <xf numFmtId="0" fontId="21" fillId="0" borderId="0" xfId="0" applyFont="1" applyAlignment="1" applyProtection="1">
      <alignment horizontal="left" vertical="center"/>
      <protection hidden="1"/>
    </xf>
    <xf numFmtId="0" fontId="15" fillId="0" borderId="0" xfId="0" applyFont="1" applyAlignment="1" applyProtection="1">
      <alignment horizontal="left" vertical="center"/>
      <protection hidden="1"/>
    </xf>
    <xf numFmtId="0" fontId="15" fillId="0" borderId="0" xfId="0" applyFont="1" applyAlignment="1" applyProtection="1">
      <protection hidden="1"/>
    </xf>
    <xf numFmtId="0" fontId="9" fillId="0" borderId="0" xfId="0" applyFont="1" applyProtection="1">
      <protection hidden="1"/>
    </xf>
    <xf numFmtId="0" fontId="14" fillId="0" borderId="1" xfId="0" applyFont="1" applyBorder="1" applyAlignment="1" applyProtection="1">
      <alignment horizontal="left" vertical="center"/>
      <protection hidden="1"/>
    </xf>
    <xf numFmtId="0" fontId="14" fillId="0" borderId="4" xfId="0" applyFont="1" applyBorder="1" applyAlignment="1" applyProtection="1">
      <alignment horizontal="left" vertical="center"/>
      <protection hidden="1"/>
    </xf>
    <xf numFmtId="0" fontId="22" fillId="0" borderId="10" xfId="0" applyFont="1" applyBorder="1" applyAlignment="1" applyProtection="1">
      <alignment vertical="center"/>
      <protection hidden="1"/>
    </xf>
    <xf numFmtId="0" fontId="23" fillId="0" borderId="0" xfId="0" applyFont="1" applyProtection="1">
      <protection hidden="1"/>
    </xf>
    <xf numFmtId="0" fontId="22" fillId="0" borderId="0" xfId="0" applyFont="1" applyProtection="1">
      <protection hidden="1"/>
    </xf>
    <xf numFmtId="0" fontId="22" fillId="0" borderId="0" xfId="0" applyFont="1" applyAlignment="1" applyProtection="1">
      <alignment horizontal="right"/>
      <protection hidden="1"/>
    </xf>
    <xf numFmtId="0" fontId="20" fillId="0" borderId="0" xfId="0" applyFont="1" applyBorder="1" applyAlignment="1" applyProtection="1">
      <alignment vertical="center"/>
      <protection hidden="1"/>
    </xf>
    <xf numFmtId="0" fontId="20" fillId="0" borderId="0" xfId="0" applyFont="1" applyBorder="1" applyProtection="1">
      <protection hidden="1"/>
    </xf>
    <xf numFmtId="0" fontId="8" fillId="0" borderId="10" xfId="0" applyFont="1" applyFill="1" applyBorder="1" applyAlignment="1" applyProtection="1">
      <alignment horizontal="center" vertical="center" wrapText="1"/>
      <protection hidden="1"/>
    </xf>
    <xf numFmtId="0" fontId="28" fillId="0" borderId="41" xfId="0" applyFont="1" applyBorder="1" applyAlignment="1" applyProtection="1">
      <alignment horizontal="center" vertical="center" wrapText="1"/>
      <protection hidden="1"/>
    </xf>
    <xf numFmtId="0" fontId="25" fillId="0" borderId="21" xfId="0" applyFont="1" applyFill="1" applyBorder="1" applyAlignment="1" applyProtection="1">
      <alignment horizontal="center" vertical="center" wrapText="1"/>
      <protection hidden="1"/>
    </xf>
    <xf numFmtId="0" fontId="15" fillId="0" borderId="0" xfId="0" applyFont="1" applyAlignment="1" applyProtection="1">
      <alignment horizontal="left"/>
      <protection hidden="1"/>
    </xf>
    <xf numFmtId="0" fontId="9" fillId="0" borderId="0" xfId="0" applyFont="1" applyBorder="1" applyProtection="1">
      <protection hidden="1"/>
    </xf>
    <xf numFmtId="0" fontId="9" fillId="0" borderId="34" xfId="0" applyFont="1" applyBorder="1" applyProtection="1">
      <protection hidden="1"/>
    </xf>
    <xf numFmtId="0" fontId="17" fillId="0" borderId="0" xfId="0" applyFont="1" applyFill="1" applyBorder="1" applyAlignment="1" applyProtection="1">
      <alignment horizontal="center" vertical="center"/>
      <protection hidden="1"/>
    </xf>
    <xf numFmtId="0" fontId="15" fillId="0" borderId="0" xfId="0" applyFont="1" applyBorder="1" applyAlignment="1" applyProtection="1">
      <alignment horizontal="left"/>
      <protection hidden="1"/>
    </xf>
    <xf numFmtId="0" fontId="15" fillId="0" borderId="2" xfId="0" applyFont="1" applyBorder="1" applyAlignment="1" applyProtection="1">
      <alignment horizontal="left"/>
      <protection hidden="1"/>
    </xf>
    <xf numFmtId="0" fontId="9" fillId="0" borderId="2" xfId="0" applyFont="1" applyBorder="1" applyProtection="1">
      <protection hidden="1"/>
    </xf>
    <xf numFmtId="0" fontId="9" fillId="0" borderId="3" xfId="0" applyFont="1" applyBorder="1" applyProtection="1">
      <protection hidden="1"/>
    </xf>
    <xf numFmtId="0" fontId="9" fillId="0" borderId="5" xfId="0" applyFont="1" applyBorder="1" applyProtection="1">
      <protection hidden="1"/>
    </xf>
    <xf numFmtId="0" fontId="9" fillId="0" borderId="7" xfId="0" applyFont="1" applyBorder="1" applyProtection="1">
      <protection hidden="1"/>
    </xf>
    <xf numFmtId="0" fontId="9" fillId="0" borderId="8" xfId="0" applyFont="1" applyBorder="1" applyProtection="1">
      <protection hidden="1"/>
    </xf>
    <xf numFmtId="0" fontId="15" fillId="0" borderId="6" xfId="0" applyFont="1" applyBorder="1" applyAlignment="1" applyProtection="1">
      <alignment horizontal="left"/>
      <protection hidden="1"/>
    </xf>
    <xf numFmtId="0" fontId="15" fillId="0" borderId="7" xfId="0" applyFont="1" applyBorder="1" applyAlignment="1" applyProtection="1">
      <alignment horizontal="left"/>
      <protection hidden="1"/>
    </xf>
    <xf numFmtId="0" fontId="20" fillId="0" borderId="7" xfId="0" applyFont="1" applyBorder="1" applyProtection="1">
      <protection hidden="1"/>
    </xf>
    <xf numFmtId="0" fontId="8" fillId="0" borderId="0" xfId="0" applyFont="1" applyProtection="1">
      <protection hidden="1"/>
    </xf>
    <xf numFmtId="0" fontId="21" fillId="0" borderId="9" xfId="0" applyFont="1" applyFill="1" applyBorder="1" applyAlignment="1" applyProtection="1">
      <alignment horizontal="center" vertical="center" shrinkToFit="1"/>
      <protection locked="0"/>
    </xf>
    <xf numFmtId="0" fontId="21" fillId="0" borderId="11" xfId="0" applyFont="1" applyFill="1" applyBorder="1" applyAlignment="1" applyProtection="1">
      <alignment horizontal="center" vertical="center" shrinkToFit="1"/>
      <protection locked="0"/>
    </xf>
    <xf numFmtId="0" fontId="21" fillId="0" borderId="12" xfId="0" applyFont="1" applyFill="1" applyBorder="1" applyAlignment="1" applyProtection="1">
      <alignment horizontal="center" vertical="center" shrinkToFit="1"/>
      <protection locked="0"/>
    </xf>
    <xf numFmtId="0" fontId="21" fillId="2" borderId="12" xfId="0" applyFont="1" applyFill="1" applyBorder="1" applyAlignment="1" applyProtection="1">
      <alignment horizontal="center" vertical="center" shrinkToFit="1"/>
      <protection hidden="1"/>
    </xf>
    <xf numFmtId="0" fontId="21" fillId="2" borderId="13" xfId="0" applyFont="1" applyFill="1" applyBorder="1" applyAlignment="1" applyProtection="1">
      <alignment horizontal="center" vertical="center" shrinkToFit="1"/>
      <protection hidden="1"/>
    </xf>
    <xf numFmtId="0" fontId="16" fillId="0" borderId="0" xfId="0" applyFont="1" applyAlignment="1" applyProtection="1">
      <alignment horizontal="center" vertical="center"/>
      <protection hidden="1"/>
    </xf>
    <xf numFmtId="0" fontId="22" fillId="0" borderId="9" xfId="0" applyFont="1" applyBorder="1" applyAlignment="1" applyProtection="1">
      <alignment horizontal="center" vertical="center"/>
      <protection hidden="1"/>
    </xf>
    <xf numFmtId="0" fontId="22" fillId="0" borderId="11" xfId="0" applyFont="1" applyBorder="1" applyAlignment="1" applyProtection="1">
      <alignment horizontal="center" vertical="center"/>
      <protection hidden="1"/>
    </xf>
    <xf numFmtId="0" fontId="8" fillId="0" borderId="9" xfId="0" applyFont="1" applyFill="1" applyBorder="1" applyAlignment="1" applyProtection="1">
      <alignment horizontal="center" vertical="center" wrapText="1"/>
      <protection hidden="1"/>
    </xf>
    <xf numFmtId="0" fontId="24" fillId="0" borderId="0" xfId="0" applyFont="1" applyFill="1" applyBorder="1" applyAlignment="1" applyProtection="1">
      <alignment horizontal="center" vertical="center"/>
      <protection hidden="1"/>
    </xf>
    <xf numFmtId="0" fontId="22" fillId="0" borderId="0" xfId="0" applyFont="1" applyBorder="1" applyAlignment="1" applyProtection="1">
      <alignment horizontal="center" vertical="center" wrapText="1"/>
      <protection hidden="1"/>
    </xf>
    <xf numFmtId="0" fontId="15" fillId="0" borderId="14" xfId="0" applyFont="1" applyFill="1" applyBorder="1" applyAlignment="1" applyProtection="1">
      <alignment horizontal="center" vertical="center" wrapText="1"/>
      <protection locked="0"/>
    </xf>
    <xf numFmtId="0" fontId="15" fillId="0" borderId="15" xfId="0" applyFont="1" applyFill="1" applyBorder="1" applyAlignment="1" applyProtection="1">
      <alignment horizontal="center" vertical="center" wrapText="1"/>
      <protection locked="0"/>
    </xf>
    <xf numFmtId="0" fontId="14" fillId="0" borderId="9" xfId="0" applyFont="1" applyFill="1" applyBorder="1" applyAlignment="1" applyProtection="1">
      <alignment horizontal="center" vertical="center"/>
      <protection locked="0"/>
    </xf>
    <xf numFmtId="0" fontId="8" fillId="0" borderId="23" xfId="0" applyFont="1" applyBorder="1" applyAlignment="1" applyProtection="1">
      <alignment horizontal="center" vertical="center" wrapText="1"/>
      <protection hidden="1"/>
    </xf>
    <xf numFmtId="0" fontId="8" fillId="0" borderId="12" xfId="0" applyFont="1" applyBorder="1" applyAlignment="1" applyProtection="1">
      <alignment horizontal="center" vertical="center" wrapText="1"/>
      <protection hidden="1"/>
    </xf>
    <xf numFmtId="0" fontId="15" fillId="0" borderId="67" xfId="0" applyFont="1" applyFill="1" applyBorder="1" applyAlignment="1" applyProtection="1">
      <alignment horizontal="center" vertical="center" wrapText="1"/>
      <protection locked="0"/>
    </xf>
    <xf numFmtId="0" fontId="26" fillId="0" borderId="22" xfId="0" applyFont="1" applyFill="1" applyBorder="1" applyAlignment="1" applyProtection="1">
      <alignment horizontal="center" vertical="center" wrapText="1"/>
      <protection hidden="1"/>
    </xf>
    <xf numFmtId="0" fontId="9" fillId="0" borderId="23" xfId="0" applyFont="1" applyFill="1" applyBorder="1" applyAlignment="1" applyProtection="1">
      <alignment horizontal="center" vertical="center" shrinkToFit="1"/>
      <protection locked="0"/>
    </xf>
    <xf numFmtId="0" fontId="9" fillId="0" borderId="12" xfId="0" applyFont="1" applyFill="1" applyBorder="1" applyAlignment="1" applyProtection="1">
      <alignment horizontal="center" vertical="center" shrinkToFit="1"/>
      <protection locked="0"/>
    </xf>
    <xf numFmtId="0" fontId="29" fillId="0" borderId="22" xfId="0" applyFont="1" applyBorder="1" applyAlignment="1" applyProtection="1">
      <alignment horizontal="center" vertical="center"/>
      <protection hidden="1"/>
    </xf>
    <xf numFmtId="0" fontId="32" fillId="0" borderId="9"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0" borderId="55" xfId="0" applyFont="1" applyBorder="1" applyAlignment="1" applyProtection="1">
      <alignment horizontal="center" vertical="center"/>
      <protection locked="0"/>
    </xf>
    <xf numFmtId="0" fontId="21" fillId="0" borderId="0" xfId="0" applyFont="1" applyAlignment="1" applyProtection="1">
      <alignment horizontal="center" vertical="center"/>
      <protection hidden="1"/>
    </xf>
    <xf numFmtId="164" fontId="6" fillId="0" borderId="57" xfId="0" applyNumberFormat="1" applyFont="1" applyFill="1" applyBorder="1" applyAlignment="1" applyProtection="1">
      <alignment horizontal="center" vertical="center"/>
      <protection hidden="1"/>
    </xf>
    <xf numFmtId="0" fontId="15" fillId="0" borderId="57" xfId="0" applyFont="1" applyBorder="1" applyAlignment="1" applyProtection="1">
      <alignment vertical="center"/>
      <protection hidden="1"/>
    </xf>
    <xf numFmtId="0" fontId="0" fillId="0" borderId="0" xfId="0" applyProtection="1">
      <protection hidden="1"/>
    </xf>
    <xf numFmtId="0" fontId="24" fillId="0" borderId="56" xfId="0" applyFont="1" applyFill="1" applyBorder="1" applyAlignment="1" applyProtection="1">
      <alignment horizontal="center" shrinkToFit="1"/>
      <protection locked="0"/>
    </xf>
    <xf numFmtId="0" fontId="17" fillId="3" borderId="22" xfId="0" applyFont="1" applyFill="1" applyBorder="1" applyAlignment="1" applyProtection="1">
      <alignment horizontal="center" vertical="center"/>
    </xf>
    <xf numFmtId="0" fontId="17" fillId="3" borderId="11" xfId="0" applyFont="1" applyFill="1" applyBorder="1" applyAlignment="1" applyProtection="1">
      <alignment horizontal="center" vertical="center"/>
    </xf>
    <xf numFmtId="0" fontId="30" fillId="3" borderId="13" xfId="0" applyFont="1" applyFill="1" applyBorder="1" applyAlignment="1" applyProtection="1">
      <alignment horizontal="center" vertical="center"/>
    </xf>
    <xf numFmtId="0" fontId="31" fillId="3" borderId="9" xfId="0" applyFont="1" applyFill="1" applyBorder="1" applyAlignment="1" applyProtection="1">
      <alignment horizontal="center" vertical="center"/>
    </xf>
    <xf numFmtId="0" fontId="30" fillId="3" borderId="11" xfId="0" applyFont="1" applyFill="1" applyBorder="1" applyAlignment="1" applyProtection="1">
      <alignment horizontal="center" vertical="center"/>
    </xf>
    <xf numFmtId="0" fontId="14" fillId="3" borderId="9" xfId="0" applyFont="1" applyFill="1" applyBorder="1" applyAlignment="1" applyProtection="1">
      <alignment horizontal="center" vertical="center"/>
    </xf>
    <xf numFmtId="0" fontId="32" fillId="3" borderId="9" xfId="0" applyFont="1" applyFill="1" applyBorder="1" applyAlignment="1" applyProtection="1">
      <alignment horizontal="center" vertical="center"/>
    </xf>
    <xf numFmtId="0" fontId="14" fillId="3" borderId="12" xfId="0" applyFont="1" applyFill="1" applyBorder="1" applyAlignment="1" applyProtection="1">
      <alignment horizontal="center" vertical="center"/>
    </xf>
    <xf numFmtId="0" fontId="32" fillId="3" borderId="12" xfId="0" applyFont="1" applyFill="1" applyBorder="1" applyAlignment="1" applyProtection="1">
      <alignment horizontal="center" vertical="center"/>
    </xf>
    <xf numFmtId="0" fontId="34" fillId="0" borderId="0" xfId="2" applyFont="1" applyAlignment="1" applyProtection="1">
      <protection hidden="1"/>
    </xf>
    <xf numFmtId="0" fontId="33" fillId="0" borderId="0" xfId="2" applyProtection="1">
      <protection hidden="1"/>
    </xf>
    <xf numFmtId="0" fontId="35" fillId="0" borderId="0" xfId="2" applyFont="1" applyAlignment="1" applyProtection="1">
      <protection hidden="1"/>
    </xf>
    <xf numFmtId="0" fontId="33" fillId="0" borderId="0" xfId="2" applyAlignment="1" applyProtection="1">
      <alignment horizontal="right"/>
      <protection hidden="1"/>
    </xf>
    <xf numFmtId="0" fontId="36" fillId="0" borderId="0" xfId="2" applyFont="1" applyProtection="1">
      <protection hidden="1"/>
    </xf>
    <xf numFmtId="0" fontId="28" fillId="0" borderId="0" xfId="2" applyFont="1" applyAlignment="1" applyProtection="1">
      <alignment horizontal="left"/>
      <protection hidden="1"/>
    </xf>
    <xf numFmtId="0" fontId="15" fillId="0" borderId="0" xfId="2" applyFont="1" applyAlignment="1" applyProtection="1">
      <alignment horizontal="left" vertical="center"/>
      <protection hidden="1"/>
    </xf>
    <xf numFmtId="0" fontId="28" fillId="0" borderId="0" xfId="2" applyFont="1" applyAlignment="1" applyProtection="1">
      <protection hidden="1"/>
    </xf>
    <xf numFmtId="0" fontId="15" fillId="0" borderId="0" xfId="2" applyFont="1" applyAlignment="1" applyProtection="1">
      <alignment vertical="center"/>
      <protection hidden="1"/>
    </xf>
    <xf numFmtId="0" fontId="33" fillId="0" borderId="0" xfId="2" applyBorder="1" applyProtection="1">
      <protection hidden="1"/>
    </xf>
    <xf numFmtId="0" fontId="35" fillId="0" borderId="0" xfId="2" applyFont="1" applyAlignment="1" applyProtection="1">
      <alignment vertical="center"/>
      <protection hidden="1"/>
    </xf>
    <xf numFmtId="0" fontId="33" fillId="0" borderId="0" xfId="2" applyAlignment="1" applyProtection="1">
      <alignment horizontal="left" indent="3"/>
      <protection hidden="1"/>
    </xf>
    <xf numFmtId="0" fontId="37" fillId="0" borderId="9" xfId="2" applyFont="1" applyBorder="1" applyAlignment="1" applyProtection="1">
      <alignment horizontal="center" vertical="center" wrapText="1"/>
      <protection hidden="1"/>
    </xf>
    <xf numFmtId="0" fontId="38" fillId="0" borderId="9" xfId="2" applyFont="1" applyBorder="1" applyAlignment="1" applyProtection="1">
      <alignment horizontal="center" vertical="center" wrapText="1"/>
      <protection hidden="1"/>
    </xf>
    <xf numFmtId="0" fontId="9" fillId="0" borderId="0" xfId="2" applyFont="1" applyAlignment="1" applyProtection="1">
      <protection hidden="1"/>
    </xf>
    <xf numFmtId="0" fontId="39" fillId="0" borderId="0" xfId="2" applyFont="1" applyAlignment="1" applyProtection="1">
      <alignment horizontal="left"/>
      <protection hidden="1"/>
    </xf>
    <xf numFmtId="0" fontId="40" fillId="0" borderId="56" xfId="2" applyFont="1" applyBorder="1" applyAlignment="1" applyProtection="1">
      <alignment horizontal="center" vertical="center" shrinkToFit="1"/>
      <protection hidden="1"/>
    </xf>
    <xf numFmtId="0" fontId="41" fillId="0" borderId="56" xfId="2" applyFont="1" applyBorder="1" applyAlignment="1" applyProtection="1">
      <alignment horizontal="center" vertical="center"/>
      <protection hidden="1"/>
    </xf>
    <xf numFmtId="0" fontId="42" fillId="0" borderId="56" xfId="2" applyFont="1" applyBorder="1" applyAlignment="1" applyProtection="1">
      <alignment horizontal="center" vertical="center"/>
      <protection hidden="1"/>
    </xf>
    <xf numFmtId="0" fontId="43" fillId="0" borderId="9" xfId="2" applyFont="1" applyBorder="1" applyAlignment="1" applyProtection="1">
      <alignment horizontal="left" vertical="center" wrapText="1"/>
      <protection locked="0"/>
    </xf>
    <xf numFmtId="0" fontId="43" fillId="0" borderId="9" xfId="2" applyFont="1" applyBorder="1" applyAlignment="1" applyProtection="1">
      <alignment horizontal="center" vertical="center" wrapText="1"/>
      <protection locked="0"/>
    </xf>
    <xf numFmtId="0" fontId="44" fillId="0" borderId="9" xfId="2" applyFont="1" applyBorder="1" applyAlignment="1" applyProtection="1">
      <alignment horizontal="center" vertical="center" wrapText="1"/>
      <protection locked="0"/>
    </xf>
    <xf numFmtId="0" fontId="43" fillId="4" borderId="9" xfId="2" applyFont="1" applyFill="1" applyBorder="1" applyAlignment="1" applyProtection="1">
      <alignment horizontal="center" vertical="center" wrapText="1"/>
      <protection locked="0"/>
    </xf>
    <xf numFmtId="0" fontId="33" fillId="0" borderId="0" xfId="2" applyAlignment="1" applyProtection="1">
      <alignment vertical="top"/>
      <protection locked="0"/>
    </xf>
    <xf numFmtId="0" fontId="27" fillId="0" borderId="10" xfId="0" applyFont="1" applyBorder="1" applyAlignment="1" applyProtection="1">
      <alignment horizontal="center" vertical="center" wrapText="1"/>
      <protection hidden="1"/>
    </xf>
    <xf numFmtId="0" fontId="0" fillId="0" borderId="0" xfId="0"/>
    <xf numFmtId="164" fontId="13" fillId="0" borderId="57" xfId="0" applyNumberFormat="1" applyFont="1" applyFill="1" applyBorder="1" applyAlignment="1" applyProtection="1">
      <alignment horizontal="center" vertical="center"/>
      <protection hidden="1"/>
    </xf>
    <xf numFmtId="0" fontId="13" fillId="0" borderId="0" xfId="0" applyFont="1" applyFill="1" applyAlignment="1" applyProtection="1">
      <alignment vertical="center"/>
      <protection hidden="1"/>
    </xf>
    <xf numFmtId="0" fontId="49" fillId="0" borderId="0" xfId="0" applyFont="1" applyFill="1" applyAlignment="1" applyProtection="1">
      <alignment vertical="center"/>
      <protection hidden="1"/>
    </xf>
    <xf numFmtId="0" fontId="50" fillId="0" borderId="0" xfId="0" applyFont="1" applyFill="1" applyProtection="1">
      <protection hidden="1"/>
    </xf>
    <xf numFmtId="0" fontId="50" fillId="0" borderId="0" xfId="0" applyFont="1" applyFill="1" applyBorder="1" applyProtection="1">
      <protection hidden="1"/>
    </xf>
    <xf numFmtId="0" fontId="50" fillId="0" borderId="0" xfId="0" applyFont="1" applyFill="1" applyAlignment="1" applyProtection="1">
      <alignment vertical="center"/>
      <protection hidden="1"/>
    </xf>
    <xf numFmtId="0" fontId="50" fillId="0" borderId="0" xfId="0" applyFont="1" applyFill="1" applyAlignment="1" applyProtection="1">
      <alignment horizontal="center" vertical="center"/>
      <protection hidden="1"/>
    </xf>
    <xf numFmtId="0" fontId="50" fillId="0" borderId="0" xfId="0" applyFont="1" applyFill="1" applyAlignment="1" applyProtection="1">
      <alignment horizontal="left" vertical="center"/>
      <protection hidden="1"/>
    </xf>
    <xf numFmtId="0" fontId="49" fillId="0" borderId="0" xfId="0" applyFont="1" applyFill="1" applyAlignment="1" applyProtection="1">
      <alignment horizontal="left" vertical="center"/>
      <protection hidden="1"/>
    </xf>
    <xf numFmtId="0" fontId="49" fillId="0" borderId="57" xfId="0" applyFont="1" applyFill="1" applyBorder="1" applyAlignment="1" applyProtection="1">
      <alignment vertical="center"/>
      <protection hidden="1"/>
    </xf>
    <xf numFmtId="0" fontId="49" fillId="0" borderId="0" xfId="0" applyFont="1" applyFill="1" applyAlignment="1" applyProtection="1">
      <protection hidden="1"/>
    </xf>
    <xf numFmtId="0" fontId="52" fillId="0" borderId="0" xfId="0" applyFont="1" applyFill="1" applyProtection="1">
      <protection hidden="1"/>
    </xf>
    <xf numFmtId="0" fontId="49" fillId="0" borderId="0" xfId="0" applyFont="1" applyFill="1" applyAlignment="1" applyProtection="1">
      <alignment horizontal="left"/>
      <protection hidden="1"/>
    </xf>
    <xf numFmtId="0" fontId="52" fillId="0" borderId="0" xfId="0" applyFont="1" applyFill="1" applyBorder="1" applyProtection="1">
      <protection hidden="1"/>
    </xf>
    <xf numFmtId="0" fontId="49" fillId="0" borderId="4" xfId="0" applyFont="1" applyFill="1" applyBorder="1" applyAlignment="1" applyProtection="1">
      <alignment horizontal="left"/>
      <protection hidden="1"/>
    </xf>
    <xf numFmtId="0" fontId="49" fillId="0" borderId="0" xfId="0" applyFont="1" applyFill="1" applyBorder="1" applyAlignment="1" applyProtection="1">
      <alignment horizontal="left"/>
      <protection hidden="1"/>
    </xf>
    <xf numFmtId="0" fontId="52" fillId="0" borderId="5" xfId="0" applyFont="1" applyFill="1" applyBorder="1" applyProtection="1">
      <protection hidden="1"/>
    </xf>
    <xf numFmtId="0" fontId="50" fillId="0" borderId="0" xfId="0" applyFont="1" applyFill="1" applyAlignment="1" applyProtection="1">
      <alignment horizontal="right"/>
      <protection hidden="1"/>
    </xf>
    <xf numFmtId="0" fontId="50" fillId="0" borderId="0" xfId="0" applyFont="1" applyFill="1" applyBorder="1" applyAlignment="1" applyProtection="1">
      <alignment horizontal="center" vertical="center" wrapText="1"/>
      <protection hidden="1"/>
    </xf>
    <xf numFmtId="0" fontId="50" fillId="0" borderId="0" xfId="0" applyFont="1" applyFill="1" applyBorder="1" applyAlignment="1" applyProtection="1">
      <alignment horizontal="center" vertical="center"/>
      <protection hidden="1"/>
    </xf>
    <xf numFmtId="0" fontId="51" fillId="0" borderId="0" xfId="0" applyFont="1" applyFill="1" applyBorder="1" applyAlignment="1" applyProtection="1">
      <alignment horizontal="center" vertical="center"/>
      <protection hidden="1"/>
    </xf>
    <xf numFmtId="0" fontId="6" fillId="0" borderId="0" xfId="0" applyFont="1" applyFill="1" applyAlignment="1" applyProtection="1">
      <alignment vertical="center" wrapText="1"/>
      <protection hidden="1"/>
    </xf>
    <xf numFmtId="0" fontId="6" fillId="0" borderId="0" xfId="0" applyFont="1" applyFill="1" applyAlignment="1" applyProtection="1">
      <alignment vertical="center"/>
      <protection hidden="1"/>
    </xf>
    <xf numFmtId="0" fontId="49" fillId="0" borderId="0" xfId="0" applyFont="1" applyFill="1" applyBorder="1" applyAlignment="1" applyProtection="1">
      <alignment horizontal="center" vertical="center" wrapText="1"/>
      <protection hidden="1"/>
    </xf>
    <xf numFmtId="0" fontId="50" fillId="0" borderId="0" xfId="0" applyFont="1" applyFill="1" applyBorder="1" applyAlignment="1" applyProtection="1">
      <alignment vertical="center" wrapText="1"/>
      <protection hidden="1"/>
    </xf>
    <xf numFmtId="0" fontId="50" fillId="0" borderId="0" xfId="0" applyFont="1" applyFill="1" applyBorder="1" applyAlignment="1" applyProtection="1">
      <alignment vertical="center"/>
      <protection hidden="1"/>
    </xf>
    <xf numFmtId="0" fontId="51" fillId="0" borderId="0" xfId="0" applyFont="1" applyFill="1" applyBorder="1" applyAlignment="1" applyProtection="1">
      <alignment vertical="center"/>
      <protection hidden="1"/>
    </xf>
    <xf numFmtId="0" fontId="51" fillId="0" borderId="0" xfId="0" applyFont="1" applyFill="1" applyBorder="1" applyAlignment="1" applyProtection="1">
      <alignment vertical="center" wrapText="1"/>
      <protection hidden="1"/>
    </xf>
    <xf numFmtId="0" fontId="54" fillId="0" borderId="0" xfId="0" applyFont="1" applyFill="1" applyAlignment="1" applyProtection="1">
      <alignment vertical="center"/>
      <protection hidden="1"/>
    </xf>
    <xf numFmtId="0" fontId="54" fillId="0" borderId="0" xfId="0" applyFont="1" applyFill="1" applyAlignment="1" applyProtection="1">
      <alignment horizontal="center" vertical="center"/>
      <protection hidden="1"/>
    </xf>
    <xf numFmtId="0" fontId="49" fillId="0" borderId="0" xfId="0" applyFont="1" applyFill="1" applyBorder="1" applyAlignment="1" applyProtection="1">
      <alignment horizontal="left" shrinkToFit="1"/>
      <protection hidden="1"/>
    </xf>
    <xf numFmtId="49" fontId="30" fillId="0" borderId="0" xfId="0" applyNumberFormat="1" applyFont="1" applyFill="1" applyBorder="1" applyAlignment="1" applyProtection="1">
      <alignment horizontal="left" shrinkToFit="1"/>
      <protection hidden="1"/>
    </xf>
    <xf numFmtId="0" fontId="30" fillId="0" borderId="0" xfId="0" applyFont="1" applyFill="1" applyBorder="1" applyAlignment="1" applyProtection="1">
      <alignment horizontal="center" vertical="center" wrapText="1"/>
      <protection hidden="1"/>
    </xf>
    <xf numFmtId="0" fontId="52" fillId="0" borderId="0" xfId="0" applyFont="1" applyFill="1" applyBorder="1" applyAlignment="1" applyProtection="1">
      <alignment horizontal="center" vertical="center" wrapText="1"/>
      <protection hidden="1"/>
    </xf>
    <xf numFmtId="0" fontId="53" fillId="0" borderId="29" xfId="0" applyFont="1" applyFill="1" applyBorder="1" applyAlignment="1" applyProtection="1">
      <alignment horizontal="center" vertical="center" shrinkToFit="1"/>
      <protection locked="0" hidden="1"/>
    </xf>
    <xf numFmtId="0" fontId="53" fillId="0" borderId="12" xfId="0" applyFont="1" applyFill="1" applyBorder="1" applyAlignment="1" applyProtection="1">
      <alignment horizontal="center" vertical="center" shrinkToFit="1"/>
      <protection locked="0" hidden="1"/>
    </xf>
    <xf numFmtId="0" fontId="53" fillId="0" borderId="55" xfId="0" applyFont="1" applyFill="1" applyBorder="1" applyAlignment="1" applyProtection="1">
      <alignment horizontal="center" vertical="center" shrinkToFit="1"/>
      <protection locked="0" hidden="1"/>
    </xf>
    <xf numFmtId="0" fontId="51" fillId="0" borderId="56" xfId="0" applyFont="1" applyFill="1" applyBorder="1" applyAlignment="1" applyProtection="1">
      <alignment horizontal="center" shrinkToFit="1"/>
      <protection hidden="1"/>
    </xf>
    <xf numFmtId="0" fontId="9" fillId="0" borderId="9" xfId="0" applyFont="1" applyBorder="1" applyAlignment="1" applyProtection="1">
      <alignment horizontal="center" vertical="center"/>
      <protection locked="0" hidden="1"/>
    </xf>
    <xf numFmtId="0" fontId="15" fillId="0" borderId="56" xfId="0" applyFont="1" applyBorder="1" applyAlignment="1" applyProtection="1">
      <alignment horizontal="left" vertical="center" shrinkToFit="1"/>
      <protection locked="0"/>
    </xf>
    <xf numFmtId="0" fontId="15" fillId="0" borderId="58" xfId="0" applyFont="1" applyFill="1" applyBorder="1" applyAlignment="1" applyProtection="1">
      <alignment horizontal="left" vertical="center" shrinkToFit="1"/>
      <protection locked="0"/>
    </xf>
    <xf numFmtId="0" fontId="14" fillId="0" borderId="58" xfId="0" applyFont="1" applyFill="1" applyBorder="1" applyAlignment="1" applyProtection="1">
      <alignment horizontal="left" vertical="center" shrinkToFit="1"/>
      <protection locked="0"/>
    </xf>
    <xf numFmtId="164" fontId="20" fillId="0" borderId="17" xfId="0" applyNumberFormat="1" applyFont="1" applyFill="1" applyBorder="1" applyAlignment="1" applyProtection="1">
      <alignment horizontal="left" vertical="center" shrinkToFit="1"/>
      <protection locked="0"/>
    </xf>
    <xf numFmtId="0" fontId="20" fillId="0" borderId="16" xfId="0" applyFont="1" applyFill="1" applyBorder="1" applyAlignment="1" applyProtection="1">
      <alignment horizontal="left" vertical="center" shrinkToFit="1"/>
      <protection locked="0"/>
    </xf>
    <xf numFmtId="0" fontId="20" fillId="0" borderId="17" xfId="0" applyFont="1" applyFill="1" applyBorder="1" applyAlignment="1" applyProtection="1">
      <alignment horizontal="left" vertical="center" shrinkToFit="1"/>
      <protection locked="0"/>
    </xf>
    <xf numFmtId="0" fontId="16" fillId="0" borderId="56" xfId="0" applyFont="1" applyBorder="1" applyAlignment="1" applyProtection="1">
      <alignment horizontal="center" vertical="center" shrinkToFit="1"/>
      <protection locked="0"/>
    </xf>
    <xf numFmtId="165" fontId="16" fillId="0" borderId="58" xfId="0" applyNumberFormat="1" applyFont="1" applyBorder="1" applyAlignment="1" applyProtection="1">
      <alignment horizontal="center" vertical="center" shrinkToFit="1"/>
      <protection locked="0"/>
    </xf>
    <xf numFmtId="0" fontId="16" fillId="0" borderId="56" xfId="0" applyFont="1" applyBorder="1" applyAlignment="1" applyProtection="1">
      <alignment horizontal="left" shrinkToFit="1"/>
      <protection locked="0"/>
    </xf>
    <xf numFmtId="49" fontId="17" fillId="0" borderId="56" xfId="0" applyNumberFormat="1" applyFont="1" applyFill="1" applyBorder="1" applyAlignment="1" applyProtection="1">
      <alignment horizontal="center" shrinkToFit="1"/>
      <protection locked="0"/>
    </xf>
    <xf numFmtId="0" fontId="12" fillId="0" borderId="22"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3" xfId="0" applyFont="1" applyBorder="1" applyAlignment="1" applyProtection="1">
      <alignment horizontal="center" vertical="center" wrapText="1"/>
      <protection hidden="1"/>
    </xf>
    <xf numFmtId="0" fontId="9" fillId="0" borderId="21" xfId="0" applyFont="1" applyFill="1" applyBorder="1" applyAlignment="1" applyProtection="1">
      <alignment horizontal="center" vertical="center" wrapText="1"/>
      <protection locked="0"/>
    </xf>
    <xf numFmtId="0" fontId="9" fillId="0" borderId="9" xfId="0" applyFont="1" applyFill="1" applyBorder="1" applyAlignment="1" applyProtection="1">
      <alignment horizontal="center" vertical="center" wrapText="1"/>
      <protection locked="0"/>
    </xf>
    <xf numFmtId="0" fontId="30" fillId="3" borderId="22" xfId="0" applyFont="1" applyFill="1" applyBorder="1" applyAlignment="1" applyProtection="1">
      <alignment horizontal="center" vertical="center" wrapText="1"/>
    </xf>
    <xf numFmtId="0" fontId="30" fillId="3" borderId="11" xfId="0" applyFont="1" applyFill="1" applyBorder="1" applyAlignment="1" applyProtection="1">
      <alignment horizontal="center" vertical="center" wrapText="1"/>
    </xf>
    <xf numFmtId="0" fontId="30" fillId="3" borderId="13" xfId="0" applyFont="1" applyFill="1" applyBorder="1" applyAlignment="1" applyProtection="1">
      <alignment horizontal="center" vertical="center" wrapText="1"/>
    </xf>
    <xf numFmtId="0" fontId="11" fillId="0" borderId="25" xfId="0" applyFont="1" applyFill="1" applyBorder="1" applyAlignment="1" applyProtection="1">
      <alignment horizontal="left" vertical="center" wrapText="1"/>
      <protection hidden="1"/>
    </xf>
    <xf numFmtId="0" fontId="11" fillId="0" borderId="26" xfId="0" applyFont="1" applyFill="1" applyBorder="1" applyAlignment="1" applyProtection="1">
      <alignment horizontal="left" vertical="center" wrapText="1"/>
      <protection hidden="1"/>
    </xf>
    <xf numFmtId="0" fontId="11" fillId="0" borderId="42" xfId="0" applyFont="1" applyFill="1" applyBorder="1" applyAlignment="1" applyProtection="1">
      <alignment horizontal="left" vertical="center" wrapText="1"/>
      <protection hidden="1"/>
    </xf>
    <xf numFmtId="0" fontId="11" fillId="0" borderId="43" xfId="0" applyFont="1" applyFill="1" applyBorder="1" applyAlignment="1" applyProtection="1">
      <alignment horizontal="left" vertical="center" wrapText="1"/>
      <protection hidden="1"/>
    </xf>
    <xf numFmtId="0" fontId="14" fillId="0" borderId="20" xfId="0" applyFont="1" applyBorder="1" applyAlignment="1" applyProtection="1">
      <alignment horizontal="center" vertical="center" wrapText="1"/>
      <protection hidden="1"/>
    </xf>
    <xf numFmtId="0" fontId="14" fillId="0" borderId="21" xfId="0" applyFont="1" applyBorder="1" applyAlignment="1" applyProtection="1">
      <alignment horizontal="center" vertical="center" wrapText="1"/>
      <protection hidden="1"/>
    </xf>
    <xf numFmtId="0" fontId="16" fillId="0" borderId="0" xfId="0" applyFont="1" applyAlignment="1" applyProtection="1">
      <alignment horizontal="center" vertical="center"/>
      <protection hidden="1"/>
    </xf>
    <xf numFmtId="49" fontId="20" fillId="0" borderId="16" xfId="0" applyNumberFormat="1" applyFont="1" applyFill="1" applyBorder="1" applyAlignment="1" applyProtection="1">
      <alignment horizontal="left" vertical="center" shrinkToFit="1"/>
      <protection locked="0"/>
    </xf>
    <xf numFmtId="0" fontId="13" fillId="3" borderId="61" xfId="0" applyFont="1" applyFill="1" applyBorder="1" applyAlignment="1" applyProtection="1">
      <alignment horizontal="center" vertical="center" wrapText="1"/>
    </xf>
    <xf numFmtId="0" fontId="13" fillId="3" borderId="51" xfId="0" applyFont="1" applyFill="1" applyBorder="1" applyAlignment="1" applyProtection="1">
      <alignment horizontal="center" vertical="center" wrapText="1"/>
    </xf>
    <xf numFmtId="0" fontId="13" fillId="3" borderId="45" xfId="0" applyFont="1" applyFill="1" applyBorder="1" applyAlignment="1" applyProtection="1">
      <alignment horizontal="center" vertical="center" wrapText="1"/>
    </xf>
    <xf numFmtId="0" fontId="13" fillId="3" borderId="44" xfId="0" applyFont="1" applyFill="1" applyBorder="1" applyAlignment="1" applyProtection="1">
      <alignment horizontal="center" vertical="center" wrapText="1"/>
    </xf>
    <xf numFmtId="0" fontId="13" fillId="3" borderId="59" xfId="0" applyFont="1" applyFill="1" applyBorder="1" applyAlignment="1" applyProtection="1">
      <alignment horizontal="center" vertical="center" wrapText="1"/>
    </xf>
    <xf numFmtId="0" fontId="15" fillId="0" borderId="71" xfId="0" applyFont="1" applyBorder="1" applyAlignment="1" applyProtection="1">
      <alignment horizontal="center" vertical="center" wrapText="1"/>
      <protection locked="0"/>
    </xf>
    <xf numFmtId="0" fontId="15" fillId="0" borderId="47"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locked="0"/>
    </xf>
    <xf numFmtId="0" fontId="15" fillId="0" borderId="18" xfId="0" applyFont="1" applyBorder="1" applyAlignment="1" applyProtection="1">
      <alignment horizontal="center" vertical="center" wrapText="1"/>
      <protection locked="0"/>
    </xf>
    <xf numFmtId="0" fontId="15" fillId="0" borderId="19" xfId="0" applyFont="1" applyBorder="1" applyAlignment="1" applyProtection="1">
      <alignment horizontal="center" vertical="center" wrapText="1"/>
      <protection locked="0"/>
    </xf>
    <xf numFmtId="0" fontId="13" fillId="0" borderId="0" xfId="0" applyFont="1" applyAlignment="1" applyProtection="1">
      <alignment horizontal="center" vertical="center"/>
      <protection hidden="1"/>
    </xf>
    <xf numFmtId="0" fontId="7" fillId="0" borderId="62" xfId="0" applyFont="1" applyBorder="1" applyAlignment="1" applyProtection="1">
      <alignment horizontal="left" vertical="center" wrapText="1"/>
      <protection hidden="1"/>
    </xf>
    <xf numFmtId="0" fontId="7" fillId="0" borderId="63" xfId="0" applyFont="1" applyBorder="1" applyAlignment="1" applyProtection="1">
      <alignment horizontal="left" vertical="center" wrapText="1"/>
      <protection hidden="1"/>
    </xf>
    <xf numFmtId="0" fontId="7" fillId="0" borderId="64" xfId="0" applyFont="1" applyBorder="1" applyAlignment="1" applyProtection="1">
      <alignment horizontal="left" vertical="center" wrapText="1"/>
      <protection hidden="1"/>
    </xf>
    <xf numFmtId="0" fontId="9" fillId="0" borderId="20" xfId="0" applyFont="1" applyFill="1" applyBorder="1" applyAlignment="1" applyProtection="1">
      <alignment horizontal="center" vertical="center" wrapText="1"/>
      <protection locked="0"/>
    </xf>
    <xf numFmtId="0" fontId="9" fillId="0" borderId="10" xfId="0" applyFont="1" applyFill="1" applyBorder="1" applyAlignment="1" applyProtection="1">
      <alignment horizontal="center" vertical="center" wrapText="1"/>
      <protection locked="0"/>
    </xf>
    <xf numFmtId="0" fontId="9" fillId="0" borderId="23" xfId="0" applyFont="1" applyFill="1" applyBorder="1" applyAlignment="1" applyProtection="1">
      <alignment horizontal="center" vertical="center" wrapText="1"/>
      <protection locked="0"/>
    </xf>
    <xf numFmtId="0" fontId="9" fillId="0" borderId="12"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hidden="1"/>
    </xf>
    <xf numFmtId="0" fontId="8" fillId="0" borderId="12" xfId="0" applyFont="1" applyBorder="1" applyAlignment="1" applyProtection="1">
      <alignment horizontal="center" vertical="center" wrapText="1"/>
      <protection hidden="1"/>
    </xf>
    <xf numFmtId="0" fontId="8" fillId="0" borderId="9" xfId="0" applyFont="1" applyFill="1" applyBorder="1" applyAlignment="1" applyProtection="1">
      <alignment horizontal="left" vertical="top" wrapText="1"/>
      <protection hidden="1"/>
    </xf>
    <xf numFmtId="0" fontId="9" fillId="3" borderId="21" xfId="0" applyFont="1" applyFill="1" applyBorder="1" applyAlignment="1" applyProtection="1">
      <alignment horizontal="center" vertical="center" wrapText="1"/>
    </xf>
    <xf numFmtId="0" fontId="9" fillId="3" borderId="9" xfId="0" applyFont="1" applyFill="1" applyBorder="1" applyAlignment="1" applyProtection="1">
      <alignment horizontal="center" vertical="center" wrapText="1"/>
    </xf>
    <xf numFmtId="0" fontId="11" fillId="0" borderId="65" xfId="0" applyFont="1" applyFill="1" applyBorder="1" applyAlignment="1" applyProtection="1">
      <alignment horizontal="left" vertical="center" wrapText="1"/>
      <protection hidden="1"/>
    </xf>
    <xf numFmtId="0" fontId="11" fillId="0" borderId="66" xfId="0" applyFont="1" applyFill="1" applyBorder="1" applyAlignment="1" applyProtection="1">
      <alignment horizontal="left" vertical="center" wrapText="1"/>
      <protection hidden="1"/>
    </xf>
    <xf numFmtId="0" fontId="21" fillId="0" borderId="18" xfId="0" applyFont="1" applyBorder="1" applyAlignment="1" applyProtection="1">
      <alignment horizontal="center" vertical="center" wrapText="1"/>
      <protection locked="0"/>
    </xf>
    <xf numFmtId="0" fontId="21" fillId="0" borderId="19" xfId="0" applyFont="1" applyBorder="1" applyAlignment="1" applyProtection="1">
      <alignment horizontal="center" vertical="center" wrapText="1"/>
      <protection locked="0"/>
    </xf>
    <xf numFmtId="0" fontId="24" fillId="3" borderId="11" xfId="0" applyFont="1" applyFill="1" applyBorder="1" applyAlignment="1" applyProtection="1">
      <alignment horizontal="center" vertical="center"/>
    </xf>
    <xf numFmtId="0" fontId="24" fillId="3" borderId="13" xfId="0" applyFont="1" applyFill="1" applyBorder="1" applyAlignment="1" applyProtection="1">
      <alignment horizontal="center" vertical="center"/>
    </xf>
    <xf numFmtId="0" fontId="20" fillId="0" borderId="0" xfId="0" applyFont="1" applyFill="1" applyBorder="1" applyAlignment="1" applyProtection="1">
      <alignment horizontal="center" vertical="center"/>
      <protection hidden="1"/>
    </xf>
    <xf numFmtId="0" fontId="22" fillId="0" borderId="9" xfId="0" applyFont="1" applyBorder="1" applyAlignment="1" applyProtection="1">
      <alignment horizontal="center" vertical="center"/>
      <protection hidden="1"/>
    </xf>
    <xf numFmtId="0" fontId="22" fillId="0" borderId="11" xfId="0" applyFont="1" applyBorder="1" applyAlignment="1" applyProtection="1">
      <alignment horizontal="center" vertical="center"/>
      <protection hidden="1"/>
    </xf>
    <xf numFmtId="0" fontId="20" fillId="0" borderId="30" xfId="0" applyFont="1" applyBorder="1" applyAlignment="1" applyProtection="1">
      <alignment horizontal="center" vertical="center"/>
      <protection hidden="1"/>
    </xf>
    <xf numFmtId="0" fontId="20" fillId="0" borderId="31" xfId="0" applyFont="1" applyBorder="1" applyAlignment="1" applyProtection="1">
      <alignment horizontal="center" vertical="center"/>
      <protection hidden="1"/>
    </xf>
    <xf numFmtId="0" fontId="20" fillId="0" borderId="32" xfId="0" applyFont="1" applyBorder="1" applyAlignment="1" applyProtection="1">
      <alignment horizontal="center" vertical="center"/>
      <protection hidden="1"/>
    </xf>
    <xf numFmtId="0" fontId="22" fillId="0" borderId="33" xfId="0" applyFont="1" applyBorder="1" applyAlignment="1" applyProtection="1">
      <alignment horizontal="center" vertical="center"/>
      <protection hidden="1"/>
    </xf>
    <xf numFmtId="0" fontId="22" fillId="0" borderId="34" xfId="0" applyFont="1" applyBorder="1" applyAlignment="1" applyProtection="1">
      <alignment horizontal="center" vertical="center"/>
      <protection hidden="1"/>
    </xf>
    <xf numFmtId="0" fontId="22" fillId="0" borderId="35" xfId="0" applyFont="1" applyBorder="1" applyAlignment="1" applyProtection="1">
      <alignment horizontal="center" vertical="center"/>
      <protection hidden="1"/>
    </xf>
    <xf numFmtId="0" fontId="22" fillId="0" borderId="36" xfId="0" applyFont="1" applyBorder="1" applyAlignment="1" applyProtection="1">
      <alignment horizontal="center" vertical="center"/>
      <protection hidden="1"/>
    </xf>
    <xf numFmtId="0" fontId="22" fillId="0" borderId="37" xfId="0" applyFont="1" applyBorder="1" applyAlignment="1" applyProtection="1">
      <alignment horizontal="center" vertical="center"/>
      <protection hidden="1"/>
    </xf>
    <xf numFmtId="0" fontId="22" fillId="0" borderId="38" xfId="0" applyFont="1" applyBorder="1" applyAlignment="1" applyProtection="1">
      <alignment horizontal="center" vertical="center"/>
      <protection hidden="1"/>
    </xf>
    <xf numFmtId="0" fontId="22" fillId="0" borderId="39" xfId="0" applyFont="1" applyBorder="1" applyAlignment="1" applyProtection="1">
      <alignment horizontal="left"/>
      <protection hidden="1"/>
    </xf>
    <xf numFmtId="0" fontId="22" fillId="0" borderId="40" xfId="0" applyFont="1" applyBorder="1" applyAlignment="1" applyProtection="1">
      <alignment horizontal="left"/>
      <protection hidden="1"/>
    </xf>
    <xf numFmtId="0" fontId="22" fillId="0" borderId="41" xfId="0" applyFont="1" applyBorder="1" applyAlignment="1" applyProtection="1">
      <alignment horizontal="left"/>
      <protection hidden="1"/>
    </xf>
    <xf numFmtId="0" fontId="22" fillId="0" borderId="27" xfId="0" applyFont="1" applyBorder="1" applyAlignment="1" applyProtection="1">
      <alignment horizontal="left"/>
      <protection hidden="1"/>
    </xf>
    <xf numFmtId="0" fontId="22" fillId="0" borderId="28" xfId="0" applyFont="1" applyBorder="1" applyAlignment="1" applyProtection="1">
      <alignment horizontal="left"/>
      <protection hidden="1"/>
    </xf>
    <xf numFmtId="0" fontId="22" fillId="0" borderId="29" xfId="0" applyFont="1" applyBorder="1" applyAlignment="1" applyProtection="1">
      <alignment horizontal="left"/>
      <protection hidden="1"/>
    </xf>
    <xf numFmtId="0" fontId="9" fillId="3" borderId="12" xfId="0" applyFont="1" applyFill="1" applyBorder="1" applyAlignment="1" applyProtection="1">
      <alignment horizontal="center" vertical="center" wrapText="1"/>
    </xf>
    <xf numFmtId="0" fontId="24" fillId="3" borderId="56" xfId="0" applyFont="1" applyFill="1" applyBorder="1" applyAlignment="1" applyProtection="1">
      <alignment horizontal="center"/>
      <protection hidden="1"/>
    </xf>
    <xf numFmtId="0" fontId="21" fillId="0" borderId="24" xfId="0" applyFont="1" applyBorder="1" applyAlignment="1" applyProtection="1">
      <alignment horizontal="center" vertical="center" wrapText="1"/>
      <protection locked="0"/>
    </xf>
    <xf numFmtId="0" fontId="15" fillId="0" borderId="21" xfId="0" applyFont="1" applyBorder="1" applyAlignment="1" applyProtection="1">
      <alignment horizontal="center" vertical="center"/>
      <protection hidden="1"/>
    </xf>
    <xf numFmtId="0" fontId="15" fillId="0" borderId="9" xfId="0" applyFont="1" applyBorder="1" applyAlignment="1" applyProtection="1">
      <alignment horizontal="center" vertical="center"/>
      <protection hidden="1"/>
    </xf>
    <xf numFmtId="0" fontId="14" fillId="0" borderId="12" xfId="0" applyFont="1" applyBorder="1" applyAlignment="1" applyProtection="1">
      <alignment horizontal="center" vertical="center" wrapText="1"/>
      <protection hidden="1"/>
    </xf>
    <xf numFmtId="0" fontId="20" fillId="0" borderId="20" xfId="0" applyFont="1" applyBorder="1" applyAlignment="1" applyProtection="1">
      <alignment horizontal="center" vertical="center"/>
      <protection hidden="1"/>
    </xf>
    <xf numFmtId="0" fontId="20" fillId="0" borderId="21" xfId="0" applyFont="1" applyBorder="1" applyAlignment="1" applyProtection="1">
      <alignment horizontal="center" vertical="center"/>
      <protection hidden="1"/>
    </xf>
    <xf numFmtId="0" fontId="20" fillId="0" borderId="22" xfId="0" applyFont="1" applyBorder="1" applyAlignment="1" applyProtection="1">
      <alignment horizontal="center" vertical="center"/>
      <protection hidden="1"/>
    </xf>
    <xf numFmtId="0" fontId="9" fillId="0" borderId="0" xfId="0" applyFont="1" applyBorder="1" applyAlignment="1" applyProtection="1">
      <alignment horizontal="center" vertical="center"/>
      <protection hidden="1"/>
    </xf>
    <xf numFmtId="0" fontId="18" fillId="0" borderId="30" xfId="0" applyFont="1" applyFill="1" applyBorder="1" applyAlignment="1" applyProtection="1">
      <alignment horizontal="center" vertical="center"/>
      <protection hidden="1"/>
    </xf>
    <xf numFmtId="0" fontId="18" fillId="0" borderId="31" xfId="0" applyFont="1" applyFill="1" applyBorder="1" applyAlignment="1" applyProtection="1">
      <alignment horizontal="center" vertical="center"/>
      <protection hidden="1"/>
    </xf>
    <xf numFmtId="0" fontId="18" fillId="0" borderId="68" xfId="0" applyFont="1" applyFill="1" applyBorder="1" applyAlignment="1" applyProtection="1">
      <alignment horizontal="center" vertical="center"/>
      <protection hidden="1"/>
    </xf>
    <xf numFmtId="0" fontId="26" fillId="0" borderId="69" xfId="0" applyFont="1" applyFill="1" applyBorder="1" applyAlignment="1" applyProtection="1">
      <alignment horizontal="center" vertical="center" wrapText="1"/>
      <protection hidden="1"/>
    </xf>
    <xf numFmtId="0" fontId="26" fillId="0" borderId="31" xfId="0" applyFont="1" applyFill="1" applyBorder="1" applyAlignment="1" applyProtection="1">
      <alignment horizontal="center" vertical="center" wrapText="1"/>
      <protection hidden="1"/>
    </xf>
    <xf numFmtId="0" fontId="26" fillId="0" borderId="68" xfId="0" applyFont="1" applyFill="1" applyBorder="1" applyAlignment="1" applyProtection="1">
      <alignment horizontal="center" vertical="center" wrapText="1"/>
      <protection hidden="1"/>
    </xf>
    <xf numFmtId="0" fontId="14" fillId="0" borderId="1" xfId="0" applyFont="1" applyBorder="1" applyAlignment="1" applyProtection="1">
      <alignment horizontal="center" vertical="center" wrapText="1"/>
      <protection hidden="1"/>
    </xf>
    <xf numFmtId="0" fontId="14" fillId="0" borderId="2" xfId="0" applyFont="1" applyBorder="1" applyAlignment="1" applyProtection="1">
      <alignment horizontal="center" vertical="center" wrapText="1"/>
      <protection hidden="1"/>
    </xf>
    <xf numFmtId="0" fontId="14" fillId="0" borderId="54"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hidden="1"/>
    </xf>
    <xf numFmtId="0" fontId="14" fillId="0" borderId="0" xfId="0" applyFont="1" applyBorder="1" applyAlignment="1" applyProtection="1">
      <alignment horizontal="center" vertical="center" wrapText="1"/>
      <protection hidden="1"/>
    </xf>
    <xf numFmtId="0" fontId="14" fillId="0" borderId="48" xfId="0" applyFont="1" applyBorder="1" applyAlignment="1" applyProtection="1">
      <alignment horizontal="center" vertical="center" wrapText="1"/>
      <protection hidden="1"/>
    </xf>
    <xf numFmtId="0" fontId="14" fillId="0" borderId="6" xfId="0" applyFont="1" applyBorder="1" applyAlignment="1" applyProtection="1">
      <alignment horizontal="center" vertical="center" wrapText="1"/>
      <protection hidden="1"/>
    </xf>
    <xf numFmtId="0" fontId="14" fillId="0" borderId="7" xfId="0" applyFont="1" applyBorder="1" applyAlignment="1" applyProtection="1">
      <alignment horizontal="center" vertical="center" wrapText="1"/>
      <protection hidden="1"/>
    </xf>
    <xf numFmtId="0" fontId="14" fillId="0" borderId="46" xfId="0" applyFont="1" applyBorder="1" applyAlignment="1" applyProtection="1">
      <alignment horizontal="center" vertical="center" wrapText="1"/>
      <protection hidden="1"/>
    </xf>
    <xf numFmtId="0" fontId="15" fillId="0" borderId="6" xfId="0" applyFont="1" applyBorder="1" applyAlignment="1" applyProtection="1">
      <alignment horizontal="left" vertical="center"/>
      <protection hidden="1"/>
    </xf>
    <xf numFmtId="0" fontId="15" fillId="0" borderId="7" xfId="0" applyFont="1" applyBorder="1" applyAlignment="1" applyProtection="1">
      <alignment horizontal="left" vertical="center"/>
      <protection hidden="1"/>
    </xf>
    <xf numFmtId="0" fontId="24" fillId="0" borderId="0" xfId="0" applyFont="1" applyFill="1" applyBorder="1" applyAlignment="1" applyProtection="1">
      <alignment horizontal="center" vertical="center"/>
      <protection hidden="1"/>
    </xf>
    <xf numFmtId="0" fontId="22" fillId="0" borderId="10" xfId="0" applyFont="1" applyBorder="1" applyAlignment="1" applyProtection="1">
      <alignment horizontal="left" vertical="center" wrapText="1"/>
      <protection hidden="1"/>
    </xf>
    <xf numFmtId="0" fontId="22" fillId="0" borderId="72" xfId="0" applyFont="1" applyBorder="1" applyAlignment="1" applyProtection="1">
      <alignment horizontal="center" vertical="center" wrapText="1"/>
      <protection locked="0" hidden="1"/>
    </xf>
    <xf numFmtId="0" fontId="22" fillId="0" borderId="34" xfId="0" applyFont="1" applyBorder="1" applyAlignment="1" applyProtection="1">
      <alignment horizontal="center" vertical="center" wrapText="1"/>
      <protection locked="0" hidden="1"/>
    </xf>
    <xf numFmtId="0" fontId="22" fillId="0" borderId="35" xfId="0" applyFont="1" applyBorder="1" applyAlignment="1" applyProtection="1">
      <alignment horizontal="center" vertical="center" wrapText="1"/>
      <protection locked="0" hidden="1"/>
    </xf>
    <xf numFmtId="0" fontId="22" fillId="0" borderId="74" xfId="0" applyFont="1" applyBorder="1" applyAlignment="1" applyProtection="1">
      <alignment horizontal="center" vertical="center" wrapText="1"/>
      <protection locked="0" hidden="1"/>
    </xf>
    <xf numFmtId="0" fontId="22" fillId="0" borderId="0" xfId="0" applyFont="1" applyBorder="1" applyAlignment="1" applyProtection="1">
      <alignment horizontal="center" vertical="center" wrapText="1"/>
      <protection locked="0" hidden="1"/>
    </xf>
    <xf numFmtId="0" fontId="22" fillId="0" borderId="48" xfId="0" applyFont="1" applyBorder="1" applyAlignment="1" applyProtection="1">
      <alignment horizontal="center" vertical="center" wrapText="1"/>
      <protection locked="0" hidden="1"/>
    </xf>
    <xf numFmtId="0" fontId="22" fillId="0" borderId="73" xfId="0" applyFont="1" applyBorder="1" applyAlignment="1" applyProtection="1">
      <alignment horizontal="center" vertical="center" wrapText="1"/>
      <protection locked="0" hidden="1"/>
    </xf>
    <xf numFmtId="0" fontId="22" fillId="0" borderId="37" xfId="0" applyFont="1" applyBorder="1" applyAlignment="1" applyProtection="1">
      <alignment horizontal="center" vertical="center" wrapText="1"/>
      <protection locked="0" hidden="1"/>
    </xf>
    <xf numFmtId="0" fontId="22" fillId="0" borderId="38" xfId="0" applyFont="1" applyBorder="1" applyAlignment="1" applyProtection="1">
      <alignment horizontal="center" vertical="center" wrapText="1"/>
      <protection locked="0" hidden="1"/>
    </xf>
    <xf numFmtId="0" fontId="24" fillId="0" borderId="0" xfId="0" applyFont="1" applyBorder="1" applyAlignment="1" applyProtection="1">
      <alignment horizontal="center"/>
      <protection hidden="1"/>
    </xf>
    <xf numFmtId="0" fontId="5" fillId="0" borderId="4" xfId="0" applyFont="1" applyBorder="1" applyAlignment="1" applyProtection="1">
      <alignment horizontal="left" vertical="center"/>
      <protection hidden="1"/>
    </xf>
    <xf numFmtId="0" fontId="5" fillId="0" borderId="0" xfId="0" applyFont="1" applyBorder="1" applyAlignment="1" applyProtection="1">
      <alignment horizontal="left" vertical="center"/>
      <protection hidden="1"/>
    </xf>
    <xf numFmtId="0" fontId="15" fillId="0" borderId="60" xfId="0" applyFont="1" applyBorder="1" applyAlignment="1" applyProtection="1">
      <alignment horizontal="center" vertical="center" wrapText="1"/>
      <protection locked="0"/>
    </xf>
    <xf numFmtId="0" fontId="15" fillId="0" borderId="50" xfId="0" applyFont="1" applyBorder="1" applyAlignment="1" applyProtection="1">
      <alignment horizontal="center" vertical="center" wrapText="1"/>
      <protection locked="0"/>
    </xf>
    <xf numFmtId="0" fontId="15" fillId="0" borderId="52" xfId="0" applyFont="1" applyBorder="1" applyAlignment="1" applyProtection="1">
      <alignment horizontal="center" vertical="center" wrapText="1"/>
      <protection locked="0"/>
    </xf>
    <xf numFmtId="0" fontId="15" fillId="0" borderId="49" xfId="0" applyFont="1" applyBorder="1" applyAlignment="1" applyProtection="1">
      <alignment horizontal="center" vertical="center" wrapText="1"/>
      <protection locked="0"/>
    </xf>
    <xf numFmtId="0" fontId="15" fillId="0" borderId="53" xfId="0" applyFont="1" applyBorder="1" applyAlignment="1" applyProtection="1">
      <alignment horizontal="center" vertical="center" wrapText="1"/>
      <protection locked="0"/>
    </xf>
    <xf numFmtId="0" fontId="8" fillId="0" borderId="44" xfId="0" applyFont="1" applyBorder="1" applyAlignment="1" applyProtection="1">
      <alignment horizontal="center" vertical="center" wrapText="1"/>
      <protection hidden="1"/>
    </xf>
    <xf numFmtId="0" fontId="8" fillId="0" borderId="59" xfId="0" applyFont="1" applyBorder="1" applyAlignment="1" applyProtection="1">
      <alignment horizontal="center" vertical="center" wrapText="1"/>
      <protection hidden="1"/>
    </xf>
    <xf numFmtId="0" fontId="14" fillId="0" borderId="30" xfId="0" applyFont="1" applyBorder="1" applyAlignment="1" applyProtection="1">
      <alignment horizontal="center" vertical="center" wrapText="1"/>
      <protection hidden="1"/>
    </xf>
    <xf numFmtId="0" fontId="14" fillId="0" borderId="31" xfId="0" applyFont="1" applyBorder="1" applyAlignment="1" applyProtection="1">
      <alignment horizontal="center" vertical="center" wrapText="1"/>
      <protection hidden="1"/>
    </xf>
    <xf numFmtId="0" fontId="14" fillId="0" borderId="32" xfId="0" applyFont="1" applyBorder="1" applyAlignment="1" applyProtection="1">
      <alignment horizontal="center" vertical="center" wrapText="1"/>
      <protection hidden="1"/>
    </xf>
    <xf numFmtId="0" fontId="22" fillId="0" borderId="0" xfId="0" applyFont="1" applyBorder="1" applyAlignment="1" applyProtection="1">
      <alignment horizontal="center" vertical="center" wrapText="1"/>
      <protection hidden="1"/>
    </xf>
    <xf numFmtId="0" fontId="5" fillId="0" borderId="62" xfId="0" applyFont="1" applyBorder="1" applyAlignment="1" applyProtection="1">
      <alignment horizontal="center" vertical="center" wrapText="1"/>
      <protection hidden="1"/>
    </xf>
    <xf numFmtId="0" fontId="5" fillId="0" borderId="63" xfId="0" applyFont="1" applyBorder="1" applyAlignment="1" applyProtection="1">
      <alignment horizontal="center" vertical="center" wrapText="1"/>
      <protection hidden="1"/>
    </xf>
    <xf numFmtId="0" fontId="5" fillId="0" borderId="64" xfId="0" applyFont="1" applyBorder="1" applyAlignment="1" applyProtection="1">
      <alignment horizontal="center" vertical="center" wrapText="1"/>
      <protection hidden="1"/>
    </xf>
    <xf numFmtId="0" fontId="22" fillId="0" borderId="23" xfId="0" applyFont="1" applyBorder="1" applyAlignment="1" applyProtection="1">
      <alignment horizontal="left" vertical="center" wrapText="1"/>
      <protection hidden="1"/>
    </xf>
    <xf numFmtId="0" fontId="5" fillId="0" borderId="0" xfId="2" applyFont="1" applyAlignment="1" applyProtection="1">
      <alignment horizontal="left" vertical="center" wrapText="1"/>
      <protection hidden="1"/>
    </xf>
    <xf numFmtId="0" fontId="34" fillId="0" borderId="0" xfId="2" applyFont="1" applyAlignment="1" applyProtection="1">
      <alignment horizontal="center"/>
      <protection hidden="1"/>
    </xf>
    <xf numFmtId="0" fontId="40" fillId="0" borderId="56" xfId="2" applyFont="1" applyBorder="1" applyAlignment="1" applyProtection="1">
      <alignment horizontal="center" vertical="center" shrinkToFit="1"/>
      <protection hidden="1"/>
    </xf>
    <xf numFmtId="0" fontId="51" fillId="0" borderId="18" xfId="0" applyFont="1" applyFill="1" applyBorder="1" applyAlignment="1" applyProtection="1">
      <alignment horizontal="center" vertical="center" wrapText="1"/>
      <protection hidden="1"/>
    </xf>
    <xf numFmtId="0" fontId="51" fillId="0" borderId="24" xfId="0" applyFont="1" applyFill="1" applyBorder="1" applyAlignment="1" applyProtection="1">
      <alignment horizontal="center" vertical="center" wrapText="1"/>
      <protection hidden="1"/>
    </xf>
    <xf numFmtId="0" fontId="50" fillId="0" borderId="9" xfId="0" applyFont="1" applyFill="1" applyBorder="1" applyAlignment="1" applyProtection="1">
      <alignment horizontal="center" vertical="center"/>
      <protection hidden="1"/>
    </xf>
    <xf numFmtId="0" fontId="9" fillId="0" borderId="20" xfId="0" applyFont="1" applyBorder="1" applyAlignment="1" applyProtection="1">
      <alignment horizontal="center" vertical="center"/>
      <protection hidden="1"/>
    </xf>
    <xf numFmtId="0" fontId="9" fillId="0" borderId="21" xfId="0" applyFont="1" applyBorder="1" applyAlignment="1" applyProtection="1">
      <alignment horizontal="center" vertical="center"/>
      <protection hidden="1"/>
    </xf>
    <xf numFmtId="0" fontId="9" fillId="0" borderId="22" xfId="0" applyFont="1" applyBorder="1" applyAlignment="1" applyProtection="1">
      <alignment horizontal="center" vertical="center"/>
      <protection hidden="1"/>
    </xf>
    <xf numFmtId="0" fontId="9" fillId="0" borderId="23" xfId="0" applyFont="1" applyBorder="1" applyAlignment="1" applyProtection="1">
      <alignment horizontal="center" vertical="center"/>
      <protection hidden="1"/>
    </xf>
    <xf numFmtId="0" fontId="9" fillId="0" borderId="12" xfId="0" applyFont="1" applyBorder="1" applyAlignment="1" applyProtection="1">
      <alignment horizontal="center" vertical="center"/>
      <protection hidden="1"/>
    </xf>
    <xf numFmtId="0" fontId="9" fillId="0" borderId="13" xfId="0" applyFont="1" applyBorder="1" applyAlignment="1" applyProtection="1">
      <alignment horizontal="center" vertical="center"/>
      <protection hidden="1"/>
    </xf>
    <xf numFmtId="0" fontId="17" fillId="0" borderId="31" xfId="0" applyFont="1" applyFill="1" applyBorder="1" applyAlignment="1" applyProtection="1">
      <alignment horizontal="center" vertical="center"/>
      <protection hidden="1"/>
    </xf>
    <xf numFmtId="0" fontId="6" fillId="0" borderId="75" xfId="0" applyFont="1" applyFill="1" applyBorder="1" applyAlignment="1" applyProtection="1">
      <alignment horizontal="center" vertical="center" wrapText="1"/>
      <protection hidden="1"/>
    </xf>
    <xf numFmtId="0" fontId="6" fillId="0" borderId="76" xfId="0" applyFont="1" applyFill="1" applyBorder="1" applyAlignment="1" applyProtection="1">
      <alignment horizontal="center" vertical="center" wrapText="1"/>
      <protection hidden="1"/>
    </xf>
    <xf numFmtId="0" fontId="17" fillId="3" borderId="6" xfId="0" applyFont="1" applyFill="1" applyBorder="1" applyAlignment="1" applyProtection="1">
      <alignment horizontal="center" vertical="center"/>
      <protection hidden="1"/>
    </xf>
    <xf numFmtId="0" fontId="17" fillId="3" borderId="8" xfId="0" applyFont="1" applyFill="1" applyBorder="1" applyAlignment="1" applyProtection="1">
      <alignment horizontal="center" vertical="center"/>
      <protection hidden="1"/>
    </xf>
    <xf numFmtId="0" fontId="13" fillId="0" borderId="9" xfId="0" applyFont="1" applyFill="1" applyBorder="1" applyAlignment="1" applyProtection="1">
      <alignment horizontal="center" vertical="center" wrapText="1"/>
      <protection hidden="1"/>
    </xf>
    <xf numFmtId="0" fontId="52" fillId="5" borderId="9" xfId="0" applyFont="1" applyFill="1" applyBorder="1" applyAlignment="1" applyProtection="1">
      <alignment horizontal="center" vertical="center" wrapText="1"/>
      <protection hidden="1"/>
    </xf>
    <xf numFmtId="0" fontId="52" fillId="5" borderId="9" xfId="0" applyFont="1" applyFill="1" applyBorder="1" applyAlignment="1" applyProtection="1">
      <alignment horizontal="center" vertical="center" wrapText="1"/>
      <protection locked="0" hidden="1"/>
    </xf>
    <xf numFmtId="0" fontId="50" fillId="5" borderId="9" xfId="0" applyFont="1" applyFill="1" applyBorder="1" applyAlignment="1" applyProtection="1">
      <alignment horizontal="center" vertical="center"/>
      <protection locked="0" hidden="1"/>
    </xf>
    <xf numFmtId="0" fontId="49" fillId="0" borderId="9" xfId="0" applyFont="1" applyFill="1" applyBorder="1" applyAlignment="1" applyProtection="1">
      <alignment horizontal="center" vertical="center" wrapText="1"/>
      <protection hidden="1"/>
    </xf>
    <xf numFmtId="0" fontId="49" fillId="0" borderId="9" xfId="0" applyFont="1" applyFill="1" applyBorder="1" applyAlignment="1" applyProtection="1">
      <alignment horizontal="center" vertical="center" wrapText="1"/>
      <protection locked="0" hidden="1"/>
    </xf>
    <xf numFmtId="0" fontId="49" fillId="0" borderId="58" xfId="0" applyFont="1" applyFill="1" applyBorder="1" applyAlignment="1" applyProtection="1">
      <alignment horizontal="left" vertical="center" shrinkToFit="1"/>
      <protection hidden="1"/>
    </xf>
    <xf numFmtId="0" fontId="51" fillId="0" borderId="9" xfId="0" applyFont="1" applyFill="1" applyBorder="1" applyAlignment="1" applyProtection="1">
      <alignment horizontal="center" vertical="center"/>
      <protection hidden="1"/>
    </xf>
    <xf numFmtId="0" fontId="13" fillId="0" borderId="58" xfId="0" applyFont="1" applyFill="1" applyBorder="1" applyAlignment="1" applyProtection="1">
      <alignment horizontal="left" vertical="center" shrinkToFit="1"/>
      <protection hidden="1"/>
    </xf>
    <xf numFmtId="0" fontId="56" fillId="0" borderId="9" xfId="0" applyFont="1" applyFill="1" applyBorder="1" applyAlignment="1" applyProtection="1">
      <alignment horizontal="center"/>
      <protection hidden="1"/>
    </xf>
    <xf numFmtId="0" fontId="51" fillId="0" borderId="70" xfId="0" applyFont="1" applyFill="1" applyBorder="1" applyAlignment="1" applyProtection="1">
      <alignment horizontal="center"/>
      <protection locked="0" hidden="1"/>
    </xf>
    <xf numFmtId="0" fontId="51" fillId="0" borderId="41" xfId="0" applyFont="1" applyFill="1" applyBorder="1" applyAlignment="1" applyProtection="1">
      <alignment horizontal="center"/>
      <protection locked="0" hidden="1"/>
    </xf>
    <xf numFmtId="0" fontId="58" fillId="0" borderId="56" xfId="0" applyFont="1" applyFill="1" applyBorder="1" applyAlignment="1" applyProtection="1">
      <alignment horizontal="left" vertical="center" shrinkToFit="1"/>
      <protection locked="0" hidden="1"/>
    </xf>
    <xf numFmtId="165" fontId="58" fillId="0" borderId="58" xfId="0" applyNumberFormat="1" applyFont="1" applyFill="1" applyBorder="1" applyAlignment="1" applyProtection="1">
      <alignment horizontal="center" vertical="center" shrinkToFit="1"/>
      <protection locked="0" hidden="1"/>
    </xf>
    <xf numFmtId="0" fontId="58" fillId="0" borderId="56" xfId="0" applyFont="1" applyFill="1" applyBorder="1" applyAlignment="1" applyProtection="1">
      <alignment horizontal="left" shrinkToFit="1"/>
      <protection locked="0" hidden="1"/>
    </xf>
    <xf numFmtId="49" fontId="59" fillId="0" borderId="56" xfId="0" applyNumberFormat="1" applyFont="1" applyFill="1" applyBorder="1" applyAlignment="1" applyProtection="1">
      <alignment horizontal="left" shrinkToFit="1"/>
      <protection locked="0" hidden="1"/>
    </xf>
    <xf numFmtId="0" fontId="13" fillId="0" borderId="0" xfId="0" applyFont="1" applyFill="1" applyBorder="1" applyAlignment="1" applyProtection="1">
      <alignment horizontal="center" vertical="center" wrapText="1"/>
      <protection hidden="1"/>
    </xf>
    <xf numFmtId="0" fontId="30" fillId="0" borderId="0" xfId="0" applyFont="1" applyFill="1" applyBorder="1" applyAlignment="1" applyProtection="1">
      <alignment horizontal="center" vertical="center" wrapText="1"/>
      <protection hidden="1"/>
    </xf>
    <xf numFmtId="0" fontId="13" fillId="5" borderId="9" xfId="0" applyFont="1" applyFill="1" applyBorder="1" applyAlignment="1" applyProtection="1">
      <alignment horizontal="center" vertical="center" wrapText="1"/>
      <protection hidden="1"/>
    </xf>
    <xf numFmtId="0" fontId="55" fillId="0" borderId="0" xfId="0" applyFont="1" applyFill="1" applyAlignment="1" applyProtection="1">
      <alignment horizontal="center" vertical="center"/>
      <protection hidden="1"/>
    </xf>
    <xf numFmtId="0" fontId="54" fillId="0" borderId="0" xfId="0" applyFont="1" applyFill="1" applyAlignment="1" applyProtection="1">
      <alignment horizontal="center" vertical="center"/>
      <protection hidden="1"/>
    </xf>
    <xf numFmtId="0" fontId="51" fillId="0" borderId="56" xfId="0" applyFont="1" applyFill="1" applyBorder="1" applyAlignment="1" applyProtection="1">
      <alignment horizontal="center"/>
      <protection hidden="1"/>
    </xf>
    <xf numFmtId="0" fontId="49" fillId="0" borderId="56" xfId="0" applyFont="1" applyFill="1" applyBorder="1" applyAlignment="1" applyProtection="1">
      <alignment horizontal="left" vertical="center" shrinkToFit="1"/>
      <protection hidden="1"/>
    </xf>
    <xf numFmtId="0" fontId="57" fillId="0" borderId="37" xfId="0" applyFont="1" applyFill="1" applyBorder="1" applyAlignment="1" applyProtection="1">
      <alignment horizontal="center" vertical="center" shrinkToFit="1"/>
      <protection locked="0" hidden="1"/>
    </xf>
    <xf numFmtId="164" fontId="57" fillId="0" borderId="40" xfId="0" applyNumberFormat="1" applyFont="1" applyFill="1" applyBorder="1" applyAlignment="1" applyProtection="1">
      <alignment horizontal="center" vertical="center" shrinkToFit="1"/>
      <protection locked="0" hidden="1"/>
    </xf>
    <xf numFmtId="49" fontId="57" fillId="0" borderId="37" xfId="0" applyNumberFormat="1" applyFont="1" applyFill="1" applyBorder="1" applyAlignment="1" applyProtection="1">
      <alignment horizontal="center" vertical="center" shrinkToFit="1"/>
      <protection locked="0" hidden="1"/>
    </xf>
    <xf numFmtId="0" fontId="50" fillId="0" borderId="37" xfId="0" applyFont="1" applyFill="1" applyBorder="1" applyAlignment="1" applyProtection="1">
      <alignment horizontal="center"/>
      <protection locked="0" hidden="1"/>
    </xf>
    <xf numFmtId="0" fontId="9" fillId="6" borderId="9" xfId="0" applyFont="1" applyFill="1" applyBorder="1" applyAlignment="1" applyProtection="1">
      <alignment horizontal="left"/>
      <protection hidden="1"/>
    </xf>
    <xf numFmtId="0" fontId="53" fillId="6" borderId="70" xfId="0" applyFont="1" applyFill="1" applyBorder="1" applyAlignment="1" applyProtection="1">
      <alignment horizontal="left" vertical="center"/>
      <protection hidden="1"/>
    </xf>
    <xf numFmtId="0" fontId="53" fillId="6" borderId="40" xfId="0" applyFont="1" applyFill="1" applyBorder="1" applyAlignment="1" applyProtection="1">
      <alignment horizontal="left" vertical="center"/>
      <protection hidden="1"/>
    </xf>
    <xf numFmtId="0" fontId="53" fillId="6" borderId="41" xfId="0" applyFont="1" applyFill="1" applyBorder="1" applyAlignment="1" applyProtection="1">
      <alignment horizontal="left" vertical="center"/>
      <protection hidden="1"/>
    </xf>
  </cellXfs>
  <cellStyles count="21">
    <cellStyle name="ConditionalStyle_1" xfId="5"/>
    <cellStyle name="Currency 2" xfId="19"/>
    <cellStyle name="Excel Built-in Normal" xfId="6"/>
    <cellStyle name="Heading" xfId="7"/>
    <cellStyle name="Heading1" xfId="8"/>
    <cellStyle name="Normal" xfId="0" builtinId="0"/>
    <cellStyle name="Normal 2" xfId="1"/>
    <cellStyle name="Normal 2 2" xfId="10"/>
    <cellStyle name="Normal 2 2 2" xfId="16"/>
    <cellStyle name="Normal 2 3" xfId="9"/>
    <cellStyle name="Normal 2 4" xfId="15"/>
    <cellStyle name="Normal 3" xfId="2"/>
    <cellStyle name="Normal 3 2" xfId="11"/>
    <cellStyle name="Normal 4" xfId="4"/>
    <cellStyle name="Normal 4 2" xfId="17"/>
    <cellStyle name="Normal 5" xfId="12"/>
    <cellStyle name="Normal 6" xfId="3"/>
    <cellStyle name="Normal 7" xfId="18"/>
    <cellStyle name="Percent 2" xfId="20"/>
    <cellStyle name="Result" xfId="13"/>
    <cellStyle name="Result2" xfId="14"/>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11</xdr:col>
      <xdr:colOff>186690</xdr:colOff>
      <xdr:row>0</xdr:row>
      <xdr:rowOff>114300</xdr:rowOff>
    </xdr:from>
    <xdr:to>
      <xdr:col>14</xdr:col>
      <xdr:colOff>396240</xdr:colOff>
      <xdr:row>2</xdr:row>
      <xdr:rowOff>9525</xdr:rowOff>
    </xdr:to>
    <xdr:sp macro="" textlink="">
      <xdr:nvSpPr>
        <xdr:cNvPr id="2" name="Text Box 118"/>
        <xdr:cNvSpPr txBox="1">
          <a:spLocks noChangeArrowheads="1"/>
        </xdr:cNvSpPr>
      </xdr:nvSpPr>
      <xdr:spPr bwMode="auto">
        <a:xfrm>
          <a:off x="8759190" y="114300"/>
          <a:ext cx="1609725" cy="295275"/>
        </a:xfrm>
        <a:prstGeom prst="rect">
          <a:avLst/>
        </a:prstGeom>
        <a:solidFill>
          <a:srgbClr val="FFFFFF"/>
        </a:solidFill>
        <a:ln>
          <a:noFill/>
        </a:ln>
        <a:extLst/>
      </xdr:spPr>
      <xdr:txBody>
        <a:bodyPr vertOverflow="clip" wrap="square" lIns="91440" tIns="45720" rIns="91440" bIns="45720" anchor="t" upright="1"/>
        <a:lstStyle/>
        <a:p>
          <a:pPr algn="ctr" rtl="0">
            <a:defRPr sz="1000"/>
          </a:pPr>
          <a:r>
            <a:rPr lang="en-US" sz="1100" b="1" i="0" u="none" strike="noStrike" baseline="0">
              <a:solidFill>
                <a:srgbClr val="000000"/>
              </a:solidFill>
              <a:latin typeface="Arial Narrow" panose="020B0606020202030204" pitchFamily="34" charset="0"/>
              <a:cs typeface="Arial"/>
            </a:rPr>
            <a:t>Form DR TB 10B</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E49"/>
  <sheetViews>
    <sheetView showGridLines="0" tabSelected="1" zoomScaleNormal="100" zoomScaleSheetLayoutView="78" workbookViewId="0">
      <selection sqref="A1:R1"/>
    </sheetView>
  </sheetViews>
  <sheetFormatPr defaultColWidth="9.109375" defaultRowHeight="13.8" x14ac:dyDescent="0.25"/>
  <cols>
    <col min="1" max="1" width="18.88671875" style="3" customWidth="1"/>
    <col min="2" max="2" width="11.6640625" style="3" customWidth="1"/>
    <col min="3" max="3" width="9.5546875" style="3" customWidth="1"/>
    <col min="4" max="4" width="13" style="3" customWidth="1"/>
    <col min="5" max="5" width="11.6640625" style="3" customWidth="1"/>
    <col min="6" max="7" width="9.88671875" style="3" customWidth="1"/>
    <col min="8" max="8" width="9.109375" style="3"/>
    <col min="9" max="9" width="7.5546875" style="3" customWidth="1"/>
    <col min="10" max="10" width="7.88671875" style="3" customWidth="1"/>
    <col min="11" max="11" width="9" style="3" customWidth="1"/>
    <col min="12" max="12" width="8.5546875" style="3" customWidth="1"/>
    <col min="13" max="13" width="8.44140625" style="3" customWidth="1"/>
    <col min="14" max="14" width="6.109375" style="3" customWidth="1"/>
    <col min="15" max="15" width="6.6640625" style="3" customWidth="1"/>
    <col min="16" max="16" width="7" style="3" customWidth="1"/>
    <col min="17" max="17" width="6.5546875" style="3" customWidth="1"/>
    <col min="18" max="18" width="7.109375" style="3" customWidth="1"/>
    <col min="19" max="20" width="6.6640625" style="3" customWidth="1"/>
    <col min="21" max="21" width="12.44140625" style="3" customWidth="1"/>
    <col min="22" max="22" width="8.33203125" style="3" customWidth="1"/>
    <col min="23" max="23" width="16.88671875" style="3" customWidth="1"/>
    <col min="24" max="24" width="10.44140625" style="3" customWidth="1"/>
    <col min="25" max="28" width="9.109375" style="3"/>
    <col min="29" max="29" width="13.33203125" style="3" customWidth="1"/>
    <col min="30" max="32" width="9.109375" style="3"/>
    <col min="33" max="603" width="9.109375" style="19"/>
    <col min="604" max="16384" width="9.109375" style="3"/>
  </cols>
  <sheetData>
    <row r="1" spans="1:603" ht="13.65" customHeight="1" x14ac:dyDescent="0.25">
      <c r="A1" s="165" t="s">
        <v>71</v>
      </c>
      <c r="B1" s="165"/>
      <c r="C1" s="165"/>
      <c r="D1" s="165"/>
      <c r="E1" s="165"/>
      <c r="F1" s="165"/>
      <c r="G1" s="165"/>
      <c r="H1" s="165"/>
      <c r="I1" s="165"/>
      <c r="J1" s="165"/>
      <c r="K1" s="165"/>
      <c r="L1" s="165"/>
      <c r="M1" s="165"/>
      <c r="N1" s="165"/>
      <c r="O1" s="165"/>
      <c r="P1" s="165"/>
      <c r="Q1" s="165"/>
      <c r="R1" s="165"/>
      <c r="S1" s="2" t="s">
        <v>70</v>
      </c>
      <c r="T1" s="1"/>
      <c r="U1" s="1"/>
      <c r="W1" s="1"/>
      <c r="X1" s="1"/>
    </row>
    <row r="2" spans="1:603" ht="13.65" customHeight="1" x14ac:dyDescent="0.25">
      <c r="A2" s="165" t="s">
        <v>67</v>
      </c>
      <c r="B2" s="165"/>
      <c r="C2" s="165"/>
      <c r="D2" s="165"/>
      <c r="E2" s="165"/>
      <c r="F2" s="165"/>
      <c r="G2" s="165"/>
      <c r="H2" s="165"/>
      <c r="I2" s="165"/>
      <c r="J2" s="165"/>
      <c r="K2" s="165"/>
      <c r="L2" s="165"/>
      <c r="M2" s="165"/>
      <c r="N2" s="165"/>
      <c r="O2" s="165"/>
      <c r="P2" s="165"/>
      <c r="Q2" s="165"/>
      <c r="R2" s="165"/>
      <c r="S2" s="165"/>
      <c r="T2" s="165"/>
      <c r="U2" s="165"/>
      <c r="V2" s="1"/>
      <c r="W2" s="1"/>
      <c r="X2" s="1"/>
    </row>
    <row r="3" spans="1:603" ht="13.65" customHeight="1" x14ac:dyDescent="0.25">
      <c r="A3" s="165" t="s">
        <v>80</v>
      </c>
      <c r="B3" s="165"/>
      <c r="C3" s="165"/>
      <c r="D3" s="165"/>
      <c r="E3" s="165"/>
      <c r="F3" s="165"/>
      <c r="G3" s="165"/>
      <c r="H3" s="165"/>
      <c r="I3" s="165"/>
      <c r="J3" s="165"/>
      <c r="K3" s="165"/>
      <c r="L3" s="165"/>
      <c r="M3" s="165"/>
      <c r="N3" s="165"/>
      <c r="O3" s="165"/>
      <c r="P3" s="165"/>
      <c r="Q3" s="165"/>
      <c r="R3" s="165"/>
      <c r="S3" s="43"/>
      <c r="T3" s="43"/>
      <c r="U3" s="43"/>
      <c r="V3" s="1"/>
      <c r="W3" s="1"/>
      <c r="X3" s="1"/>
    </row>
    <row r="4" spans="1:603" ht="13.65" customHeight="1" x14ac:dyDescent="0.25">
      <c r="A4" s="177" t="s">
        <v>72</v>
      </c>
      <c r="B4" s="177"/>
      <c r="C4" s="177"/>
      <c r="D4" s="177"/>
      <c r="E4" s="177"/>
      <c r="F4" s="177"/>
      <c r="G4" s="177"/>
      <c r="H4" s="177"/>
      <c r="I4" s="177"/>
      <c r="J4" s="177"/>
      <c r="K4" s="177"/>
      <c r="L4" s="177"/>
      <c r="M4" s="177"/>
      <c r="N4" s="177"/>
      <c r="O4" s="177"/>
      <c r="P4" s="177"/>
      <c r="Q4" s="177"/>
      <c r="R4" s="177"/>
      <c r="S4" s="177"/>
      <c r="T4" s="177"/>
      <c r="U4" s="177"/>
      <c r="V4" s="4"/>
      <c r="W4" s="4"/>
      <c r="X4" s="4"/>
    </row>
    <row r="5" spans="1:603" ht="36.75" customHeight="1" x14ac:dyDescent="0.25">
      <c r="A5" s="4"/>
      <c r="B5" s="4"/>
      <c r="C5" s="4"/>
      <c r="D5" s="4"/>
      <c r="E5" s="4"/>
      <c r="F5" s="4"/>
      <c r="G5" s="4"/>
      <c r="H5" s="4"/>
      <c r="I5" s="4"/>
      <c r="J5" s="4"/>
      <c r="K5" s="4"/>
      <c r="L5" s="4"/>
      <c r="M5" s="4"/>
      <c r="N5" s="4"/>
      <c r="O5" s="4"/>
      <c r="P5" s="4"/>
      <c r="Q5" s="4"/>
      <c r="R5" s="4"/>
      <c r="S5" s="4"/>
      <c r="T5" s="4"/>
      <c r="U5" s="4"/>
      <c r="V5" s="4"/>
      <c r="W5" s="4"/>
      <c r="X5" s="4"/>
    </row>
    <row r="6" spans="1:603" ht="15.75" customHeight="1" x14ac:dyDescent="0.25">
      <c r="A6" s="5" t="s">
        <v>87</v>
      </c>
      <c r="B6" s="5"/>
      <c r="C6" s="141"/>
      <c r="D6" s="141"/>
      <c r="E6" s="141"/>
      <c r="F6" s="141"/>
      <c r="G6" s="141"/>
      <c r="I6" s="1"/>
      <c r="J6" s="7" t="s">
        <v>16</v>
      </c>
      <c r="L6" s="66"/>
      <c r="M6" s="62" t="s">
        <v>14</v>
      </c>
      <c r="N6" s="215" t="str">
        <f>IF(L6="","",VLOOKUP(L6,#REF!,2,FALSE))</f>
        <v/>
      </c>
      <c r="O6" s="215"/>
      <c r="P6" s="8" t="s">
        <v>15</v>
      </c>
      <c r="R6" s="66"/>
    </row>
    <row r="7" spans="1:603" ht="15.75" customHeight="1" x14ac:dyDescent="0.25">
      <c r="A7" s="5" t="s">
        <v>9</v>
      </c>
      <c r="B7" s="5"/>
      <c r="C7" s="142"/>
      <c r="D7" s="142"/>
      <c r="E7" s="142"/>
      <c r="F7" s="142"/>
      <c r="G7" s="142"/>
      <c r="I7" s="6"/>
      <c r="J7" s="9" t="s">
        <v>69</v>
      </c>
      <c r="K7" s="9"/>
      <c r="L7" s="9"/>
      <c r="M7" s="9"/>
      <c r="N7" s="147"/>
      <c r="O7" s="147"/>
      <c r="P7" s="147"/>
      <c r="Q7" s="147"/>
      <c r="R7" s="147"/>
      <c r="S7" s="147"/>
    </row>
    <row r="8" spans="1:603" ht="15.75" customHeight="1" x14ac:dyDescent="0.25">
      <c r="A8" s="5" t="s">
        <v>10</v>
      </c>
      <c r="B8" s="5"/>
      <c r="C8" s="143"/>
      <c r="D8" s="143"/>
      <c r="E8" s="143"/>
      <c r="F8" s="143"/>
      <c r="G8" s="143"/>
      <c r="I8" s="6"/>
      <c r="J8" s="9" t="s">
        <v>68</v>
      </c>
      <c r="K8" s="9"/>
      <c r="L8" s="9"/>
      <c r="M8" s="147"/>
      <c r="N8" s="147"/>
      <c r="O8" s="147"/>
      <c r="P8" s="147"/>
      <c r="Q8" s="147"/>
      <c r="R8" s="147"/>
      <c r="S8" s="147"/>
    </row>
    <row r="9" spans="1:603" ht="15.75" customHeight="1" x14ac:dyDescent="0.25">
      <c r="J9" s="9" t="s">
        <v>11</v>
      </c>
      <c r="K9" s="9"/>
      <c r="L9" s="9"/>
      <c r="M9" s="148"/>
      <c r="N9" s="148"/>
      <c r="O9" s="64"/>
      <c r="P9" s="63"/>
    </row>
    <row r="10" spans="1:603" ht="15.75" customHeight="1" x14ac:dyDescent="0.3">
      <c r="J10" s="10" t="s">
        <v>75</v>
      </c>
      <c r="K10" s="149"/>
      <c r="L10" s="149"/>
      <c r="M10" s="10"/>
      <c r="N10" s="11"/>
      <c r="O10" s="9" t="s">
        <v>12</v>
      </c>
      <c r="Q10" s="150"/>
      <c r="R10" s="150"/>
      <c r="S10" s="150"/>
      <c r="T10" s="19"/>
    </row>
    <row r="11" spans="1:603" s="11" customFormat="1" ht="14.25" customHeight="1" thickBot="1" x14ac:dyDescent="0.35">
      <c r="A11" s="2" t="s">
        <v>0</v>
      </c>
      <c r="B11" s="23"/>
      <c r="C11" s="23"/>
      <c r="D11" s="23"/>
      <c r="E11" s="23"/>
      <c r="F11" s="3"/>
      <c r="G11" s="24"/>
      <c r="H11" s="24"/>
      <c r="I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c r="JD11" s="24"/>
      <c r="JE11" s="24"/>
      <c r="JF11" s="24"/>
      <c r="JG11" s="24"/>
      <c r="JH11" s="24"/>
      <c r="JI11" s="24"/>
      <c r="JJ11" s="24"/>
      <c r="JK11" s="24"/>
      <c r="JL11" s="24"/>
      <c r="JM11" s="24"/>
      <c r="JN11" s="24"/>
      <c r="JO11" s="24"/>
      <c r="JP11" s="24"/>
      <c r="JQ11" s="24"/>
      <c r="JR11" s="24"/>
      <c r="JS11" s="24"/>
      <c r="JT11" s="24"/>
      <c r="JU11" s="24"/>
      <c r="JV11" s="24"/>
      <c r="JW11" s="24"/>
      <c r="JX11" s="24"/>
      <c r="JY11" s="24"/>
      <c r="JZ11" s="24"/>
      <c r="KA11" s="24"/>
      <c r="KB11" s="24"/>
      <c r="KC11" s="24"/>
      <c r="KD11" s="24"/>
      <c r="KE11" s="24"/>
      <c r="KF11" s="24"/>
      <c r="KG11" s="24"/>
      <c r="KH11" s="24"/>
      <c r="KI11" s="24"/>
      <c r="KJ11" s="24"/>
      <c r="KK11" s="24"/>
      <c r="KL11" s="24"/>
      <c r="KM11" s="24"/>
      <c r="KN11" s="24"/>
      <c r="KO11" s="24"/>
      <c r="KP11" s="24"/>
      <c r="KQ11" s="24"/>
      <c r="KR11" s="24"/>
      <c r="KS11" s="24"/>
      <c r="KT11" s="24"/>
      <c r="KU11" s="24"/>
      <c r="KV11" s="24"/>
      <c r="KW11" s="24"/>
      <c r="KX11" s="24"/>
      <c r="KY11" s="24"/>
      <c r="KZ11" s="24"/>
      <c r="LA11" s="24"/>
      <c r="LB11" s="24"/>
      <c r="LC11" s="24"/>
      <c r="LD11" s="24"/>
      <c r="LE11" s="24"/>
      <c r="LF11" s="24"/>
      <c r="LG11" s="24"/>
      <c r="LH11" s="24"/>
      <c r="LI11" s="24"/>
      <c r="LJ11" s="24"/>
      <c r="LK11" s="24"/>
      <c r="LL11" s="24"/>
      <c r="LM11" s="24"/>
      <c r="LN11" s="24"/>
      <c r="LO11" s="24"/>
      <c r="LP11" s="24"/>
      <c r="LQ11" s="24"/>
      <c r="LR11" s="24"/>
      <c r="LS11" s="24"/>
      <c r="LT11" s="24"/>
      <c r="LU11" s="24"/>
      <c r="LV11" s="24"/>
      <c r="LW11" s="24"/>
      <c r="LX11" s="24"/>
      <c r="LY11" s="24"/>
      <c r="LZ11" s="24"/>
      <c r="MA11" s="24"/>
      <c r="MB11" s="24"/>
      <c r="MC11" s="24"/>
      <c r="MD11" s="24"/>
      <c r="ME11" s="24"/>
      <c r="MF11" s="24"/>
      <c r="MG11" s="24"/>
      <c r="MH11" s="24"/>
      <c r="MI11" s="24"/>
      <c r="MJ11" s="24"/>
      <c r="MK11" s="24"/>
      <c r="ML11" s="24"/>
      <c r="MM11" s="24"/>
      <c r="MN11" s="24"/>
      <c r="MO11" s="24"/>
      <c r="MP11" s="24"/>
      <c r="MQ11" s="24"/>
      <c r="MR11" s="24"/>
      <c r="MS11" s="24"/>
      <c r="MT11" s="24"/>
      <c r="MU11" s="24"/>
      <c r="MV11" s="24"/>
      <c r="MW11" s="24"/>
      <c r="MX11" s="24"/>
      <c r="MY11" s="24"/>
      <c r="MZ11" s="24"/>
      <c r="NA11" s="24"/>
      <c r="NB11" s="24"/>
      <c r="NC11" s="24"/>
      <c r="ND11" s="24"/>
      <c r="NE11" s="24"/>
      <c r="NF11" s="24"/>
      <c r="NG11" s="24"/>
      <c r="NH11" s="24"/>
      <c r="NI11" s="24"/>
      <c r="NJ11" s="24"/>
      <c r="NK11" s="24"/>
      <c r="NL11" s="24"/>
      <c r="NM11" s="24"/>
      <c r="NN11" s="24"/>
      <c r="NO11" s="24"/>
      <c r="NP11" s="24"/>
      <c r="NQ11" s="24"/>
      <c r="NR11" s="24"/>
      <c r="NS11" s="24"/>
      <c r="NT11" s="24"/>
      <c r="NU11" s="24"/>
      <c r="NV11" s="24"/>
      <c r="NW11" s="24"/>
      <c r="NX11" s="24"/>
      <c r="NY11" s="24"/>
      <c r="NZ11" s="24"/>
      <c r="OA11" s="24"/>
      <c r="OB11" s="24"/>
      <c r="OC11" s="24"/>
      <c r="OD11" s="24"/>
      <c r="OE11" s="24"/>
      <c r="OF11" s="24"/>
      <c r="OG11" s="24"/>
      <c r="OH11" s="24"/>
      <c r="OI11" s="24"/>
      <c r="OJ11" s="24"/>
      <c r="OK11" s="24"/>
      <c r="OL11" s="24"/>
      <c r="OM11" s="24"/>
      <c r="ON11" s="24"/>
      <c r="OO11" s="24"/>
      <c r="OP11" s="24"/>
      <c r="OQ11" s="24"/>
      <c r="OR11" s="24"/>
      <c r="OS11" s="24"/>
      <c r="OT11" s="24"/>
      <c r="OU11" s="24"/>
      <c r="OV11" s="24"/>
      <c r="OW11" s="24"/>
      <c r="OX11" s="24"/>
      <c r="OY11" s="24"/>
      <c r="OZ11" s="24"/>
      <c r="PA11" s="24"/>
      <c r="PB11" s="24"/>
      <c r="PC11" s="24"/>
      <c r="PD11" s="24"/>
      <c r="PE11" s="24"/>
      <c r="PF11" s="24"/>
      <c r="PG11" s="24"/>
      <c r="PH11" s="24"/>
      <c r="PI11" s="24"/>
      <c r="PJ11" s="24"/>
      <c r="PK11" s="24"/>
      <c r="PL11" s="24"/>
      <c r="PM11" s="24"/>
      <c r="PN11" s="24"/>
      <c r="PO11" s="24"/>
      <c r="PP11" s="24"/>
      <c r="PQ11" s="24"/>
      <c r="PR11" s="24"/>
      <c r="PS11" s="24"/>
      <c r="PT11" s="24"/>
      <c r="PU11" s="24"/>
      <c r="PV11" s="24"/>
      <c r="PW11" s="24"/>
      <c r="PX11" s="24"/>
      <c r="PY11" s="24"/>
      <c r="PZ11" s="24"/>
      <c r="QA11" s="24"/>
      <c r="QB11" s="24"/>
      <c r="QC11" s="24"/>
      <c r="QD11" s="24"/>
      <c r="QE11" s="24"/>
      <c r="QF11" s="24"/>
      <c r="QG11" s="24"/>
      <c r="QH11" s="24"/>
      <c r="QI11" s="24"/>
      <c r="QJ11" s="24"/>
      <c r="QK11" s="24"/>
      <c r="QL11" s="24"/>
      <c r="QM11" s="24"/>
      <c r="QN11" s="24"/>
      <c r="QO11" s="24"/>
      <c r="QP11" s="24"/>
      <c r="QQ11" s="24"/>
      <c r="QR11" s="24"/>
      <c r="QS11" s="24"/>
      <c r="QT11" s="24"/>
      <c r="QU11" s="24"/>
      <c r="QV11" s="24"/>
      <c r="QW11" s="24"/>
      <c r="QX11" s="24"/>
      <c r="QY11" s="24"/>
      <c r="QZ11" s="24"/>
      <c r="RA11" s="24"/>
      <c r="RB11" s="24"/>
      <c r="RC11" s="24"/>
      <c r="RD11" s="24"/>
      <c r="RE11" s="24"/>
      <c r="RF11" s="24"/>
      <c r="RG11" s="24"/>
      <c r="RH11" s="24"/>
      <c r="RI11" s="24"/>
      <c r="RJ11" s="24"/>
      <c r="RK11" s="24"/>
      <c r="RL11" s="24"/>
      <c r="RM11" s="24"/>
      <c r="RN11" s="24"/>
      <c r="RO11" s="24"/>
      <c r="RP11" s="24"/>
      <c r="RQ11" s="24"/>
      <c r="RR11" s="24"/>
      <c r="RS11" s="24"/>
      <c r="RT11" s="24"/>
      <c r="RU11" s="24"/>
      <c r="RV11" s="24"/>
      <c r="RW11" s="24"/>
      <c r="RX11" s="24"/>
      <c r="RY11" s="24"/>
      <c r="RZ11" s="24"/>
      <c r="SA11" s="24"/>
      <c r="SB11" s="24"/>
      <c r="SC11" s="24"/>
      <c r="SD11" s="24"/>
      <c r="SE11" s="24"/>
      <c r="SF11" s="24"/>
      <c r="SG11" s="24"/>
      <c r="SH11" s="24"/>
      <c r="SI11" s="24"/>
      <c r="SJ11" s="24"/>
      <c r="SK11" s="24"/>
      <c r="SL11" s="24"/>
      <c r="SM11" s="24"/>
      <c r="SN11" s="24"/>
      <c r="SO11" s="24"/>
      <c r="SP11" s="24"/>
      <c r="SQ11" s="24"/>
      <c r="SR11" s="24"/>
      <c r="SS11" s="24"/>
      <c r="ST11" s="24"/>
      <c r="SU11" s="24"/>
      <c r="SV11" s="24"/>
      <c r="SW11" s="24"/>
      <c r="SX11" s="24"/>
      <c r="SY11" s="24"/>
      <c r="SZ11" s="24"/>
      <c r="TA11" s="24"/>
      <c r="TB11" s="24"/>
      <c r="TC11" s="24"/>
      <c r="TD11" s="24"/>
      <c r="TE11" s="24"/>
      <c r="TF11" s="24"/>
      <c r="TG11" s="24"/>
      <c r="TH11" s="24"/>
      <c r="TI11" s="24"/>
      <c r="TJ11" s="24"/>
      <c r="TK11" s="24"/>
      <c r="TL11" s="24"/>
      <c r="TM11" s="24"/>
      <c r="TN11" s="24"/>
      <c r="TO11" s="24"/>
      <c r="TP11" s="24"/>
      <c r="TQ11" s="24"/>
      <c r="TR11" s="24"/>
      <c r="TS11" s="24"/>
      <c r="TT11" s="24"/>
      <c r="TU11" s="24"/>
      <c r="TV11" s="24"/>
      <c r="TW11" s="24"/>
      <c r="TX11" s="24"/>
      <c r="TY11" s="24"/>
      <c r="TZ11" s="24"/>
      <c r="UA11" s="24"/>
      <c r="UB11" s="24"/>
      <c r="UC11" s="24"/>
      <c r="UD11" s="24"/>
      <c r="UE11" s="24"/>
      <c r="UF11" s="24"/>
      <c r="UG11" s="24"/>
      <c r="UH11" s="24"/>
      <c r="UI11" s="24"/>
      <c r="UJ11" s="24"/>
      <c r="UK11" s="24"/>
      <c r="UL11" s="24"/>
      <c r="UM11" s="24"/>
      <c r="UN11" s="24"/>
      <c r="UO11" s="24"/>
      <c r="UP11" s="24"/>
      <c r="UQ11" s="24"/>
      <c r="UR11" s="24"/>
      <c r="US11" s="24"/>
      <c r="UT11" s="24"/>
      <c r="UU11" s="24"/>
      <c r="UV11" s="24"/>
      <c r="UW11" s="24"/>
      <c r="UX11" s="24"/>
      <c r="UY11" s="24"/>
      <c r="UZ11" s="24"/>
      <c r="VA11" s="24"/>
      <c r="VB11" s="24"/>
      <c r="VC11" s="24"/>
      <c r="VD11" s="24"/>
      <c r="VE11" s="24"/>
      <c r="VF11" s="24"/>
      <c r="VG11" s="24"/>
      <c r="VH11" s="24"/>
      <c r="VI11" s="24"/>
      <c r="VJ11" s="24"/>
      <c r="VK11" s="24"/>
      <c r="VL11" s="24"/>
      <c r="VM11" s="24"/>
      <c r="VN11" s="24"/>
      <c r="VO11" s="24"/>
      <c r="VP11" s="24"/>
      <c r="VQ11" s="24"/>
      <c r="VR11" s="24"/>
      <c r="VS11" s="24"/>
      <c r="VT11" s="24"/>
      <c r="VU11" s="24"/>
      <c r="VV11" s="24"/>
      <c r="VW11" s="24"/>
      <c r="VX11" s="24"/>
      <c r="VY11" s="24"/>
      <c r="VZ11" s="24"/>
      <c r="WA11" s="24"/>
      <c r="WB11" s="24"/>
      <c r="WC11" s="24"/>
      <c r="WD11" s="24"/>
      <c r="WE11" s="24"/>
    </row>
    <row r="12" spans="1:603" s="25" customFormat="1" ht="13.65" customHeight="1" x14ac:dyDescent="0.3">
      <c r="A12" s="230" t="s">
        <v>74</v>
      </c>
      <c r="B12" s="231"/>
      <c r="C12" s="232"/>
      <c r="D12" s="217" t="s">
        <v>85</v>
      </c>
      <c r="E12" s="217"/>
      <c r="F12" s="217"/>
      <c r="G12" s="217"/>
      <c r="H12" s="67">
        <f>D26+E39</f>
        <v>0</v>
      </c>
      <c r="I12" s="24"/>
      <c r="J12" s="314" t="s">
        <v>137</v>
      </c>
      <c r="K12" s="314"/>
      <c r="L12" s="314"/>
      <c r="M12" s="140"/>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4"/>
      <c r="MR12" s="24"/>
      <c r="MS12" s="24"/>
      <c r="MT12" s="24"/>
      <c r="MU12" s="24"/>
      <c r="MV12" s="24"/>
      <c r="MW12" s="24"/>
      <c r="MX12" s="24"/>
      <c r="MY12" s="24"/>
      <c r="MZ12" s="24"/>
      <c r="NA12" s="24"/>
      <c r="NB12" s="24"/>
      <c r="NC12" s="24"/>
      <c r="ND12" s="24"/>
      <c r="NE12" s="24"/>
      <c r="NF12" s="24"/>
      <c r="NG12" s="24"/>
      <c r="NH12" s="24"/>
      <c r="NI12" s="24"/>
      <c r="NJ12" s="24"/>
      <c r="NK12" s="24"/>
      <c r="NL12" s="24"/>
      <c r="NM12" s="24"/>
      <c r="NN12" s="24"/>
      <c r="NO12" s="24"/>
      <c r="NP12" s="24"/>
      <c r="NQ12" s="24"/>
      <c r="NR12" s="24"/>
      <c r="NS12" s="24"/>
      <c r="NT12" s="24"/>
      <c r="NU12" s="24"/>
      <c r="NV12" s="24"/>
      <c r="NW12" s="24"/>
      <c r="NX12" s="24"/>
      <c r="NY12" s="24"/>
      <c r="NZ12" s="24"/>
      <c r="OA12" s="24"/>
      <c r="OB12" s="24"/>
      <c r="OC12" s="24"/>
      <c r="OD12" s="24"/>
      <c r="OE12" s="24"/>
      <c r="OF12" s="24"/>
      <c r="OG12" s="24"/>
      <c r="OH12" s="24"/>
      <c r="OI12" s="24"/>
      <c r="OJ12" s="24"/>
      <c r="OK12" s="24"/>
      <c r="OL12" s="24"/>
      <c r="OM12" s="24"/>
      <c r="ON12" s="24"/>
      <c r="OO12" s="24"/>
      <c r="OP12" s="24"/>
      <c r="OQ12" s="24"/>
      <c r="OR12" s="24"/>
      <c r="OS12" s="24"/>
      <c r="OT12" s="24"/>
      <c r="OU12" s="24"/>
      <c r="OV12" s="24"/>
      <c r="OW12" s="24"/>
      <c r="OX12" s="24"/>
      <c r="OY12" s="24"/>
      <c r="OZ12" s="24"/>
      <c r="PA12" s="24"/>
      <c r="PB12" s="24"/>
      <c r="PC12" s="24"/>
      <c r="PD12" s="24"/>
      <c r="PE12" s="24"/>
      <c r="PF12" s="24"/>
      <c r="PG12" s="24"/>
      <c r="PH12" s="24"/>
      <c r="PI12" s="24"/>
      <c r="PJ12" s="24"/>
      <c r="PK12" s="24"/>
      <c r="PL12" s="24"/>
      <c r="PM12" s="24"/>
      <c r="PN12" s="24"/>
      <c r="PO12" s="24"/>
      <c r="PP12" s="24"/>
      <c r="PQ12" s="24"/>
      <c r="PR12" s="24"/>
      <c r="PS12" s="24"/>
      <c r="PT12" s="24"/>
      <c r="PU12" s="24"/>
      <c r="PV12" s="24"/>
      <c r="PW12" s="24"/>
      <c r="PX12" s="24"/>
      <c r="PY12" s="24"/>
      <c r="PZ12" s="24"/>
      <c r="QA12" s="24"/>
      <c r="QB12" s="24"/>
      <c r="QC12" s="24"/>
      <c r="QD12" s="24"/>
      <c r="QE12" s="24"/>
      <c r="QF12" s="24"/>
      <c r="QG12" s="24"/>
      <c r="QH12" s="24"/>
      <c r="QI12" s="24"/>
      <c r="QJ12" s="24"/>
      <c r="QK12" s="24"/>
      <c r="QL12" s="24"/>
      <c r="QM12" s="24"/>
      <c r="QN12" s="24"/>
      <c r="QO12" s="24"/>
      <c r="QP12" s="24"/>
      <c r="QQ12" s="24"/>
      <c r="QR12" s="24"/>
      <c r="QS12" s="24"/>
      <c r="QT12" s="24"/>
      <c r="QU12" s="24"/>
      <c r="QV12" s="24"/>
      <c r="QW12" s="24"/>
      <c r="QX12" s="24"/>
      <c r="QY12" s="24"/>
      <c r="QZ12" s="24"/>
      <c r="RA12" s="24"/>
      <c r="RB12" s="24"/>
      <c r="RC12" s="24"/>
      <c r="RD12" s="24"/>
      <c r="RE12" s="24"/>
      <c r="RF12" s="24"/>
      <c r="RG12" s="24"/>
      <c r="RH12" s="24"/>
      <c r="RI12" s="24"/>
      <c r="RJ12" s="24"/>
      <c r="RK12" s="24"/>
      <c r="RL12" s="24"/>
      <c r="RM12" s="24"/>
      <c r="RN12" s="24"/>
      <c r="RO12" s="24"/>
      <c r="RP12" s="24"/>
      <c r="RQ12" s="24"/>
      <c r="RR12" s="24"/>
      <c r="RS12" s="24"/>
      <c r="RT12" s="24"/>
      <c r="RU12" s="24"/>
      <c r="RV12" s="24"/>
      <c r="RW12" s="24"/>
      <c r="RX12" s="24"/>
      <c r="RY12" s="24"/>
      <c r="RZ12" s="24"/>
      <c r="SA12" s="24"/>
      <c r="SB12" s="24"/>
      <c r="SC12" s="24"/>
      <c r="SD12" s="24"/>
      <c r="SE12" s="24"/>
      <c r="SF12" s="24"/>
      <c r="SG12" s="24"/>
      <c r="SH12" s="24"/>
      <c r="SI12" s="24"/>
      <c r="SJ12" s="24"/>
      <c r="SK12" s="24"/>
      <c r="SL12" s="24"/>
      <c r="SM12" s="24"/>
      <c r="SN12" s="24"/>
      <c r="SO12" s="24"/>
      <c r="SP12" s="24"/>
      <c r="SQ12" s="24"/>
      <c r="SR12" s="24"/>
      <c r="SS12" s="24"/>
      <c r="ST12" s="24"/>
      <c r="SU12" s="24"/>
      <c r="SV12" s="24"/>
      <c r="SW12" s="24"/>
      <c r="SX12" s="24"/>
      <c r="SY12" s="24"/>
      <c r="SZ12" s="24"/>
      <c r="TA12" s="24"/>
      <c r="TB12" s="24"/>
      <c r="TC12" s="24"/>
      <c r="TD12" s="24"/>
      <c r="TE12" s="24"/>
      <c r="TF12" s="24"/>
      <c r="TG12" s="24"/>
      <c r="TH12" s="24"/>
      <c r="TI12" s="24"/>
      <c r="TJ12" s="24"/>
      <c r="TK12" s="24"/>
      <c r="TL12" s="24"/>
      <c r="TM12" s="24"/>
      <c r="TN12" s="24"/>
      <c r="TO12" s="24"/>
      <c r="TP12" s="24"/>
      <c r="TQ12" s="24"/>
      <c r="TR12" s="24"/>
      <c r="TS12" s="24"/>
      <c r="TT12" s="24"/>
      <c r="TU12" s="24"/>
      <c r="TV12" s="24"/>
      <c r="TW12" s="24"/>
      <c r="TX12" s="24"/>
      <c r="TY12" s="24"/>
      <c r="TZ12" s="24"/>
      <c r="UA12" s="24"/>
      <c r="UB12" s="24"/>
      <c r="UC12" s="24"/>
      <c r="UD12" s="24"/>
      <c r="UE12" s="24"/>
      <c r="UF12" s="24"/>
      <c r="UG12" s="24"/>
      <c r="UH12" s="24"/>
      <c r="UI12" s="24"/>
      <c r="UJ12" s="24"/>
      <c r="UK12" s="24"/>
      <c r="UL12" s="24"/>
      <c r="UM12" s="24"/>
      <c r="UN12" s="24"/>
      <c r="UO12" s="24"/>
      <c r="UP12" s="24"/>
      <c r="UQ12" s="24"/>
      <c r="UR12" s="24"/>
      <c r="US12" s="24"/>
      <c r="UT12" s="24"/>
      <c r="UU12" s="24"/>
      <c r="UV12" s="24"/>
      <c r="UW12" s="24"/>
      <c r="UX12" s="24"/>
      <c r="UY12" s="24"/>
      <c r="UZ12" s="24"/>
      <c r="VA12" s="24"/>
      <c r="VB12" s="24"/>
      <c r="VC12" s="24"/>
      <c r="VD12" s="24"/>
      <c r="VE12" s="24"/>
      <c r="VF12" s="24"/>
      <c r="VG12" s="24"/>
      <c r="VH12" s="24"/>
      <c r="VI12" s="24"/>
      <c r="VJ12" s="24"/>
      <c r="VK12" s="24"/>
      <c r="VL12" s="24"/>
      <c r="VM12" s="24"/>
      <c r="VN12" s="24"/>
      <c r="VO12" s="24"/>
      <c r="VP12" s="24"/>
      <c r="VQ12" s="24"/>
      <c r="VR12" s="24"/>
      <c r="VS12" s="24"/>
      <c r="VT12" s="24"/>
      <c r="VU12" s="24"/>
      <c r="VV12" s="24"/>
      <c r="VW12" s="24"/>
      <c r="VX12" s="24"/>
      <c r="VY12" s="24"/>
      <c r="VZ12" s="24"/>
      <c r="WA12" s="24"/>
      <c r="WB12" s="24"/>
      <c r="WC12" s="24"/>
      <c r="WD12" s="24"/>
      <c r="WE12" s="24"/>
    </row>
    <row r="13" spans="1:603" s="24" customFormat="1" ht="16.5" customHeight="1" x14ac:dyDescent="0.3">
      <c r="A13" s="233"/>
      <c r="B13" s="234"/>
      <c r="C13" s="235"/>
      <c r="D13" s="218" t="s">
        <v>77</v>
      </c>
      <c r="E13" s="218"/>
      <c r="F13" s="218"/>
      <c r="G13" s="218"/>
      <c r="H13" s="68">
        <f>U26</f>
        <v>0</v>
      </c>
      <c r="J13" s="314" t="s">
        <v>139</v>
      </c>
      <c r="K13" s="314"/>
      <c r="L13" s="314"/>
      <c r="M13" s="140"/>
    </row>
    <row r="14" spans="1:603" s="24" customFormat="1" ht="12.75" customHeight="1" thickBot="1" x14ac:dyDescent="0.35">
      <c r="A14" s="236"/>
      <c r="B14" s="237"/>
      <c r="C14" s="238"/>
      <c r="D14" s="219" t="s">
        <v>3</v>
      </c>
      <c r="E14" s="219"/>
      <c r="F14" s="219"/>
      <c r="G14" s="219"/>
      <c r="H14" s="69">
        <f>H12+H13</f>
        <v>0</v>
      </c>
      <c r="J14" s="315" t="s">
        <v>138</v>
      </c>
      <c r="K14" s="316"/>
      <c r="L14" s="317"/>
      <c r="M14" s="140"/>
    </row>
    <row r="15" spans="1:603" s="25" customFormat="1" ht="3.75" customHeight="1" thickBot="1" x14ac:dyDescent="0.35">
      <c r="A15" s="13"/>
      <c r="B15" s="27"/>
      <c r="C15" s="27"/>
      <c r="D15" s="27"/>
      <c r="E15" s="27"/>
      <c r="F15" s="19"/>
      <c r="G15" s="24"/>
      <c r="H15" s="24"/>
      <c r="I15" s="24"/>
      <c r="J15" s="26"/>
      <c r="K15" s="26"/>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c r="KW15" s="24"/>
      <c r="KX15" s="24"/>
      <c r="KY15" s="24"/>
      <c r="KZ15" s="24"/>
      <c r="LA15" s="24"/>
      <c r="LB15" s="24"/>
      <c r="LC15" s="24"/>
      <c r="LD15" s="24"/>
      <c r="LE15" s="24"/>
      <c r="LF15" s="24"/>
      <c r="LG15" s="24"/>
      <c r="LH15" s="24"/>
      <c r="LI15" s="24"/>
      <c r="LJ15" s="24"/>
      <c r="LK15" s="24"/>
      <c r="LL15" s="24"/>
      <c r="LM15" s="24"/>
      <c r="LN15" s="24"/>
      <c r="LO15" s="24"/>
      <c r="LP15" s="24"/>
      <c r="LQ15" s="24"/>
      <c r="LR15" s="24"/>
      <c r="LS15" s="24"/>
      <c r="LT15" s="24"/>
      <c r="LU15" s="24"/>
      <c r="LV15" s="24"/>
      <c r="LW15" s="24"/>
      <c r="LX15" s="24"/>
      <c r="LY15" s="24"/>
      <c r="LZ15" s="24"/>
      <c r="MA15" s="24"/>
      <c r="MB15" s="24"/>
      <c r="MC15" s="24"/>
      <c r="MD15" s="24"/>
      <c r="ME15" s="24"/>
      <c r="MF15" s="24"/>
      <c r="MG15" s="24"/>
      <c r="MH15" s="24"/>
      <c r="MI15" s="24"/>
      <c r="MJ15" s="24"/>
      <c r="MK15" s="24"/>
      <c r="ML15" s="24"/>
      <c r="MM15" s="24"/>
      <c r="MN15" s="24"/>
      <c r="MO15" s="24"/>
      <c r="MP15" s="24"/>
      <c r="MQ15" s="24"/>
      <c r="MR15" s="24"/>
      <c r="MS15" s="24"/>
      <c r="MT15" s="24"/>
      <c r="MU15" s="24"/>
      <c r="MV15" s="24"/>
      <c r="MW15" s="24"/>
      <c r="MX15" s="24"/>
      <c r="MY15" s="24"/>
      <c r="MZ15" s="24"/>
      <c r="NA15" s="24"/>
      <c r="NB15" s="24"/>
      <c r="NC15" s="24"/>
      <c r="ND15" s="24"/>
      <c r="NE15" s="24"/>
      <c r="NF15" s="24"/>
      <c r="NG15" s="24"/>
      <c r="NH15" s="24"/>
      <c r="NI15" s="24"/>
      <c r="NJ15" s="24"/>
      <c r="NK15" s="24"/>
      <c r="NL15" s="24"/>
      <c r="NM15" s="24"/>
      <c r="NN15" s="24"/>
      <c r="NO15" s="24"/>
      <c r="NP15" s="24"/>
      <c r="NQ15" s="24"/>
      <c r="NR15" s="24"/>
      <c r="NS15" s="24"/>
      <c r="NT15" s="24"/>
      <c r="NU15" s="24"/>
      <c r="NV15" s="24"/>
      <c r="NW15" s="24"/>
      <c r="NX15" s="24"/>
      <c r="NY15" s="24"/>
      <c r="NZ15" s="24"/>
      <c r="OA15" s="24"/>
      <c r="OB15" s="24"/>
      <c r="OC15" s="24"/>
      <c r="OD15" s="24"/>
      <c r="OE15" s="24"/>
      <c r="OF15" s="24"/>
      <c r="OG15" s="24"/>
      <c r="OH15" s="24"/>
      <c r="OI15" s="24"/>
      <c r="OJ15" s="24"/>
      <c r="OK15" s="24"/>
      <c r="OL15" s="24"/>
      <c r="OM15" s="24"/>
      <c r="ON15" s="24"/>
      <c r="OO15" s="24"/>
      <c r="OP15" s="24"/>
      <c r="OQ15" s="24"/>
      <c r="OR15" s="24"/>
      <c r="OS15" s="24"/>
      <c r="OT15" s="24"/>
      <c r="OU15" s="24"/>
      <c r="OV15" s="24"/>
      <c r="OW15" s="24"/>
      <c r="OX15" s="24"/>
      <c r="OY15" s="24"/>
      <c r="OZ15" s="24"/>
      <c r="PA15" s="24"/>
      <c r="PB15" s="24"/>
      <c r="PC15" s="24"/>
      <c r="PD15" s="24"/>
      <c r="PE15" s="24"/>
      <c r="PF15" s="24"/>
      <c r="PG15" s="24"/>
      <c r="PH15" s="24"/>
      <c r="PI15" s="24"/>
      <c r="PJ15" s="24"/>
      <c r="PK15" s="24"/>
      <c r="PL15" s="24"/>
      <c r="PM15" s="24"/>
      <c r="PN15" s="24"/>
      <c r="PO15" s="24"/>
      <c r="PP15" s="24"/>
      <c r="PQ15" s="24"/>
      <c r="PR15" s="24"/>
      <c r="PS15" s="24"/>
      <c r="PT15" s="24"/>
      <c r="PU15" s="24"/>
      <c r="PV15" s="24"/>
      <c r="PW15" s="24"/>
      <c r="PX15" s="24"/>
      <c r="PY15" s="24"/>
      <c r="PZ15" s="24"/>
      <c r="QA15" s="24"/>
      <c r="QB15" s="24"/>
      <c r="QC15" s="24"/>
      <c r="QD15" s="24"/>
      <c r="QE15" s="24"/>
      <c r="QF15" s="24"/>
      <c r="QG15" s="24"/>
      <c r="QH15" s="24"/>
      <c r="QI15" s="24"/>
      <c r="QJ15" s="24"/>
      <c r="QK15" s="24"/>
      <c r="QL15" s="24"/>
      <c r="QM15" s="24"/>
      <c r="QN15" s="24"/>
      <c r="QO15" s="24"/>
      <c r="QP15" s="24"/>
      <c r="QQ15" s="24"/>
      <c r="QR15" s="24"/>
      <c r="QS15" s="24"/>
      <c r="QT15" s="24"/>
      <c r="QU15" s="24"/>
      <c r="QV15" s="24"/>
      <c r="QW15" s="24"/>
      <c r="QX15" s="24"/>
      <c r="QY15" s="24"/>
      <c r="QZ15" s="24"/>
      <c r="RA15" s="24"/>
      <c r="RB15" s="24"/>
      <c r="RC15" s="24"/>
      <c r="RD15" s="24"/>
      <c r="RE15" s="24"/>
      <c r="RF15" s="24"/>
      <c r="RG15" s="24"/>
      <c r="RH15" s="24"/>
      <c r="RI15" s="24"/>
      <c r="RJ15" s="24"/>
      <c r="RK15" s="24"/>
      <c r="RL15" s="24"/>
      <c r="RM15" s="24"/>
      <c r="RN15" s="24"/>
      <c r="RO15" s="24"/>
      <c r="RP15" s="24"/>
      <c r="RQ15" s="24"/>
      <c r="RR15" s="24"/>
      <c r="RS15" s="24"/>
      <c r="RT15" s="24"/>
      <c r="RU15" s="24"/>
      <c r="RV15" s="24"/>
      <c r="RW15" s="24"/>
      <c r="RX15" s="24"/>
      <c r="RY15" s="24"/>
      <c r="RZ15" s="24"/>
      <c r="SA15" s="24"/>
      <c r="SB15" s="24"/>
      <c r="SC15" s="24"/>
      <c r="SD15" s="24"/>
      <c r="SE15" s="24"/>
      <c r="SF15" s="24"/>
      <c r="SG15" s="24"/>
      <c r="SH15" s="24"/>
      <c r="SI15" s="24"/>
      <c r="SJ15" s="24"/>
      <c r="SK15" s="24"/>
      <c r="SL15" s="24"/>
      <c r="SM15" s="24"/>
      <c r="SN15" s="24"/>
      <c r="SO15" s="24"/>
      <c r="SP15" s="24"/>
      <c r="SQ15" s="24"/>
      <c r="SR15" s="24"/>
      <c r="SS15" s="24"/>
      <c r="ST15" s="24"/>
      <c r="SU15" s="24"/>
      <c r="SV15" s="24"/>
      <c r="SW15" s="24"/>
      <c r="SX15" s="24"/>
      <c r="SY15" s="24"/>
      <c r="SZ15" s="24"/>
      <c r="TA15" s="24"/>
      <c r="TB15" s="24"/>
      <c r="TC15" s="24"/>
      <c r="TD15" s="24"/>
      <c r="TE15" s="24"/>
      <c r="TF15" s="24"/>
      <c r="TG15" s="24"/>
      <c r="TH15" s="24"/>
      <c r="TI15" s="24"/>
      <c r="TJ15" s="24"/>
      <c r="TK15" s="24"/>
      <c r="TL15" s="24"/>
      <c r="TM15" s="24"/>
      <c r="TN15" s="24"/>
      <c r="TO15" s="24"/>
      <c r="TP15" s="24"/>
      <c r="TQ15" s="24"/>
      <c r="TR15" s="24"/>
      <c r="TS15" s="24"/>
      <c r="TT15" s="24"/>
      <c r="TU15" s="24"/>
      <c r="TV15" s="24"/>
      <c r="TW15" s="24"/>
      <c r="TX15" s="24"/>
      <c r="TY15" s="24"/>
      <c r="TZ15" s="24"/>
      <c r="UA15" s="24"/>
      <c r="UB15" s="24"/>
      <c r="UC15" s="24"/>
      <c r="UD15" s="24"/>
      <c r="UE15" s="24"/>
      <c r="UF15" s="24"/>
      <c r="UG15" s="24"/>
      <c r="UH15" s="24"/>
      <c r="UI15" s="24"/>
      <c r="UJ15" s="24"/>
      <c r="UK15" s="24"/>
      <c r="UL15" s="24"/>
      <c r="UM15" s="24"/>
      <c r="UN15" s="24"/>
      <c r="UO15" s="24"/>
      <c r="UP15" s="24"/>
      <c r="UQ15" s="24"/>
      <c r="UR15" s="24"/>
      <c r="US15" s="24"/>
      <c r="UT15" s="24"/>
      <c r="UU15" s="24"/>
      <c r="UV15" s="24"/>
      <c r="UW15" s="24"/>
      <c r="UX15" s="24"/>
      <c r="UY15" s="24"/>
      <c r="UZ15" s="24"/>
      <c r="VA15" s="24"/>
      <c r="VB15" s="24"/>
      <c r="VC15" s="24"/>
      <c r="VD15" s="24"/>
      <c r="VE15" s="24"/>
      <c r="VF15" s="24"/>
      <c r="VG15" s="24"/>
      <c r="VH15" s="24"/>
      <c r="VI15" s="24"/>
      <c r="VJ15" s="24"/>
      <c r="VK15" s="24"/>
      <c r="VL15" s="24"/>
      <c r="VM15" s="24"/>
      <c r="VN15" s="24"/>
      <c r="VO15" s="24"/>
      <c r="VP15" s="24"/>
      <c r="VQ15" s="24"/>
      <c r="VR15" s="24"/>
      <c r="VS15" s="24"/>
      <c r="VT15" s="24"/>
      <c r="VU15" s="24"/>
      <c r="VV15" s="24"/>
      <c r="VW15" s="24"/>
      <c r="VX15" s="24"/>
      <c r="VY15" s="24"/>
      <c r="VZ15" s="24"/>
      <c r="WA15" s="24"/>
      <c r="WB15" s="24"/>
      <c r="WC15" s="24"/>
      <c r="WD15" s="24"/>
      <c r="WE15" s="24"/>
    </row>
    <row r="16" spans="1:603" s="11" customFormat="1" ht="17.399999999999999" customHeight="1" thickBot="1" x14ac:dyDescent="0.35">
      <c r="A16" s="12" t="s">
        <v>62</v>
      </c>
      <c r="B16" s="28"/>
      <c r="C16" s="28"/>
      <c r="D16" s="22" t="s">
        <v>84</v>
      </c>
      <c r="E16" s="22" t="s">
        <v>73</v>
      </c>
      <c r="F16" s="58" t="s">
        <v>3</v>
      </c>
      <c r="G16" s="29"/>
      <c r="H16" s="29"/>
      <c r="I16" s="29"/>
      <c r="J16" s="29"/>
      <c r="K16" s="29"/>
      <c r="L16" s="29"/>
      <c r="M16" s="29"/>
      <c r="N16" s="29"/>
      <c r="O16" s="29"/>
      <c r="P16" s="29"/>
      <c r="Q16" s="29"/>
      <c r="R16" s="29"/>
      <c r="S16" s="29"/>
      <c r="T16" s="29"/>
      <c r="U16" s="30"/>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4"/>
      <c r="MR16" s="24"/>
      <c r="MS16" s="24"/>
      <c r="MT16" s="24"/>
      <c r="MU16" s="24"/>
      <c r="MV16" s="24"/>
      <c r="MW16" s="24"/>
      <c r="MX16" s="24"/>
      <c r="MY16" s="24"/>
      <c r="MZ16" s="24"/>
      <c r="NA16" s="24"/>
      <c r="NB16" s="24"/>
      <c r="NC16" s="24"/>
      <c r="ND16" s="24"/>
      <c r="NE16" s="24"/>
      <c r="NF16" s="24"/>
      <c r="NG16" s="24"/>
      <c r="NH16" s="24"/>
      <c r="NI16" s="24"/>
      <c r="NJ16" s="24"/>
      <c r="NK16" s="24"/>
      <c r="NL16" s="24"/>
      <c r="NM16" s="24"/>
      <c r="NN16" s="24"/>
      <c r="NO16" s="24"/>
      <c r="NP16" s="24"/>
      <c r="NQ16" s="24"/>
      <c r="NR16" s="24"/>
      <c r="NS16" s="24"/>
      <c r="NT16" s="24"/>
      <c r="NU16" s="24"/>
      <c r="NV16" s="24"/>
      <c r="NW16" s="24"/>
      <c r="NX16" s="24"/>
      <c r="NY16" s="24"/>
      <c r="NZ16" s="24"/>
      <c r="OA16" s="24"/>
      <c r="OB16" s="24"/>
      <c r="OC16" s="24"/>
      <c r="OD16" s="24"/>
      <c r="OE16" s="24"/>
      <c r="OF16" s="24"/>
      <c r="OG16" s="24"/>
      <c r="OH16" s="24"/>
      <c r="OI16" s="24"/>
      <c r="OJ16" s="24"/>
      <c r="OK16" s="24"/>
      <c r="OL16" s="24"/>
      <c r="OM16" s="24"/>
      <c r="ON16" s="24"/>
      <c r="OO16" s="24"/>
      <c r="OP16" s="24"/>
      <c r="OQ16" s="24"/>
      <c r="OR16" s="24"/>
      <c r="OS16" s="24"/>
      <c r="OT16" s="24"/>
      <c r="OU16" s="24"/>
      <c r="OV16" s="24"/>
      <c r="OW16" s="24"/>
      <c r="OX16" s="24"/>
      <c r="OY16" s="24"/>
      <c r="OZ16" s="24"/>
      <c r="PA16" s="24"/>
      <c r="PB16" s="24"/>
      <c r="PC16" s="24"/>
      <c r="PD16" s="24"/>
      <c r="PE16" s="24"/>
      <c r="PF16" s="24"/>
      <c r="PG16" s="24"/>
      <c r="PH16" s="24"/>
      <c r="PI16" s="24"/>
      <c r="PJ16" s="24"/>
      <c r="PK16" s="24"/>
      <c r="PL16" s="24"/>
      <c r="PM16" s="24"/>
      <c r="PN16" s="24"/>
      <c r="PO16" s="24"/>
      <c r="PP16" s="24"/>
      <c r="PQ16" s="24"/>
      <c r="PR16" s="24"/>
      <c r="PS16" s="24"/>
      <c r="PT16" s="24"/>
      <c r="PU16" s="24"/>
      <c r="PV16" s="24"/>
      <c r="PW16" s="24"/>
      <c r="PX16" s="24"/>
      <c r="PY16" s="24"/>
      <c r="PZ16" s="24"/>
      <c r="QA16" s="24"/>
      <c r="QB16" s="24"/>
      <c r="QC16" s="24"/>
      <c r="QD16" s="24"/>
      <c r="QE16" s="24"/>
      <c r="QF16" s="24"/>
      <c r="QG16" s="24"/>
      <c r="QH16" s="24"/>
      <c r="QI16" s="24"/>
      <c r="QJ16" s="24"/>
      <c r="QK16" s="24"/>
      <c r="QL16" s="24"/>
      <c r="QM16" s="24"/>
      <c r="QN16" s="24"/>
      <c r="QO16" s="24"/>
      <c r="QP16" s="24"/>
      <c r="QQ16" s="24"/>
      <c r="QR16" s="24"/>
      <c r="QS16" s="24"/>
      <c r="QT16" s="24"/>
      <c r="QU16" s="24"/>
      <c r="QV16" s="24"/>
      <c r="QW16" s="24"/>
      <c r="QX16" s="24"/>
      <c r="QY16" s="24"/>
      <c r="QZ16" s="24"/>
      <c r="RA16" s="24"/>
      <c r="RB16" s="24"/>
      <c r="RC16" s="24"/>
      <c r="RD16" s="24"/>
      <c r="RE16" s="24"/>
      <c r="RF16" s="24"/>
      <c r="RG16" s="24"/>
      <c r="RH16" s="24"/>
      <c r="RI16" s="24"/>
      <c r="RJ16" s="24"/>
      <c r="RK16" s="24"/>
      <c r="RL16" s="24"/>
      <c r="RM16" s="24"/>
      <c r="RN16" s="24"/>
      <c r="RO16" s="24"/>
      <c r="RP16" s="24"/>
      <c r="RQ16" s="24"/>
      <c r="RR16" s="24"/>
      <c r="RS16" s="24"/>
      <c r="RT16" s="24"/>
      <c r="RU16" s="24"/>
      <c r="RV16" s="24"/>
      <c r="RW16" s="24"/>
      <c r="RX16" s="24"/>
      <c r="RY16" s="24"/>
      <c r="RZ16" s="24"/>
      <c r="SA16" s="24"/>
      <c r="SB16" s="24"/>
      <c r="SC16" s="24"/>
      <c r="SD16" s="24"/>
      <c r="SE16" s="24"/>
      <c r="SF16" s="24"/>
      <c r="SG16" s="24"/>
      <c r="SH16" s="24"/>
      <c r="SI16" s="24"/>
      <c r="SJ16" s="24"/>
      <c r="SK16" s="24"/>
      <c r="SL16" s="24"/>
      <c r="SM16" s="24"/>
      <c r="SN16" s="24"/>
      <c r="SO16" s="24"/>
      <c r="SP16" s="24"/>
      <c r="SQ16" s="24"/>
      <c r="SR16" s="24"/>
      <c r="SS16" s="24"/>
      <c r="ST16" s="24"/>
      <c r="SU16" s="24"/>
      <c r="SV16" s="24"/>
      <c r="SW16" s="24"/>
      <c r="SX16" s="24"/>
      <c r="SY16" s="24"/>
      <c r="SZ16" s="24"/>
      <c r="TA16" s="24"/>
      <c r="TB16" s="24"/>
      <c r="TC16" s="24"/>
      <c r="TD16" s="24"/>
      <c r="TE16" s="24"/>
      <c r="TF16" s="24"/>
      <c r="TG16" s="24"/>
      <c r="TH16" s="24"/>
      <c r="TI16" s="24"/>
      <c r="TJ16" s="24"/>
      <c r="TK16" s="24"/>
      <c r="TL16" s="24"/>
      <c r="TM16" s="24"/>
      <c r="TN16" s="24"/>
      <c r="TO16" s="24"/>
      <c r="TP16" s="24"/>
      <c r="TQ16" s="24"/>
      <c r="TR16" s="24"/>
      <c r="TS16" s="24"/>
      <c r="TT16" s="24"/>
      <c r="TU16" s="24"/>
      <c r="TV16" s="24"/>
      <c r="TW16" s="24"/>
      <c r="TX16" s="24"/>
      <c r="TY16" s="24"/>
      <c r="TZ16" s="24"/>
      <c r="UA16" s="24"/>
      <c r="UB16" s="24"/>
      <c r="UC16" s="24"/>
      <c r="UD16" s="24"/>
      <c r="UE16" s="24"/>
      <c r="UF16" s="24"/>
      <c r="UG16" s="24"/>
      <c r="UH16" s="24"/>
      <c r="UI16" s="24"/>
      <c r="UJ16" s="24"/>
      <c r="UK16" s="24"/>
      <c r="UL16" s="24"/>
      <c r="UM16" s="24"/>
      <c r="UN16" s="24"/>
      <c r="UO16" s="24"/>
      <c r="UP16" s="24"/>
      <c r="UQ16" s="24"/>
      <c r="UR16" s="24"/>
      <c r="US16" s="24"/>
      <c r="UT16" s="24"/>
      <c r="UU16" s="24"/>
      <c r="UV16" s="24"/>
      <c r="UW16" s="24"/>
      <c r="UX16" s="24"/>
      <c r="UY16" s="24"/>
      <c r="UZ16" s="24"/>
      <c r="VA16" s="24"/>
      <c r="VB16" s="24"/>
      <c r="VC16" s="24"/>
      <c r="VD16" s="24"/>
      <c r="VE16" s="24"/>
      <c r="VF16" s="24"/>
      <c r="VG16" s="24"/>
      <c r="VH16" s="24"/>
      <c r="VI16" s="24"/>
      <c r="VJ16" s="24"/>
      <c r="VK16" s="24"/>
      <c r="VL16" s="24"/>
      <c r="VM16" s="24"/>
      <c r="VN16" s="24"/>
      <c r="VO16" s="24"/>
      <c r="VP16" s="24"/>
      <c r="VQ16" s="24"/>
      <c r="VR16" s="24"/>
      <c r="VS16" s="24"/>
      <c r="VT16" s="24"/>
      <c r="VU16" s="24"/>
      <c r="VV16" s="24"/>
      <c r="VW16" s="24"/>
      <c r="VX16" s="24"/>
      <c r="VY16" s="24"/>
      <c r="VZ16" s="24"/>
      <c r="WA16" s="24"/>
      <c r="WB16" s="24"/>
      <c r="WC16" s="24"/>
      <c r="WD16" s="24"/>
      <c r="WE16" s="24"/>
    </row>
    <row r="17" spans="1:603" s="11" customFormat="1" ht="15.75" customHeight="1" x14ac:dyDescent="0.3">
      <c r="A17" s="253" t="s">
        <v>63</v>
      </c>
      <c r="B17" s="254"/>
      <c r="C17" s="254"/>
      <c r="D17" s="70">
        <f>D29+E41-D32-E43</f>
        <v>0</v>
      </c>
      <c r="E17" s="70">
        <f>+U29-U32</f>
        <v>0</v>
      </c>
      <c r="F17" s="71">
        <f>+E17+D17</f>
        <v>0</v>
      </c>
      <c r="G17" s="24"/>
      <c r="H17" s="223" t="s">
        <v>66</v>
      </c>
      <c r="I17" s="223"/>
      <c r="J17" s="223"/>
      <c r="K17" s="223"/>
      <c r="L17" s="224" t="s">
        <v>83</v>
      </c>
      <c r="M17" s="225"/>
      <c r="N17" s="226"/>
      <c r="O17" s="227" t="s">
        <v>73</v>
      </c>
      <c r="P17" s="228"/>
      <c r="Q17" s="229"/>
      <c r="R17" s="55" t="s">
        <v>3</v>
      </c>
      <c r="S17" s="24"/>
      <c r="T17" s="24"/>
      <c r="U17" s="31"/>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4"/>
      <c r="MR17" s="24"/>
      <c r="MS17" s="24"/>
      <c r="MT17" s="24"/>
      <c r="MU17" s="24"/>
      <c r="MV17" s="24"/>
      <c r="MW17" s="24"/>
      <c r="MX17" s="24"/>
      <c r="MY17" s="24"/>
      <c r="MZ17" s="24"/>
      <c r="NA17" s="24"/>
      <c r="NB17" s="24"/>
      <c r="NC17" s="24"/>
      <c r="ND17" s="24"/>
      <c r="NE17" s="24"/>
      <c r="NF17" s="24"/>
      <c r="NG17" s="24"/>
      <c r="NH17" s="24"/>
      <c r="NI17" s="24"/>
      <c r="NJ17" s="24"/>
      <c r="NK17" s="24"/>
      <c r="NL17" s="24"/>
      <c r="NM17" s="24"/>
      <c r="NN17" s="24"/>
      <c r="NO17" s="24"/>
      <c r="NP17" s="24"/>
      <c r="NQ17" s="24"/>
      <c r="NR17" s="24"/>
      <c r="NS17" s="24"/>
      <c r="NT17" s="24"/>
      <c r="NU17" s="24"/>
      <c r="NV17" s="24"/>
      <c r="NW17" s="24"/>
      <c r="NX17" s="24"/>
      <c r="NY17" s="24"/>
      <c r="NZ17" s="24"/>
      <c r="OA17" s="24"/>
      <c r="OB17" s="24"/>
      <c r="OC17" s="24"/>
      <c r="OD17" s="24"/>
      <c r="OE17" s="24"/>
      <c r="OF17" s="24"/>
      <c r="OG17" s="24"/>
      <c r="OH17" s="24"/>
      <c r="OI17" s="24"/>
      <c r="OJ17" s="24"/>
      <c r="OK17" s="24"/>
      <c r="OL17" s="24"/>
      <c r="OM17" s="24"/>
      <c r="ON17" s="24"/>
      <c r="OO17" s="24"/>
      <c r="OP17" s="24"/>
      <c r="OQ17" s="24"/>
      <c r="OR17" s="24"/>
      <c r="OS17" s="24"/>
      <c r="OT17" s="24"/>
      <c r="OU17" s="24"/>
      <c r="OV17" s="24"/>
      <c r="OW17" s="24"/>
      <c r="OX17" s="24"/>
      <c r="OY17" s="24"/>
      <c r="OZ17" s="24"/>
      <c r="PA17" s="24"/>
      <c r="PB17" s="24"/>
      <c r="PC17" s="24"/>
      <c r="PD17" s="24"/>
      <c r="PE17" s="24"/>
      <c r="PF17" s="24"/>
      <c r="PG17" s="24"/>
      <c r="PH17" s="24"/>
      <c r="PI17" s="24"/>
      <c r="PJ17" s="24"/>
      <c r="PK17" s="24"/>
      <c r="PL17" s="24"/>
      <c r="PM17" s="24"/>
      <c r="PN17" s="24"/>
      <c r="PO17" s="24"/>
      <c r="PP17" s="24"/>
      <c r="PQ17" s="24"/>
      <c r="PR17" s="24"/>
      <c r="PS17" s="24"/>
      <c r="PT17" s="24"/>
      <c r="PU17" s="24"/>
      <c r="PV17" s="24"/>
      <c r="PW17" s="24"/>
      <c r="PX17" s="24"/>
      <c r="PY17" s="24"/>
      <c r="PZ17" s="24"/>
      <c r="QA17" s="24"/>
      <c r="QB17" s="24"/>
      <c r="QC17" s="24"/>
      <c r="QD17" s="24"/>
      <c r="QE17" s="24"/>
      <c r="QF17" s="24"/>
      <c r="QG17" s="24"/>
      <c r="QH17" s="24"/>
      <c r="QI17" s="24"/>
      <c r="QJ17" s="24"/>
      <c r="QK17" s="24"/>
      <c r="QL17" s="24"/>
      <c r="QM17" s="24"/>
      <c r="QN17" s="24"/>
      <c r="QO17" s="24"/>
      <c r="QP17" s="24"/>
      <c r="QQ17" s="24"/>
      <c r="QR17" s="24"/>
      <c r="QS17" s="24"/>
      <c r="QT17" s="24"/>
      <c r="QU17" s="24"/>
      <c r="QV17" s="24"/>
      <c r="QW17" s="24"/>
      <c r="QX17" s="24"/>
      <c r="QY17" s="24"/>
      <c r="QZ17" s="24"/>
      <c r="RA17" s="24"/>
      <c r="RB17" s="24"/>
      <c r="RC17" s="24"/>
      <c r="RD17" s="24"/>
      <c r="RE17" s="24"/>
      <c r="RF17" s="24"/>
      <c r="RG17" s="24"/>
      <c r="RH17" s="24"/>
      <c r="RI17" s="24"/>
      <c r="RJ17" s="24"/>
      <c r="RK17" s="24"/>
      <c r="RL17" s="24"/>
      <c r="RM17" s="24"/>
      <c r="RN17" s="24"/>
      <c r="RO17" s="24"/>
      <c r="RP17" s="24"/>
      <c r="RQ17" s="24"/>
      <c r="RR17" s="24"/>
      <c r="RS17" s="24"/>
      <c r="RT17" s="24"/>
      <c r="RU17" s="24"/>
      <c r="RV17" s="24"/>
      <c r="RW17" s="24"/>
      <c r="RX17" s="24"/>
      <c r="RY17" s="24"/>
      <c r="RZ17" s="24"/>
      <c r="SA17" s="24"/>
      <c r="SB17" s="24"/>
      <c r="SC17" s="24"/>
      <c r="SD17" s="24"/>
      <c r="SE17" s="24"/>
      <c r="SF17" s="24"/>
      <c r="SG17" s="24"/>
      <c r="SH17" s="24"/>
      <c r="SI17" s="24"/>
      <c r="SJ17" s="24"/>
      <c r="SK17" s="24"/>
      <c r="SL17" s="24"/>
      <c r="SM17" s="24"/>
      <c r="SN17" s="24"/>
      <c r="SO17" s="24"/>
      <c r="SP17" s="24"/>
      <c r="SQ17" s="24"/>
      <c r="SR17" s="24"/>
      <c r="SS17" s="24"/>
      <c r="ST17" s="24"/>
      <c r="SU17" s="24"/>
      <c r="SV17" s="24"/>
      <c r="SW17" s="24"/>
      <c r="SX17" s="24"/>
      <c r="SY17" s="24"/>
      <c r="SZ17" s="24"/>
      <c r="TA17" s="24"/>
      <c r="TB17" s="24"/>
      <c r="TC17" s="24"/>
      <c r="TD17" s="24"/>
      <c r="TE17" s="24"/>
      <c r="TF17" s="24"/>
      <c r="TG17" s="24"/>
      <c r="TH17" s="24"/>
      <c r="TI17" s="24"/>
      <c r="TJ17" s="24"/>
      <c r="TK17" s="24"/>
      <c r="TL17" s="24"/>
      <c r="TM17" s="24"/>
      <c r="TN17" s="24"/>
      <c r="TO17" s="24"/>
      <c r="TP17" s="24"/>
      <c r="TQ17" s="24"/>
      <c r="TR17" s="24"/>
      <c r="TS17" s="24"/>
      <c r="TT17" s="24"/>
      <c r="TU17" s="24"/>
      <c r="TV17" s="24"/>
      <c r="TW17" s="24"/>
      <c r="TX17" s="24"/>
      <c r="TY17" s="24"/>
      <c r="TZ17" s="24"/>
      <c r="UA17" s="24"/>
      <c r="UB17" s="24"/>
      <c r="UC17" s="24"/>
      <c r="UD17" s="24"/>
      <c r="UE17" s="24"/>
      <c r="UF17" s="24"/>
      <c r="UG17" s="24"/>
      <c r="UH17" s="24"/>
      <c r="UI17" s="24"/>
      <c r="UJ17" s="24"/>
      <c r="UK17" s="24"/>
      <c r="UL17" s="24"/>
      <c r="UM17" s="24"/>
      <c r="UN17" s="24"/>
      <c r="UO17" s="24"/>
      <c r="UP17" s="24"/>
      <c r="UQ17" s="24"/>
      <c r="UR17" s="24"/>
      <c r="US17" s="24"/>
      <c r="UT17" s="24"/>
      <c r="UU17" s="24"/>
      <c r="UV17" s="24"/>
      <c r="UW17" s="24"/>
      <c r="UX17" s="24"/>
      <c r="UY17" s="24"/>
      <c r="UZ17" s="24"/>
      <c r="VA17" s="24"/>
      <c r="VB17" s="24"/>
      <c r="VC17" s="24"/>
      <c r="VD17" s="24"/>
      <c r="VE17" s="24"/>
      <c r="VF17" s="24"/>
      <c r="VG17" s="24"/>
      <c r="VH17" s="24"/>
      <c r="VI17" s="24"/>
      <c r="VJ17" s="24"/>
      <c r="VK17" s="24"/>
      <c r="VL17" s="24"/>
      <c r="VM17" s="24"/>
      <c r="VN17" s="24"/>
      <c r="VO17" s="24"/>
      <c r="VP17" s="24"/>
      <c r="VQ17" s="24"/>
      <c r="VR17" s="24"/>
      <c r="VS17" s="24"/>
      <c r="VT17" s="24"/>
      <c r="VU17" s="24"/>
      <c r="VV17" s="24"/>
      <c r="VW17" s="24"/>
      <c r="VX17" s="24"/>
      <c r="VY17" s="24"/>
      <c r="VZ17" s="24"/>
      <c r="WA17" s="24"/>
      <c r="WB17" s="24"/>
      <c r="WC17" s="24"/>
      <c r="WD17" s="24"/>
      <c r="WE17" s="24"/>
    </row>
    <row r="18" spans="1:603" s="11" customFormat="1" ht="17.399999999999999" customHeight="1" thickBot="1" x14ac:dyDescent="0.35">
      <c r="A18" s="253" t="s">
        <v>64</v>
      </c>
      <c r="B18" s="254"/>
      <c r="C18" s="254"/>
      <c r="D18" s="72">
        <f>D32+E43</f>
        <v>0</v>
      </c>
      <c r="E18" s="73">
        <f>U32</f>
        <v>0</v>
      </c>
      <c r="F18" s="71">
        <f t="shared" ref="F18:F20" si="0">+E18+D18</f>
        <v>0</v>
      </c>
      <c r="G18" s="24"/>
      <c r="H18" s="223"/>
      <c r="I18" s="223"/>
      <c r="J18" s="223"/>
      <c r="K18" s="223"/>
      <c r="L18" s="56"/>
      <c r="M18" s="57"/>
      <c r="N18" s="57"/>
      <c r="O18" s="57"/>
      <c r="P18" s="60"/>
      <c r="Q18" s="61"/>
      <c r="R18" s="69">
        <f>L18+M18+N18+O18+P18+Q18</f>
        <v>0</v>
      </c>
      <c r="S18" s="24"/>
      <c r="T18" s="24"/>
      <c r="U18" s="31"/>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4"/>
      <c r="MR18" s="24"/>
      <c r="MS18" s="24"/>
      <c r="MT18" s="24"/>
      <c r="MU18" s="24"/>
      <c r="MV18" s="24"/>
      <c r="MW18" s="24"/>
      <c r="MX18" s="24"/>
      <c r="MY18" s="24"/>
      <c r="MZ18" s="24"/>
      <c r="NA18" s="24"/>
      <c r="NB18" s="24"/>
      <c r="NC18" s="24"/>
      <c r="ND18" s="24"/>
      <c r="NE18" s="24"/>
      <c r="NF18" s="24"/>
      <c r="NG18" s="24"/>
      <c r="NH18" s="24"/>
      <c r="NI18" s="24"/>
      <c r="NJ18" s="24"/>
      <c r="NK18" s="24"/>
      <c r="NL18" s="24"/>
      <c r="NM18" s="24"/>
      <c r="NN18" s="24"/>
      <c r="NO18" s="24"/>
      <c r="NP18" s="24"/>
      <c r="NQ18" s="24"/>
      <c r="NR18" s="24"/>
      <c r="NS18" s="24"/>
      <c r="NT18" s="24"/>
      <c r="NU18" s="24"/>
      <c r="NV18" s="24"/>
      <c r="NW18" s="24"/>
      <c r="NX18" s="24"/>
      <c r="NY18" s="24"/>
      <c r="NZ18" s="24"/>
      <c r="OA18" s="24"/>
      <c r="OB18" s="24"/>
      <c r="OC18" s="24"/>
      <c r="OD18" s="24"/>
      <c r="OE18" s="24"/>
      <c r="OF18" s="24"/>
      <c r="OG18" s="24"/>
      <c r="OH18" s="24"/>
      <c r="OI18" s="24"/>
      <c r="OJ18" s="24"/>
      <c r="OK18" s="24"/>
      <c r="OL18" s="24"/>
      <c r="OM18" s="24"/>
      <c r="ON18" s="24"/>
      <c r="OO18" s="24"/>
      <c r="OP18" s="24"/>
      <c r="OQ18" s="24"/>
      <c r="OR18" s="24"/>
      <c r="OS18" s="24"/>
      <c r="OT18" s="24"/>
      <c r="OU18" s="24"/>
      <c r="OV18" s="24"/>
      <c r="OW18" s="24"/>
      <c r="OX18" s="24"/>
      <c r="OY18" s="24"/>
      <c r="OZ18" s="24"/>
      <c r="PA18" s="24"/>
      <c r="PB18" s="24"/>
      <c r="PC18" s="24"/>
      <c r="PD18" s="24"/>
      <c r="PE18" s="24"/>
      <c r="PF18" s="24"/>
      <c r="PG18" s="24"/>
      <c r="PH18" s="24"/>
      <c r="PI18" s="24"/>
      <c r="PJ18" s="24"/>
      <c r="PK18" s="24"/>
      <c r="PL18" s="24"/>
      <c r="PM18" s="24"/>
      <c r="PN18" s="24"/>
      <c r="PO18" s="24"/>
      <c r="PP18" s="24"/>
      <c r="PQ18" s="24"/>
      <c r="PR18" s="24"/>
      <c r="PS18" s="24"/>
      <c r="PT18" s="24"/>
      <c r="PU18" s="24"/>
      <c r="PV18" s="24"/>
      <c r="PW18" s="24"/>
      <c r="PX18" s="24"/>
      <c r="PY18" s="24"/>
      <c r="PZ18" s="24"/>
      <c r="QA18" s="24"/>
      <c r="QB18" s="24"/>
      <c r="QC18" s="24"/>
      <c r="QD18" s="24"/>
      <c r="QE18" s="24"/>
      <c r="QF18" s="24"/>
      <c r="QG18" s="24"/>
      <c r="QH18" s="24"/>
      <c r="QI18" s="24"/>
      <c r="QJ18" s="24"/>
      <c r="QK18" s="24"/>
      <c r="QL18" s="24"/>
      <c r="QM18" s="24"/>
      <c r="QN18" s="24"/>
      <c r="QO18" s="24"/>
      <c r="QP18" s="24"/>
      <c r="QQ18" s="24"/>
      <c r="QR18" s="24"/>
      <c r="QS18" s="24"/>
      <c r="QT18" s="24"/>
      <c r="QU18" s="24"/>
      <c r="QV18" s="24"/>
      <c r="QW18" s="24"/>
      <c r="QX18" s="24"/>
      <c r="QY18" s="24"/>
      <c r="QZ18" s="24"/>
      <c r="RA18" s="24"/>
      <c r="RB18" s="24"/>
      <c r="RC18" s="24"/>
      <c r="RD18" s="24"/>
      <c r="RE18" s="24"/>
      <c r="RF18" s="24"/>
      <c r="RG18" s="24"/>
      <c r="RH18" s="24"/>
      <c r="RI18" s="24"/>
      <c r="RJ18" s="24"/>
      <c r="RK18" s="24"/>
      <c r="RL18" s="24"/>
      <c r="RM18" s="24"/>
      <c r="RN18" s="24"/>
      <c r="RO18" s="24"/>
      <c r="RP18" s="24"/>
      <c r="RQ18" s="24"/>
      <c r="RR18" s="24"/>
      <c r="RS18" s="24"/>
      <c r="RT18" s="24"/>
      <c r="RU18" s="24"/>
      <c r="RV18" s="24"/>
      <c r="RW18" s="24"/>
      <c r="RX18" s="24"/>
      <c r="RY18" s="24"/>
      <c r="RZ18" s="24"/>
      <c r="SA18" s="24"/>
      <c r="SB18" s="24"/>
      <c r="SC18" s="24"/>
      <c r="SD18" s="24"/>
      <c r="SE18" s="24"/>
      <c r="SF18" s="24"/>
      <c r="SG18" s="24"/>
      <c r="SH18" s="24"/>
      <c r="SI18" s="24"/>
      <c r="SJ18" s="24"/>
      <c r="SK18" s="24"/>
      <c r="SL18" s="24"/>
      <c r="SM18" s="24"/>
      <c r="SN18" s="24"/>
      <c r="SO18" s="24"/>
      <c r="SP18" s="24"/>
      <c r="SQ18" s="24"/>
      <c r="SR18" s="24"/>
      <c r="SS18" s="24"/>
      <c r="ST18" s="24"/>
      <c r="SU18" s="24"/>
      <c r="SV18" s="24"/>
      <c r="SW18" s="24"/>
      <c r="SX18" s="24"/>
      <c r="SY18" s="24"/>
      <c r="SZ18" s="24"/>
      <c r="TA18" s="24"/>
      <c r="TB18" s="24"/>
      <c r="TC18" s="24"/>
      <c r="TD18" s="24"/>
      <c r="TE18" s="24"/>
      <c r="TF18" s="24"/>
      <c r="TG18" s="24"/>
      <c r="TH18" s="24"/>
      <c r="TI18" s="24"/>
      <c r="TJ18" s="24"/>
      <c r="TK18" s="24"/>
      <c r="TL18" s="24"/>
      <c r="TM18" s="24"/>
      <c r="TN18" s="24"/>
      <c r="TO18" s="24"/>
      <c r="TP18" s="24"/>
      <c r="TQ18" s="24"/>
      <c r="TR18" s="24"/>
      <c r="TS18" s="24"/>
      <c r="TT18" s="24"/>
      <c r="TU18" s="24"/>
      <c r="TV18" s="24"/>
      <c r="TW18" s="24"/>
      <c r="TX18" s="24"/>
      <c r="TY18" s="24"/>
      <c r="TZ18" s="24"/>
      <c r="UA18" s="24"/>
      <c r="UB18" s="24"/>
      <c r="UC18" s="24"/>
      <c r="UD18" s="24"/>
      <c r="UE18" s="24"/>
      <c r="UF18" s="24"/>
      <c r="UG18" s="24"/>
      <c r="UH18" s="24"/>
      <c r="UI18" s="24"/>
      <c r="UJ18" s="24"/>
      <c r="UK18" s="24"/>
      <c r="UL18" s="24"/>
      <c r="UM18" s="24"/>
      <c r="UN18" s="24"/>
      <c r="UO18" s="24"/>
      <c r="UP18" s="24"/>
      <c r="UQ18" s="24"/>
      <c r="UR18" s="24"/>
      <c r="US18" s="24"/>
      <c r="UT18" s="24"/>
      <c r="UU18" s="24"/>
      <c r="UV18" s="24"/>
      <c r="UW18" s="24"/>
      <c r="UX18" s="24"/>
      <c r="UY18" s="24"/>
      <c r="UZ18" s="24"/>
      <c r="VA18" s="24"/>
      <c r="VB18" s="24"/>
      <c r="VC18" s="24"/>
      <c r="VD18" s="24"/>
      <c r="VE18" s="24"/>
      <c r="VF18" s="24"/>
      <c r="VG18" s="24"/>
      <c r="VH18" s="24"/>
      <c r="VI18" s="24"/>
      <c r="VJ18" s="24"/>
      <c r="VK18" s="24"/>
      <c r="VL18" s="24"/>
      <c r="VM18" s="24"/>
      <c r="VN18" s="24"/>
      <c r="VO18" s="24"/>
      <c r="VP18" s="24"/>
      <c r="VQ18" s="24"/>
      <c r="VR18" s="24"/>
      <c r="VS18" s="24"/>
      <c r="VT18" s="24"/>
      <c r="VU18" s="24"/>
      <c r="VV18" s="24"/>
      <c r="VW18" s="24"/>
      <c r="VX18" s="24"/>
      <c r="VY18" s="24"/>
      <c r="VZ18" s="24"/>
      <c r="WA18" s="24"/>
      <c r="WB18" s="24"/>
      <c r="WC18" s="24"/>
      <c r="WD18" s="24"/>
      <c r="WE18" s="24"/>
    </row>
    <row r="19" spans="1:603" s="11" customFormat="1" ht="13.65" customHeight="1" x14ac:dyDescent="0.3">
      <c r="A19" s="253" t="s">
        <v>65</v>
      </c>
      <c r="B19" s="254"/>
      <c r="C19" s="254"/>
      <c r="D19" s="51"/>
      <c r="E19" s="59"/>
      <c r="F19" s="71">
        <f t="shared" si="0"/>
        <v>0</v>
      </c>
      <c r="G19" s="24"/>
      <c r="H19" s="24"/>
      <c r="I19" s="24"/>
      <c r="J19" s="24"/>
      <c r="K19" s="24"/>
      <c r="L19" s="24"/>
      <c r="M19" s="24"/>
      <c r="N19" s="24"/>
      <c r="O19" s="24"/>
      <c r="P19" s="24"/>
      <c r="Q19" s="24"/>
      <c r="R19" s="24"/>
      <c r="S19" s="24"/>
      <c r="T19" s="24"/>
      <c r="U19" s="31"/>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c r="JB19" s="24"/>
      <c r="JC19" s="24"/>
      <c r="JD19" s="24"/>
      <c r="JE19" s="24"/>
      <c r="JF19" s="24"/>
      <c r="JG19" s="24"/>
      <c r="JH19" s="24"/>
      <c r="JI19" s="24"/>
      <c r="JJ19" s="24"/>
      <c r="JK19" s="24"/>
      <c r="JL19" s="24"/>
      <c r="JM19" s="24"/>
      <c r="JN19" s="24"/>
      <c r="JO19" s="24"/>
      <c r="JP19" s="24"/>
      <c r="JQ19" s="24"/>
      <c r="JR19" s="24"/>
      <c r="JS19" s="24"/>
      <c r="JT19" s="24"/>
      <c r="JU19" s="24"/>
      <c r="JV19" s="24"/>
      <c r="JW19" s="24"/>
      <c r="JX19" s="24"/>
      <c r="JY19" s="24"/>
      <c r="JZ19" s="24"/>
      <c r="KA19" s="24"/>
      <c r="KB19" s="24"/>
      <c r="KC19" s="24"/>
      <c r="KD19" s="24"/>
      <c r="KE19" s="24"/>
      <c r="KF19" s="24"/>
      <c r="KG19" s="24"/>
      <c r="KH19" s="24"/>
      <c r="KI19" s="24"/>
      <c r="KJ19" s="24"/>
      <c r="KK19" s="24"/>
      <c r="KL19" s="24"/>
      <c r="KM19" s="24"/>
      <c r="KN19" s="24"/>
      <c r="KO19" s="24"/>
      <c r="KP19" s="24"/>
      <c r="KQ19" s="24"/>
      <c r="KR19" s="24"/>
      <c r="KS19" s="24"/>
      <c r="KT19" s="24"/>
      <c r="KU19" s="24"/>
      <c r="KV19" s="24"/>
      <c r="KW19" s="24"/>
      <c r="KX19" s="24"/>
      <c r="KY19" s="24"/>
      <c r="KZ19" s="24"/>
      <c r="LA19" s="24"/>
      <c r="LB19" s="24"/>
      <c r="LC19" s="24"/>
      <c r="LD19" s="24"/>
      <c r="LE19" s="24"/>
      <c r="LF19" s="24"/>
      <c r="LG19" s="24"/>
      <c r="LH19" s="24"/>
      <c r="LI19" s="24"/>
      <c r="LJ19" s="24"/>
      <c r="LK19" s="24"/>
      <c r="LL19" s="24"/>
      <c r="LM19" s="24"/>
      <c r="LN19" s="24"/>
      <c r="LO19" s="24"/>
      <c r="LP19" s="24"/>
      <c r="LQ19" s="24"/>
      <c r="LR19" s="24"/>
      <c r="LS19" s="24"/>
      <c r="LT19" s="24"/>
      <c r="LU19" s="24"/>
      <c r="LV19" s="24"/>
      <c r="LW19" s="24"/>
      <c r="LX19" s="24"/>
      <c r="LY19" s="24"/>
      <c r="LZ19" s="24"/>
      <c r="MA19" s="24"/>
      <c r="MB19" s="24"/>
      <c r="MC19" s="24"/>
      <c r="MD19" s="24"/>
      <c r="ME19" s="24"/>
      <c r="MF19" s="24"/>
      <c r="MG19" s="24"/>
      <c r="MH19" s="24"/>
      <c r="MI19" s="24"/>
      <c r="MJ19" s="24"/>
      <c r="MK19" s="24"/>
      <c r="ML19" s="24"/>
      <c r="MM19" s="24"/>
      <c r="MN19" s="24"/>
      <c r="MO19" s="24"/>
      <c r="MP19" s="24"/>
      <c r="MQ19" s="24"/>
      <c r="MR19" s="24"/>
      <c r="MS19" s="24"/>
      <c r="MT19" s="24"/>
      <c r="MU19" s="24"/>
      <c r="MV19" s="24"/>
      <c r="MW19" s="24"/>
      <c r="MX19" s="24"/>
      <c r="MY19" s="24"/>
      <c r="MZ19" s="24"/>
      <c r="NA19" s="24"/>
      <c r="NB19" s="24"/>
      <c r="NC19" s="24"/>
      <c r="ND19" s="24"/>
      <c r="NE19" s="24"/>
      <c r="NF19" s="24"/>
      <c r="NG19" s="24"/>
      <c r="NH19" s="24"/>
      <c r="NI19" s="24"/>
      <c r="NJ19" s="24"/>
      <c r="NK19" s="24"/>
      <c r="NL19" s="24"/>
      <c r="NM19" s="24"/>
      <c r="NN19" s="24"/>
      <c r="NO19" s="24"/>
      <c r="NP19" s="24"/>
      <c r="NQ19" s="24"/>
      <c r="NR19" s="24"/>
      <c r="NS19" s="24"/>
      <c r="NT19" s="24"/>
      <c r="NU19" s="24"/>
      <c r="NV19" s="24"/>
      <c r="NW19" s="24"/>
      <c r="NX19" s="24"/>
      <c r="NY19" s="24"/>
      <c r="NZ19" s="24"/>
      <c r="OA19" s="24"/>
      <c r="OB19" s="24"/>
      <c r="OC19" s="24"/>
      <c r="OD19" s="24"/>
      <c r="OE19" s="24"/>
      <c r="OF19" s="24"/>
      <c r="OG19" s="24"/>
      <c r="OH19" s="24"/>
      <c r="OI19" s="24"/>
      <c r="OJ19" s="24"/>
      <c r="OK19" s="24"/>
      <c r="OL19" s="24"/>
      <c r="OM19" s="24"/>
      <c r="ON19" s="24"/>
      <c r="OO19" s="24"/>
      <c r="OP19" s="24"/>
      <c r="OQ19" s="24"/>
      <c r="OR19" s="24"/>
      <c r="OS19" s="24"/>
      <c r="OT19" s="24"/>
      <c r="OU19" s="24"/>
      <c r="OV19" s="24"/>
      <c r="OW19" s="24"/>
      <c r="OX19" s="24"/>
      <c r="OY19" s="24"/>
      <c r="OZ19" s="24"/>
      <c r="PA19" s="24"/>
      <c r="PB19" s="24"/>
      <c r="PC19" s="24"/>
      <c r="PD19" s="24"/>
      <c r="PE19" s="24"/>
      <c r="PF19" s="24"/>
      <c r="PG19" s="24"/>
      <c r="PH19" s="24"/>
      <c r="PI19" s="24"/>
      <c r="PJ19" s="24"/>
      <c r="PK19" s="24"/>
      <c r="PL19" s="24"/>
      <c r="PM19" s="24"/>
      <c r="PN19" s="24"/>
      <c r="PO19" s="24"/>
      <c r="PP19" s="24"/>
      <c r="PQ19" s="24"/>
      <c r="PR19" s="24"/>
      <c r="PS19" s="24"/>
      <c r="PT19" s="24"/>
      <c r="PU19" s="24"/>
      <c r="PV19" s="24"/>
      <c r="PW19" s="24"/>
      <c r="PX19" s="24"/>
      <c r="PY19" s="24"/>
      <c r="PZ19" s="24"/>
      <c r="QA19" s="24"/>
      <c r="QB19" s="24"/>
      <c r="QC19" s="24"/>
      <c r="QD19" s="24"/>
      <c r="QE19" s="24"/>
      <c r="QF19" s="24"/>
      <c r="QG19" s="24"/>
      <c r="QH19" s="24"/>
      <c r="QI19" s="24"/>
      <c r="QJ19" s="24"/>
      <c r="QK19" s="24"/>
      <c r="QL19" s="24"/>
      <c r="QM19" s="24"/>
      <c r="QN19" s="24"/>
      <c r="QO19" s="24"/>
      <c r="QP19" s="24"/>
      <c r="QQ19" s="24"/>
      <c r="QR19" s="24"/>
      <c r="QS19" s="24"/>
      <c r="QT19" s="24"/>
      <c r="QU19" s="24"/>
      <c r="QV19" s="24"/>
      <c r="QW19" s="24"/>
      <c r="QX19" s="24"/>
      <c r="QY19" s="24"/>
      <c r="QZ19" s="24"/>
      <c r="RA19" s="24"/>
      <c r="RB19" s="24"/>
      <c r="RC19" s="24"/>
      <c r="RD19" s="24"/>
      <c r="RE19" s="24"/>
      <c r="RF19" s="24"/>
      <c r="RG19" s="24"/>
      <c r="RH19" s="24"/>
      <c r="RI19" s="24"/>
      <c r="RJ19" s="24"/>
      <c r="RK19" s="24"/>
      <c r="RL19" s="24"/>
      <c r="RM19" s="24"/>
      <c r="RN19" s="24"/>
      <c r="RO19" s="24"/>
      <c r="RP19" s="24"/>
      <c r="RQ19" s="24"/>
      <c r="RR19" s="24"/>
      <c r="RS19" s="24"/>
      <c r="RT19" s="24"/>
      <c r="RU19" s="24"/>
      <c r="RV19" s="24"/>
      <c r="RW19" s="24"/>
      <c r="RX19" s="24"/>
      <c r="RY19" s="24"/>
      <c r="RZ19" s="24"/>
      <c r="SA19" s="24"/>
      <c r="SB19" s="24"/>
      <c r="SC19" s="24"/>
      <c r="SD19" s="24"/>
      <c r="SE19" s="24"/>
      <c r="SF19" s="24"/>
      <c r="SG19" s="24"/>
      <c r="SH19" s="24"/>
      <c r="SI19" s="24"/>
      <c r="SJ19" s="24"/>
      <c r="SK19" s="24"/>
      <c r="SL19" s="24"/>
      <c r="SM19" s="24"/>
      <c r="SN19" s="24"/>
      <c r="SO19" s="24"/>
      <c r="SP19" s="24"/>
      <c r="SQ19" s="24"/>
      <c r="SR19" s="24"/>
      <c r="SS19" s="24"/>
      <c r="ST19" s="24"/>
      <c r="SU19" s="24"/>
      <c r="SV19" s="24"/>
      <c r="SW19" s="24"/>
      <c r="SX19" s="24"/>
      <c r="SY19" s="24"/>
      <c r="SZ19" s="24"/>
      <c r="TA19" s="24"/>
      <c r="TB19" s="24"/>
      <c r="TC19" s="24"/>
      <c r="TD19" s="24"/>
      <c r="TE19" s="24"/>
      <c r="TF19" s="24"/>
      <c r="TG19" s="24"/>
      <c r="TH19" s="24"/>
      <c r="TI19" s="24"/>
      <c r="TJ19" s="24"/>
      <c r="TK19" s="24"/>
      <c r="TL19" s="24"/>
      <c r="TM19" s="24"/>
      <c r="TN19" s="24"/>
      <c r="TO19" s="24"/>
      <c r="TP19" s="24"/>
      <c r="TQ19" s="24"/>
      <c r="TR19" s="24"/>
      <c r="TS19" s="24"/>
      <c r="TT19" s="24"/>
      <c r="TU19" s="24"/>
      <c r="TV19" s="24"/>
      <c r="TW19" s="24"/>
      <c r="TX19" s="24"/>
      <c r="TY19" s="24"/>
      <c r="TZ19" s="24"/>
      <c r="UA19" s="24"/>
      <c r="UB19" s="24"/>
      <c r="UC19" s="24"/>
      <c r="UD19" s="24"/>
      <c r="UE19" s="24"/>
      <c r="UF19" s="24"/>
      <c r="UG19" s="24"/>
      <c r="UH19" s="24"/>
      <c r="UI19" s="24"/>
      <c r="UJ19" s="24"/>
      <c r="UK19" s="24"/>
      <c r="UL19" s="24"/>
      <c r="UM19" s="24"/>
      <c r="UN19" s="24"/>
      <c r="UO19" s="24"/>
      <c r="UP19" s="24"/>
      <c r="UQ19" s="24"/>
      <c r="UR19" s="24"/>
      <c r="US19" s="24"/>
      <c r="UT19" s="24"/>
      <c r="UU19" s="24"/>
      <c r="UV19" s="24"/>
      <c r="UW19" s="24"/>
      <c r="UX19" s="24"/>
      <c r="UY19" s="24"/>
      <c r="UZ19" s="24"/>
      <c r="VA19" s="24"/>
      <c r="VB19" s="24"/>
      <c r="VC19" s="24"/>
      <c r="VD19" s="24"/>
      <c r="VE19" s="24"/>
      <c r="VF19" s="24"/>
      <c r="VG19" s="24"/>
      <c r="VH19" s="24"/>
      <c r="VI19" s="24"/>
      <c r="VJ19" s="24"/>
      <c r="VK19" s="24"/>
      <c r="VL19" s="24"/>
      <c r="VM19" s="24"/>
      <c r="VN19" s="24"/>
      <c r="VO19" s="24"/>
      <c r="VP19" s="24"/>
      <c r="VQ19" s="24"/>
      <c r="VR19" s="24"/>
      <c r="VS19" s="24"/>
      <c r="VT19" s="24"/>
      <c r="VU19" s="24"/>
      <c r="VV19" s="24"/>
      <c r="VW19" s="24"/>
      <c r="VX19" s="24"/>
      <c r="VY19" s="24"/>
      <c r="VZ19" s="24"/>
      <c r="WA19" s="24"/>
      <c r="WB19" s="24"/>
      <c r="WC19" s="24"/>
      <c r="WD19" s="24"/>
      <c r="WE19" s="24"/>
    </row>
    <row r="20" spans="1:603" s="11" customFormat="1" ht="13.65" customHeight="1" thickBot="1" x14ac:dyDescent="0.35">
      <c r="A20" s="239" t="s">
        <v>114</v>
      </c>
      <c r="B20" s="240"/>
      <c r="C20" s="240"/>
      <c r="D20" s="74">
        <f>H12-D29-E41</f>
        <v>0</v>
      </c>
      <c r="E20" s="75">
        <f>H13-U29</f>
        <v>0</v>
      </c>
      <c r="F20" s="71">
        <f t="shared" si="0"/>
        <v>0</v>
      </c>
      <c r="G20" s="32"/>
      <c r="H20" s="32"/>
      <c r="I20" s="32"/>
      <c r="J20" s="32"/>
      <c r="K20" s="32"/>
      <c r="L20" s="32"/>
      <c r="M20" s="32"/>
      <c r="N20" s="32"/>
      <c r="O20" s="32"/>
      <c r="P20" s="32"/>
      <c r="Q20" s="32"/>
      <c r="R20" s="32"/>
      <c r="S20" s="32"/>
      <c r="T20" s="32"/>
      <c r="U20" s="33"/>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c r="JB20" s="24"/>
      <c r="JC20" s="24"/>
      <c r="JD20" s="24"/>
      <c r="JE20" s="24"/>
      <c r="JF20" s="24"/>
      <c r="JG20" s="24"/>
      <c r="JH20" s="24"/>
      <c r="JI20" s="24"/>
      <c r="JJ20" s="24"/>
      <c r="JK20" s="24"/>
      <c r="JL20" s="24"/>
      <c r="JM20" s="24"/>
      <c r="JN20" s="24"/>
      <c r="JO20" s="24"/>
      <c r="JP20" s="24"/>
      <c r="JQ20" s="24"/>
      <c r="JR20" s="24"/>
      <c r="JS20" s="24"/>
      <c r="JT20" s="24"/>
      <c r="JU20" s="24"/>
      <c r="JV20" s="24"/>
      <c r="JW20" s="24"/>
      <c r="JX20" s="24"/>
      <c r="JY20" s="24"/>
      <c r="JZ20" s="24"/>
      <c r="KA20" s="24"/>
      <c r="KB20" s="24"/>
      <c r="KC20" s="24"/>
      <c r="KD20" s="24"/>
      <c r="KE20" s="24"/>
      <c r="KF20" s="24"/>
      <c r="KG20" s="24"/>
      <c r="KH20" s="24"/>
      <c r="KI20" s="24"/>
      <c r="KJ20" s="24"/>
      <c r="KK20" s="24"/>
      <c r="KL20" s="24"/>
      <c r="KM20" s="24"/>
      <c r="KN20" s="24"/>
      <c r="KO20" s="24"/>
      <c r="KP20" s="24"/>
      <c r="KQ20" s="24"/>
      <c r="KR20" s="24"/>
      <c r="KS20" s="24"/>
      <c r="KT20" s="24"/>
      <c r="KU20" s="24"/>
      <c r="KV20" s="24"/>
      <c r="KW20" s="24"/>
      <c r="KX20" s="24"/>
      <c r="KY20" s="24"/>
      <c r="KZ20" s="24"/>
      <c r="LA20" s="24"/>
      <c r="LB20" s="24"/>
      <c r="LC20" s="24"/>
      <c r="LD20" s="24"/>
      <c r="LE20" s="24"/>
      <c r="LF20" s="24"/>
      <c r="LG20" s="24"/>
      <c r="LH20" s="24"/>
      <c r="LI20" s="24"/>
      <c r="LJ20" s="24"/>
      <c r="LK20" s="24"/>
      <c r="LL20" s="24"/>
      <c r="LM20" s="24"/>
      <c r="LN20" s="24"/>
      <c r="LO20" s="24"/>
      <c r="LP20" s="24"/>
      <c r="LQ20" s="24"/>
      <c r="LR20" s="24"/>
      <c r="LS20" s="24"/>
      <c r="LT20" s="24"/>
      <c r="LU20" s="24"/>
      <c r="LV20" s="24"/>
      <c r="LW20" s="24"/>
      <c r="LX20" s="24"/>
      <c r="LY20" s="24"/>
      <c r="LZ20" s="24"/>
      <c r="MA20" s="24"/>
      <c r="MB20" s="24"/>
      <c r="MC20" s="24"/>
      <c r="MD20" s="24"/>
      <c r="ME20" s="24"/>
      <c r="MF20" s="24"/>
      <c r="MG20" s="24"/>
      <c r="MH20" s="24"/>
      <c r="MI20" s="24"/>
      <c r="MJ20" s="24"/>
      <c r="MK20" s="24"/>
      <c r="ML20" s="24"/>
      <c r="MM20" s="24"/>
      <c r="MN20" s="24"/>
      <c r="MO20" s="24"/>
      <c r="MP20" s="24"/>
      <c r="MQ20" s="24"/>
      <c r="MR20" s="24"/>
      <c r="MS20" s="24"/>
      <c r="MT20" s="24"/>
      <c r="MU20" s="24"/>
      <c r="MV20" s="24"/>
      <c r="MW20" s="24"/>
      <c r="MX20" s="24"/>
      <c r="MY20" s="24"/>
      <c r="MZ20" s="24"/>
      <c r="NA20" s="24"/>
      <c r="NB20" s="24"/>
      <c r="NC20" s="24"/>
      <c r="ND20" s="24"/>
      <c r="NE20" s="24"/>
      <c r="NF20" s="24"/>
      <c r="NG20" s="24"/>
      <c r="NH20" s="24"/>
      <c r="NI20" s="24"/>
      <c r="NJ20" s="24"/>
      <c r="NK20" s="24"/>
      <c r="NL20" s="24"/>
      <c r="NM20" s="24"/>
      <c r="NN20" s="24"/>
      <c r="NO20" s="24"/>
      <c r="NP20" s="24"/>
      <c r="NQ20" s="24"/>
      <c r="NR20" s="24"/>
      <c r="NS20" s="24"/>
      <c r="NT20" s="24"/>
      <c r="NU20" s="24"/>
      <c r="NV20" s="24"/>
      <c r="NW20" s="24"/>
      <c r="NX20" s="24"/>
      <c r="NY20" s="24"/>
      <c r="NZ20" s="24"/>
      <c r="OA20" s="24"/>
      <c r="OB20" s="24"/>
      <c r="OC20" s="24"/>
      <c r="OD20" s="24"/>
      <c r="OE20" s="24"/>
      <c r="OF20" s="24"/>
      <c r="OG20" s="24"/>
      <c r="OH20" s="24"/>
      <c r="OI20" s="24"/>
      <c r="OJ20" s="24"/>
      <c r="OK20" s="24"/>
      <c r="OL20" s="24"/>
      <c r="OM20" s="24"/>
      <c r="ON20" s="24"/>
      <c r="OO20" s="24"/>
      <c r="OP20" s="24"/>
      <c r="OQ20" s="24"/>
      <c r="OR20" s="24"/>
      <c r="OS20" s="24"/>
      <c r="OT20" s="24"/>
      <c r="OU20" s="24"/>
      <c r="OV20" s="24"/>
      <c r="OW20" s="24"/>
      <c r="OX20" s="24"/>
      <c r="OY20" s="24"/>
      <c r="OZ20" s="24"/>
      <c r="PA20" s="24"/>
      <c r="PB20" s="24"/>
      <c r="PC20" s="24"/>
      <c r="PD20" s="24"/>
      <c r="PE20" s="24"/>
      <c r="PF20" s="24"/>
      <c r="PG20" s="24"/>
      <c r="PH20" s="24"/>
      <c r="PI20" s="24"/>
      <c r="PJ20" s="24"/>
      <c r="PK20" s="24"/>
      <c r="PL20" s="24"/>
      <c r="PM20" s="24"/>
      <c r="PN20" s="24"/>
      <c r="PO20" s="24"/>
      <c r="PP20" s="24"/>
      <c r="PQ20" s="24"/>
      <c r="PR20" s="24"/>
      <c r="PS20" s="24"/>
      <c r="PT20" s="24"/>
      <c r="PU20" s="24"/>
      <c r="PV20" s="24"/>
      <c r="PW20" s="24"/>
      <c r="PX20" s="24"/>
      <c r="PY20" s="24"/>
      <c r="PZ20" s="24"/>
      <c r="QA20" s="24"/>
      <c r="QB20" s="24"/>
      <c r="QC20" s="24"/>
      <c r="QD20" s="24"/>
      <c r="QE20" s="24"/>
      <c r="QF20" s="24"/>
      <c r="QG20" s="24"/>
      <c r="QH20" s="24"/>
      <c r="QI20" s="24"/>
      <c r="QJ20" s="24"/>
      <c r="QK20" s="24"/>
      <c r="QL20" s="24"/>
      <c r="QM20" s="24"/>
      <c r="QN20" s="24"/>
      <c r="QO20" s="24"/>
      <c r="QP20" s="24"/>
      <c r="QQ20" s="24"/>
      <c r="QR20" s="24"/>
      <c r="QS20" s="24"/>
      <c r="QT20" s="24"/>
      <c r="QU20" s="24"/>
      <c r="QV20" s="24"/>
      <c r="QW20" s="24"/>
      <c r="QX20" s="24"/>
      <c r="QY20" s="24"/>
      <c r="QZ20" s="24"/>
      <c r="RA20" s="24"/>
      <c r="RB20" s="24"/>
      <c r="RC20" s="24"/>
      <c r="RD20" s="24"/>
      <c r="RE20" s="24"/>
      <c r="RF20" s="24"/>
      <c r="RG20" s="24"/>
      <c r="RH20" s="24"/>
      <c r="RI20" s="24"/>
      <c r="RJ20" s="24"/>
      <c r="RK20" s="24"/>
      <c r="RL20" s="24"/>
      <c r="RM20" s="24"/>
      <c r="RN20" s="24"/>
      <c r="RO20" s="24"/>
      <c r="RP20" s="24"/>
      <c r="RQ20" s="24"/>
      <c r="RR20" s="24"/>
      <c r="RS20" s="24"/>
      <c r="RT20" s="24"/>
      <c r="RU20" s="24"/>
      <c r="RV20" s="24"/>
      <c r="RW20" s="24"/>
      <c r="RX20" s="24"/>
      <c r="RY20" s="24"/>
      <c r="RZ20" s="24"/>
      <c r="SA20" s="24"/>
      <c r="SB20" s="24"/>
      <c r="SC20" s="24"/>
      <c r="SD20" s="24"/>
      <c r="SE20" s="24"/>
      <c r="SF20" s="24"/>
      <c r="SG20" s="24"/>
      <c r="SH20" s="24"/>
      <c r="SI20" s="24"/>
      <c r="SJ20" s="24"/>
      <c r="SK20" s="24"/>
      <c r="SL20" s="24"/>
      <c r="SM20" s="24"/>
      <c r="SN20" s="24"/>
      <c r="SO20" s="24"/>
      <c r="SP20" s="24"/>
      <c r="SQ20" s="24"/>
      <c r="SR20" s="24"/>
      <c r="SS20" s="24"/>
      <c r="ST20" s="24"/>
      <c r="SU20" s="24"/>
      <c r="SV20" s="24"/>
      <c r="SW20" s="24"/>
      <c r="SX20" s="24"/>
      <c r="SY20" s="24"/>
      <c r="SZ20" s="24"/>
      <c r="TA20" s="24"/>
      <c r="TB20" s="24"/>
      <c r="TC20" s="24"/>
      <c r="TD20" s="24"/>
      <c r="TE20" s="24"/>
      <c r="TF20" s="24"/>
      <c r="TG20" s="24"/>
      <c r="TH20" s="24"/>
      <c r="TI20" s="24"/>
      <c r="TJ20" s="24"/>
      <c r="TK20" s="24"/>
      <c r="TL20" s="24"/>
      <c r="TM20" s="24"/>
      <c r="TN20" s="24"/>
      <c r="TO20" s="24"/>
      <c r="TP20" s="24"/>
      <c r="TQ20" s="24"/>
      <c r="TR20" s="24"/>
      <c r="TS20" s="24"/>
      <c r="TT20" s="24"/>
      <c r="TU20" s="24"/>
      <c r="TV20" s="24"/>
      <c r="TW20" s="24"/>
      <c r="TX20" s="24"/>
      <c r="TY20" s="24"/>
      <c r="TZ20" s="24"/>
      <c r="UA20" s="24"/>
      <c r="UB20" s="24"/>
      <c r="UC20" s="24"/>
      <c r="UD20" s="24"/>
      <c r="UE20" s="24"/>
      <c r="UF20" s="24"/>
      <c r="UG20" s="24"/>
      <c r="UH20" s="24"/>
      <c r="UI20" s="24"/>
      <c r="UJ20" s="24"/>
      <c r="UK20" s="24"/>
      <c r="UL20" s="24"/>
      <c r="UM20" s="24"/>
      <c r="UN20" s="24"/>
      <c r="UO20" s="24"/>
      <c r="UP20" s="24"/>
      <c r="UQ20" s="24"/>
      <c r="UR20" s="24"/>
      <c r="US20" s="24"/>
      <c r="UT20" s="24"/>
      <c r="UU20" s="24"/>
      <c r="UV20" s="24"/>
      <c r="UW20" s="24"/>
      <c r="UX20" s="24"/>
      <c r="UY20" s="24"/>
      <c r="UZ20" s="24"/>
      <c r="VA20" s="24"/>
      <c r="VB20" s="24"/>
      <c r="VC20" s="24"/>
      <c r="VD20" s="24"/>
      <c r="VE20" s="24"/>
      <c r="VF20" s="24"/>
      <c r="VG20" s="24"/>
      <c r="VH20" s="24"/>
      <c r="VI20" s="24"/>
      <c r="VJ20" s="24"/>
      <c r="VK20" s="24"/>
      <c r="VL20" s="24"/>
      <c r="VM20" s="24"/>
      <c r="VN20" s="24"/>
      <c r="VO20" s="24"/>
      <c r="VP20" s="24"/>
      <c r="VQ20" s="24"/>
      <c r="VR20" s="24"/>
      <c r="VS20" s="24"/>
      <c r="VT20" s="24"/>
      <c r="VU20" s="24"/>
      <c r="VV20" s="24"/>
      <c r="VW20" s="24"/>
      <c r="VX20" s="24"/>
      <c r="VY20" s="24"/>
      <c r="VZ20" s="24"/>
      <c r="WA20" s="24"/>
      <c r="WB20" s="24"/>
      <c r="WC20" s="24"/>
      <c r="WD20" s="24"/>
      <c r="WE20" s="24"/>
    </row>
    <row r="21" spans="1:603" s="11" customFormat="1" ht="3.75" customHeight="1" thickBot="1" x14ac:dyDescent="0.35">
      <c r="A21" s="34"/>
      <c r="B21" s="35"/>
      <c r="C21" s="35"/>
      <c r="D21" s="35"/>
      <c r="E21" s="35"/>
      <c r="F21" s="35"/>
      <c r="G21" s="35"/>
      <c r="H21" s="35"/>
      <c r="I21" s="36"/>
      <c r="J21" s="32"/>
      <c r="K21" s="32"/>
      <c r="L21" s="32"/>
      <c r="M21" s="32"/>
      <c r="N21" s="32"/>
      <c r="O21" s="32"/>
      <c r="P21" s="32"/>
      <c r="Q21" s="32"/>
      <c r="R21" s="32"/>
      <c r="S21" s="32"/>
      <c r="T21" s="32"/>
      <c r="U21" s="33"/>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c r="KJ21" s="24"/>
      <c r="KK21" s="24"/>
      <c r="KL21" s="24"/>
      <c r="KM21" s="24"/>
      <c r="KN21" s="24"/>
      <c r="KO21" s="24"/>
      <c r="KP21" s="24"/>
      <c r="KQ21" s="24"/>
      <c r="KR21" s="24"/>
      <c r="KS21" s="24"/>
      <c r="KT21" s="24"/>
      <c r="KU21" s="24"/>
      <c r="KV21" s="24"/>
      <c r="KW21" s="24"/>
      <c r="KX21" s="24"/>
      <c r="KY21" s="24"/>
      <c r="KZ21" s="24"/>
      <c r="LA21" s="24"/>
      <c r="LB21" s="24"/>
      <c r="LC21" s="24"/>
      <c r="LD21" s="24"/>
      <c r="LE21" s="24"/>
      <c r="LF21" s="24"/>
      <c r="LG21" s="24"/>
      <c r="LH21" s="24"/>
      <c r="LI21" s="24"/>
      <c r="LJ21" s="24"/>
      <c r="LK21" s="24"/>
      <c r="LL21" s="24"/>
      <c r="LM21" s="24"/>
      <c r="LN21" s="24"/>
      <c r="LO21" s="24"/>
      <c r="LP21" s="24"/>
      <c r="LQ21" s="24"/>
      <c r="LR21" s="24"/>
      <c r="LS21" s="24"/>
      <c r="LT21" s="24"/>
      <c r="LU21" s="24"/>
      <c r="LV21" s="24"/>
      <c r="LW21" s="24"/>
      <c r="LX21" s="24"/>
      <c r="LY21" s="24"/>
      <c r="LZ21" s="24"/>
      <c r="MA21" s="24"/>
      <c r="MB21" s="24"/>
      <c r="MC21" s="24"/>
      <c r="MD21" s="24"/>
      <c r="ME21" s="24"/>
      <c r="MF21" s="24"/>
      <c r="MG21" s="24"/>
      <c r="MH21" s="24"/>
      <c r="MI21" s="24"/>
      <c r="MJ21" s="24"/>
      <c r="MK21" s="24"/>
      <c r="ML21" s="24"/>
      <c r="MM21" s="24"/>
      <c r="MN21" s="24"/>
      <c r="MO21" s="24"/>
      <c r="MP21" s="24"/>
      <c r="MQ21" s="24"/>
      <c r="MR21" s="24"/>
      <c r="MS21" s="24"/>
      <c r="MT21" s="24"/>
      <c r="MU21" s="24"/>
      <c r="MV21" s="24"/>
      <c r="MW21" s="24"/>
      <c r="MX21" s="24"/>
      <c r="MY21" s="24"/>
      <c r="MZ21" s="24"/>
      <c r="NA21" s="24"/>
      <c r="NB21" s="24"/>
      <c r="NC21" s="24"/>
      <c r="ND21" s="24"/>
      <c r="NE21" s="24"/>
      <c r="NF21" s="24"/>
      <c r="NG21" s="24"/>
      <c r="NH21" s="24"/>
      <c r="NI21" s="24"/>
      <c r="NJ21" s="24"/>
      <c r="NK21" s="24"/>
      <c r="NL21" s="24"/>
      <c r="NM21" s="24"/>
      <c r="NN21" s="24"/>
      <c r="NO21" s="24"/>
      <c r="NP21" s="24"/>
      <c r="NQ21" s="24"/>
      <c r="NR21" s="24"/>
      <c r="NS21" s="24"/>
      <c r="NT21" s="24"/>
      <c r="NU21" s="24"/>
      <c r="NV21" s="24"/>
      <c r="NW21" s="24"/>
      <c r="NX21" s="24"/>
      <c r="NY21" s="24"/>
      <c r="NZ21" s="24"/>
      <c r="OA21" s="24"/>
      <c r="OB21" s="24"/>
      <c r="OC21" s="24"/>
      <c r="OD21" s="24"/>
      <c r="OE21" s="24"/>
      <c r="OF21" s="24"/>
      <c r="OG21" s="24"/>
      <c r="OH21" s="24"/>
      <c r="OI21" s="24"/>
      <c r="OJ21" s="24"/>
      <c r="OK21" s="24"/>
      <c r="OL21" s="24"/>
      <c r="OM21" s="24"/>
      <c r="ON21" s="24"/>
      <c r="OO21" s="24"/>
      <c r="OP21" s="24"/>
      <c r="OQ21" s="24"/>
      <c r="OR21" s="24"/>
      <c r="OS21" s="24"/>
      <c r="OT21" s="24"/>
      <c r="OU21" s="24"/>
      <c r="OV21" s="24"/>
      <c r="OW21" s="24"/>
      <c r="OX21" s="24"/>
      <c r="OY21" s="24"/>
      <c r="OZ21" s="24"/>
      <c r="PA21" s="24"/>
      <c r="PB21" s="24"/>
      <c r="PC21" s="24"/>
      <c r="PD21" s="24"/>
      <c r="PE21" s="24"/>
      <c r="PF21" s="24"/>
      <c r="PG21" s="24"/>
      <c r="PH21" s="24"/>
      <c r="PI21" s="24"/>
      <c r="PJ21" s="24"/>
      <c r="PK21" s="24"/>
      <c r="PL21" s="24"/>
      <c r="PM21" s="24"/>
      <c r="PN21" s="24"/>
      <c r="PO21" s="24"/>
      <c r="PP21" s="24"/>
      <c r="PQ21" s="24"/>
      <c r="PR21" s="24"/>
      <c r="PS21" s="24"/>
      <c r="PT21" s="24"/>
      <c r="PU21" s="24"/>
      <c r="PV21" s="24"/>
      <c r="PW21" s="24"/>
      <c r="PX21" s="24"/>
      <c r="PY21" s="24"/>
      <c r="PZ21" s="24"/>
      <c r="QA21" s="24"/>
      <c r="QB21" s="24"/>
      <c r="QC21" s="24"/>
      <c r="QD21" s="24"/>
      <c r="QE21" s="24"/>
      <c r="QF21" s="24"/>
      <c r="QG21" s="24"/>
      <c r="QH21" s="24"/>
      <c r="QI21" s="24"/>
      <c r="QJ21" s="24"/>
      <c r="QK21" s="24"/>
      <c r="QL21" s="24"/>
      <c r="QM21" s="24"/>
      <c r="QN21" s="24"/>
      <c r="QO21" s="24"/>
      <c r="QP21" s="24"/>
      <c r="QQ21" s="24"/>
      <c r="QR21" s="24"/>
      <c r="QS21" s="24"/>
      <c r="QT21" s="24"/>
      <c r="QU21" s="24"/>
      <c r="QV21" s="24"/>
      <c r="QW21" s="24"/>
      <c r="QX21" s="24"/>
      <c r="QY21" s="24"/>
      <c r="QZ21" s="24"/>
      <c r="RA21" s="24"/>
      <c r="RB21" s="24"/>
      <c r="RC21" s="24"/>
      <c r="RD21" s="24"/>
      <c r="RE21" s="24"/>
      <c r="RF21" s="24"/>
      <c r="RG21" s="24"/>
      <c r="RH21" s="24"/>
      <c r="RI21" s="24"/>
      <c r="RJ21" s="24"/>
      <c r="RK21" s="24"/>
      <c r="RL21" s="24"/>
      <c r="RM21" s="24"/>
      <c r="RN21" s="24"/>
      <c r="RO21" s="24"/>
      <c r="RP21" s="24"/>
      <c r="RQ21" s="24"/>
      <c r="RR21" s="24"/>
      <c r="RS21" s="24"/>
      <c r="RT21" s="24"/>
      <c r="RU21" s="24"/>
      <c r="RV21" s="24"/>
      <c r="RW21" s="24"/>
      <c r="RX21" s="24"/>
      <c r="RY21" s="24"/>
      <c r="RZ21" s="24"/>
      <c r="SA21" s="24"/>
      <c r="SB21" s="24"/>
      <c r="SC21" s="24"/>
      <c r="SD21" s="24"/>
      <c r="SE21" s="24"/>
      <c r="SF21" s="24"/>
      <c r="SG21" s="24"/>
      <c r="SH21" s="24"/>
      <c r="SI21" s="24"/>
      <c r="SJ21" s="24"/>
      <c r="SK21" s="24"/>
      <c r="SL21" s="24"/>
      <c r="SM21" s="24"/>
      <c r="SN21" s="24"/>
      <c r="SO21" s="24"/>
      <c r="SP21" s="24"/>
      <c r="SQ21" s="24"/>
      <c r="SR21" s="24"/>
      <c r="SS21" s="24"/>
      <c r="ST21" s="24"/>
      <c r="SU21" s="24"/>
      <c r="SV21" s="24"/>
      <c r="SW21" s="24"/>
      <c r="SX21" s="24"/>
      <c r="SY21" s="24"/>
      <c r="SZ21" s="24"/>
      <c r="TA21" s="24"/>
      <c r="TB21" s="24"/>
      <c r="TC21" s="24"/>
      <c r="TD21" s="24"/>
      <c r="TE21" s="24"/>
      <c r="TF21" s="24"/>
      <c r="TG21" s="24"/>
      <c r="TH21" s="24"/>
      <c r="TI21" s="24"/>
      <c r="TJ21" s="24"/>
      <c r="TK21" s="24"/>
      <c r="TL21" s="24"/>
      <c r="TM21" s="24"/>
      <c r="TN21" s="24"/>
      <c r="TO21" s="24"/>
      <c r="TP21" s="24"/>
      <c r="TQ21" s="24"/>
      <c r="TR21" s="24"/>
      <c r="TS21" s="24"/>
      <c r="TT21" s="24"/>
      <c r="TU21" s="24"/>
      <c r="TV21" s="24"/>
      <c r="TW21" s="24"/>
      <c r="TX21" s="24"/>
      <c r="TY21" s="24"/>
      <c r="TZ21" s="24"/>
      <c r="UA21" s="24"/>
      <c r="UB21" s="24"/>
      <c r="UC21" s="24"/>
      <c r="UD21" s="24"/>
      <c r="UE21" s="24"/>
      <c r="UF21" s="24"/>
      <c r="UG21" s="24"/>
      <c r="UH21" s="24"/>
      <c r="UI21" s="24"/>
      <c r="UJ21" s="24"/>
      <c r="UK21" s="24"/>
      <c r="UL21" s="24"/>
      <c r="UM21" s="24"/>
      <c r="UN21" s="24"/>
      <c r="UO21" s="24"/>
      <c r="UP21" s="24"/>
      <c r="UQ21" s="24"/>
      <c r="UR21" s="24"/>
      <c r="US21" s="24"/>
      <c r="UT21" s="24"/>
      <c r="UU21" s="24"/>
      <c r="UV21" s="24"/>
      <c r="UW21" s="24"/>
      <c r="UX21" s="24"/>
      <c r="UY21" s="24"/>
      <c r="UZ21" s="24"/>
      <c r="VA21" s="24"/>
      <c r="VB21" s="24"/>
      <c r="VC21" s="24"/>
      <c r="VD21" s="24"/>
      <c r="VE21" s="24"/>
      <c r="VF21" s="24"/>
      <c r="VG21" s="24"/>
      <c r="VH21" s="24"/>
      <c r="VI21" s="24"/>
      <c r="VJ21" s="24"/>
      <c r="VK21" s="24"/>
      <c r="VL21" s="24"/>
      <c r="VM21" s="24"/>
      <c r="VN21" s="24"/>
      <c r="VO21" s="24"/>
      <c r="VP21" s="24"/>
      <c r="VQ21" s="24"/>
      <c r="VR21" s="24"/>
      <c r="VS21" s="24"/>
      <c r="VT21" s="24"/>
      <c r="VU21" s="24"/>
      <c r="VV21" s="24"/>
      <c r="VW21" s="24"/>
      <c r="VX21" s="24"/>
      <c r="VY21" s="24"/>
      <c r="VZ21" s="24"/>
      <c r="WA21" s="24"/>
      <c r="WB21" s="24"/>
      <c r="WC21" s="24"/>
      <c r="WD21" s="24"/>
      <c r="WE21" s="24"/>
    </row>
    <row r="22" spans="1:603" ht="12.15" customHeight="1" thickBot="1" x14ac:dyDescent="0.3">
      <c r="A22" s="2" t="s">
        <v>8</v>
      </c>
      <c r="B22" s="2"/>
      <c r="C22" s="2"/>
      <c r="D22" s="2"/>
      <c r="E22" s="37"/>
    </row>
    <row r="23" spans="1:603" ht="13.65" customHeight="1" x14ac:dyDescent="0.25">
      <c r="A23" s="266" t="s">
        <v>1</v>
      </c>
      <c r="B23" s="262" t="s">
        <v>86</v>
      </c>
      <c r="C23" s="263"/>
      <c r="D23" s="264"/>
      <c r="E23" s="163" t="s">
        <v>17</v>
      </c>
      <c r="F23" s="164"/>
      <c r="G23" s="164"/>
      <c r="H23" s="164"/>
      <c r="I23" s="164"/>
      <c r="J23" s="164"/>
      <c r="K23" s="164"/>
      <c r="L23" s="164"/>
      <c r="M23" s="164"/>
      <c r="N23" s="164"/>
      <c r="O23" s="164"/>
      <c r="P23" s="164"/>
      <c r="Q23" s="164"/>
      <c r="R23" s="164"/>
      <c r="S23" s="164"/>
      <c r="T23" s="164"/>
      <c r="U23" s="151" t="s">
        <v>82</v>
      </c>
    </row>
    <row r="24" spans="1:603" ht="66.150000000000006" customHeight="1" x14ac:dyDescent="0.25">
      <c r="A24" s="267"/>
      <c r="B24" s="100" t="s">
        <v>46</v>
      </c>
      <c r="C24" s="21" t="s">
        <v>47</v>
      </c>
      <c r="D24" s="260" t="s">
        <v>81</v>
      </c>
      <c r="E24" s="20" t="s">
        <v>20</v>
      </c>
      <c r="F24" s="46" t="s">
        <v>21</v>
      </c>
      <c r="G24" s="46" t="s">
        <v>22</v>
      </c>
      <c r="H24" s="46" t="s">
        <v>24</v>
      </c>
      <c r="I24" s="46" t="s">
        <v>26</v>
      </c>
      <c r="J24" s="46" t="s">
        <v>28</v>
      </c>
      <c r="K24" s="46" t="s">
        <v>30</v>
      </c>
      <c r="L24" s="46" t="s">
        <v>32</v>
      </c>
      <c r="M24" s="185" t="s">
        <v>34</v>
      </c>
      <c r="N24" s="185"/>
      <c r="O24" s="185"/>
      <c r="P24" s="185" t="s">
        <v>36</v>
      </c>
      <c r="Q24" s="185"/>
      <c r="R24" s="185"/>
      <c r="S24" s="187" t="s">
        <v>38</v>
      </c>
      <c r="T24" s="187"/>
      <c r="U24" s="152"/>
    </row>
    <row r="25" spans="1:603" ht="9.75" customHeight="1" thickBot="1" x14ac:dyDescent="0.3">
      <c r="A25" s="268"/>
      <c r="B25" s="52" t="s">
        <v>18</v>
      </c>
      <c r="C25" s="53" t="s">
        <v>19</v>
      </c>
      <c r="D25" s="261"/>
      <c r="E25" s="52" t="s">
        <v>23</v>
      </c>
      <c r="F25" s="53" t="s">
        <v>25</v>
      </c>
      <c r="G25" s="53" t="s">
        <v>27</v>
      </c>
      <c r="H25" s="53" t="s">
        <v>29</v>
      </c>
      <c r="I25" s="53" t="s">
        <v>31</v>
      </c>
      <c r="J25" s="53" t="s">
        <v>33</v>
      </c>
      <c r="K25" s="53" t="s">
        <v>35</v>
      </c>
      <c r="L25" s="53" t="s">
        <v>37</v>
      </c>
      <c r="M25" s="186" t="s">
        <v>39</v>
      </c>
      <c r="N25" s="186"/>
      <c r="O25" s="186"/>
      <c r="P25" s="186" t="s">
        <v>78</v>
      </c>
      <c r="Q25" s="186"/>
      <c r="R25" s="186"/>
      <c r="S25" s="186" t="s">
        <v>79</v>
      </c>
      <c r="T25" s="186"/>
      <c r="U25" s="153"/>
    </row>
    <row r="26" spans="1:603" ht="13.65" customHeight="1" x14ac:dyDescent="0.25">
      <c r="A26" s="178" t="s">
        <v>76</v>
      </c>
      <c r="B26" s="255"/>
      <c r="C26" s="172"/>
      <c r="D26" s="167">
        <f>B26+C26</f>
        <v>0</v>
      </c>
      <c r="E26" s="181"/>
      <c r="F26" s="154"/>
      <c r="G26" s="154"/>
      <c r="H26" s="154"/>
      <c r="I26" s="154"/>
      <c r="J26" s="154"/>
      <c r="K26" s="154"/>
      <c r="L26" s="154"/>
      <c r="M26" s="190" t="s">
        <v>40</v>
      </c>
      <c r="N26" s="191"/>
      <c r="O26" s="54"/>
      <c r="P26" s="190" t="s">
        <v>40</v>
      </c>
      <c r="Q26" s="191"/>
      <c r="R26" s="54"/>
      <c r="S26" s="188">
        <f>M40+M41+M42+N40+N41+N42+O40+O41</f>
        <v>0</v>
      </c>
      <c r="T26" s="188"/>
      <c r="U26" s="156">
        <f>E26+F26+G26+H26+I26+J26+K26+L26+O26+O27+O28+R26+R27+R28+S26</f>
        <v>0</v>
      </c>
    </row>
    <row r="27" spans="1:603" ht="13.65" customHeight="1" x14ac:dyDescent="0.25">
      <c r="A27" s="179"/>
      <c r="B27" s="256"/>
      <c r="C27" s="173"/>
      <c r="D27" s="168"/>
      <c r="E27" s="182"/>
      <c r="F27" s="155"/>
      <c r="G27" s="155"/>
      <c r="H27" s="155"/>
      <c r="I27" s="155"/>
      <c r="J27" s="155"/>
      <c r="K27" s="155"/>
      <c r="L27" s="155"/>
      <c r="M27" s="159" t="s">
        <v>13</v>
      </c>
      <c r="N27" s="160"/>
      <c r="O27" s="49"/>
      <c r="P27" s="159" t="s">
        <v>13</v>
      </c>
      <c r="Q27" s="160"/>
      <c r="R27" s="49"/>
      <c r="S27" s="189"/>
      <c r="T27" s="189"/>
      <c r="U27" s="157"/>
    </row>
    <row r="28" spans="1:603" ht="13.65" customHeight="1" x14ac:dyDescent="0.25">
      <c r="A28" s="179"/>
      <c r="B28" s="257"/>
      <c r="C28" s="174"/>
      <c r="D28" s="169"/>
      <c r="E28" s="182"/>
      <c r="F28" s="155"/>
      <c r="G28" s="155"/>
      <c r="H28" s="155"/>
      <c r="I28" s="155"/>
      <c r="J28" s="155"/>
      <c r="K28" s="155"/>
      <c r="L28" s="155"/>
      <c r="M28" s="159" t="s">
        <v>49</v>
      </c>
      <c r="N28" s="160"/>
      <c r="O28" s="49"/>
      <c r="P28" s="159" t="s">
        <v>49</v>
      </c>
      <c r="Q28" s="160"/>
      <c r="R28" s="49"/>
      <c r="S28" s="189"/>
      <c r="T28" s="189"/>
      <c r="U28" s="157"/>
    </row>
    <row r="29" spans="1:603" ht="13.65" customHeight="1" x14ac:dyDescent="0.25">
      <c r="A29" s="179" t="s">
        <v>4</v>
      </c>
      <c r="B29" s="258"/>
      <c r="C29" s="175"/>
      <c r="D29" s="170">
        <f>B29+C29</f>
        <v>0</v>
      </c>
      <c r="E29" s="182"/>
      <c r="F29" s="155"/>
      <c r="G29" s="155"/>
      <c r="H29" s="155"/>
      <c r="I29" s="155"/>
      <c r="J29" s="155"/>
      <c r="K29" s="155"/>
      <c r="L29" s="155"/>
      <c r="M29" s="159" t="s">
        <v>40</v>
      </c>
      <c r="N29" s="160"/>
      <c r="O29" s="49"/>
      <c r="P29" s="159" t="s">
        <v>40</v>
      </c>
      <c r="Q29" s="160"/>
      <c r="R29" s="49"/>
      <c r="S29" s="189">
        <f>P40+P41+P42+Q40+Q41+Q42+R40+R41</f>
        <v>0</v>
      </c>
      <c r="T29" s="189"/>
      <c r="U29" s="157">
        <f>E29+F29+G29+H29+I29+J29+K29+L29+O29+O30+O31+R29+R30+R31+S29</f>
        <v>0</v>
      </c>
    </row>
    <row r="30" spans="1:603" ht="13.65" customHeight="1" x14ac:dyDescent="0.25">
      <c r="A30" s="179"/>
      <c r="B30" s="256"/>
      <c r="C30" s="173"/>
      <c r="D30" s="168"/>
      <c r="E30" s="182"/>
      <c r="F30" s="155"/>
      <c r="G30" s="155"/>
      <c r="H30" s="155"/>
      <c r="I30" s="155"/>
      <c r="J30" s="155"/>
      <c r="K30" s="155"/>
      <c r="L30" s="155"/>
      <c r="M30" s="159" t="s">
        <v>13</v>
      </c>
      <c r="N30" s="160"/>
      <c r="O30" s="49"/>
      <c r="P30" s="159" t="s">
        <v>13</v>
      </c>
      <c r="Q30" s="160"/>
      <c r="R30" s="49"/>
      <c r="S30" s="189"/>
      <c r="T30" s="189"/>
      <c r="U30" s="157"/>
    </row>
    <row r="31" spans="1:603" ht="13.65" customHeight="1" x14ac:dyDescent="0.25">
      <c r="A31" s="179"/>
      <c r="B31" s="257"/>
      <c r="C31" s="174"/>
      <c r="D31" s="169"/>
      <c r="E31" s="182"/>
      <c r="F31" s="155"/>
      <c r="G31" s="155"/>
      <c r="H31" s="155"/>
      <c r="I31" s="155"/>
      <c r="J31" s="155"/>
      <c r="K31" s="155"/>
      <c r="L31" s="155"/>
      <c r="M31" s="159" t="s">
        <v>49</v>
      </c>
      <c r="N31" s="160"/>
      <c r="O31" s="49"/>
      <c r="P31" s="159" t="s">
        <v>49</v>
      </c>
      <c r="Q31" s="160"/>
      <c r="R31" s="49"/>
      <c r="S31" s="189"/>
      <c r="T31" s="189"/>
      <c r="U31" s="157"/>
    </row>
    <row r="32" spans="1:603" ht="13.65" customHeight="1" x14ac:dyDescent="0.25">
      <c r="A32" s="179" t="s">
        <v>5</v>
      </c>
      <c r="B32" s="258"/>
      <c r="C32" s="175"/>
      <c r="D32" s="170">
        <f>B32+C32</f>
        <v>0</v>
      </c>
      <c r="E32" s="182"/>
      <c r="F32" s="155"/>
      <c r="G32" s="155"/>
      <c r="H32" s="155"/>
      <c r="I32" s="155"/>
      <c r="J32" s="155"/>
      <c r="K32" s="155"/>
      <c r="L32" s="155"/>
      <c r="M32" s="159" t="s">
        <v>40</v>
      </c>
      <c r="N32" s="160"/>
      <c r="O32" s="49"/>
      <c r="P32" s="159" t="s">
        <v>40</v>
      </c>
      <c r="Q32" s="160"/>
      <c r="R32" s="49"/>
      <c r="S32" s="189">
        <f>S40+S41+S42+T40+T41+T42+U40+U41</f>
        <v>0</v>
      </c>
      <c r="T32" s="189"/>
      <c r="U32" s="157">
        <f>E32+F32+G32+H32+I32+J32+K32+L32+O32+O33+O34+R32+R33+R34+S32</f>
        <v>0</v>
      </c>
    </row>
    <row r="33" spans="1:24" ht="13.65" customHeight="1" x14ac:dyDescent="0.25">
      <c r="A33" s="179"/>
      <c r="B33" s="256"/>
      <c r="C33" s="173"/>
      <c r="D33" s="168"/>
      <c r="E33" s="182"/>
      <c r="F33" s="155"/>
      <c r="G33" s="155"/>
      <c r="H33" s="155"/>
      <c r="I33" s="155"/>
      <c r="J33" s="155"/>
      <c r="K33" s="155"/>
      <c r="L33" s="155"/>
      <c r="M33" s="159" t="s">
        <v>13</v>
      </c>
      <c r="N33" s="160"/>
      <c r="O33" s="49"/>
      <c r="P33" s="159" t="s">
        <v>13</v>
      </c>
      <c r="Q33" s="160"/>
      <c r="R33" s="49"/>
      <c r="S33" s="189"/>
      <c r="T33" s="189"/>
      <c r="U33" s="157"/>
    </row>
    <row r="34" spans="1:24" ht="13.65" customHeight="1" thickBot="1" x14ac:dyDescent="0.3">
      <c r="A34" s="180"/>
      <c r="B34" s="259"/>
      <c r="C34" s="176"/>
      <c r="D34" s="171"/>
      <c r="E34" s="183"/>
      <c r="F34" s="184"/>
      <c r="G34" s="184"/>
      <c r="H34" s="184"/>
      <c r="I34" s="184"/>
      <c r="J34" s="184"/>
      <c r="K34" s="184"/>
      <c r="L34" s="184"/>
      <c r="M34" s="161" t="s">
        <v>49</v>
      </c>
      <c r="N34" s="162"/>
      <c r="O34" s="50"/>
      <c r="P34" s="161" t="s">
        <v>49</v>
      </c>
      <c r="Q34" s="162"/>
      <c r="R34" s="50"/>
      <c r="S34" s="214"/>
      <c r="T34" s="214"/>
      <c r="U34" s="158"/>
    </row>
    <row r="35" spans="1:24" ht="4.6500000000000004" customHeight="1" x14ac:dyDescent="0.25"/>
    <row r="36" spans="1:24" ht="13.65" customHeight="1" thickBot="1" x14ac:dyDescent="0.3">
      <c r="A36" s="2" t="s">
        <v>41</v>
      </c>
      <c r="B36" s="2"/>
      <c r="C36" s="2"/>
      <c r="D36" s="2"/>
    </row>
    <row r="37" spans="1:24" ht="11.25" customHeight="1" x14ac:dyDescent="0.25">
      <c r="A37" s="220" t="s">
        <v>45</v>
      </c>
      <c r="B37" s="221"/>
      <c r="C37" s="221"/>
      <c r="D37" s="221"/>
      <c r="E37" s="222"/>
      <c r="F37" s="18"/>
      <c r="G37" s="18"/>
      <c r="H37" s="18"/>
      <c r="J37" s="199" t="s">
        <v>50</v>
      </c>
      <c r="K37" s="200"/>
      <c r="L37" s="200"/>
      <c r="M37" s="200"/>
      <c r="N37" s="200"/>
      <c r="O37" s="200"/>
      <c r="P37" s="200"/>
      <c r="Q37" s="200"/>
      <c r="R37" s="200"/>
      <c r="S37" s="200"/>
      <c r="T37" s="200"/>
      <c r="U37" s="201"/>
    </row>
    <row r="38" spans="1:24" ht="12.75" customHeight="1" x14ac:dyDescent="0.25">
      <c r="A38" s="14"/>
      <c r="B38" s="44" t="s">
        <v>46</v>
      </c>
      <c r="C38" s="44" t="s">
        <v>47</v>
      </c>
      <c r="D38" s="44" t="s">
        <v>48</v>
      </c>
      <c r="E38" s="45" t="s">
        <v>3</v>
      </c>
      <c r="J38" s="202" t="s">
        <v>2</v>
      </c>
      <c r="K38" s="203"/>
      <c r="L38" s="204"/>
      <c r="M38" s="197" t="s">
        <v>6</v>
      </c>
      <c r="N38" s="197"/>
      <c r="O38" s="197"/>
      <c r="P38" s="197" t="s">
        <v>4</v>
      </c>
      <c r="Q38" s="197"/>
      <c r="R38" s="197"/>
      <c r="S38" s="197" t="s">
        <v>5</v>
      </c>
      <c r="T38" s="197"/>
      <c r="U38" s="198"/>
    </row>
    <row r="39" spans="1:24" ht="13.65" customHeight="1" x14ac:dyDescent="0.25">
      <c r="A39" s="242" t="s">
        <v>42</v>
      </c>
      <c r="B39" s="192"/>
      <c r="C39" s="192"/>
      <c r="D39" s="192"/>
      <c r="E39" s="194">
        <f>B39+C39+D39</f>
        <v>0</v>
      </c>
      <c r="F39" s="196"/>
      <c r="G39" s="196"/>
      <c r="H39" s="241"/>
      <c r="J39" s="205"/>
      <c r="K39" s="206"/>
      <c r="L39" s="207"/>
      <c r="M39" s="44" t="s">
        <v>51</v>
      </c>
      <c r="N39" s="44" t="s">
        <v>7</v>
      </c>
      <c r="O39" s="44" t="s">
        <v>52</v>
      </c>
      <c r="P39" s="44" t="s">
        <v>51</v>
      </c>
      <c r="Q39" s="44" t="s">
        <v>7</v>
      </c>
      <c r="R39" s="44" t="s">
        <v>52</v>
      </c>
      <c r="S39" s="44" t="s">
        <v>51</v>
      </c>
      <c r="T39" s="44" t="s">
        <v>7</v>
      </c>
      <c r="U39" s="45" t="s">
        <v>52</v>
      </c>
    </row>
    <row r="40" spans="1:24" ht="13.65" customHeight="1" x14ac:dyDescent="0.25">
      <c r="A40" s="242"/>
      <c r="B40" s="216"/>
      <c r="C40" s="216"/>
      <c r="D40" s="216"/>
      <c r="E40" s="194"/>
      <c r="F40" s="196"/>
      <c r="G40" s="196"/>
      <c r="H40" s="241"/>
      <c r="J40" s="208" t="s">
        <v>53</v>
      </c>
      <c r="K40" s="209"/>
      <c r="L40" s="210"/>
      <c r="M40" s="38"/>
      <c r="N40" s="38"/>
      <c r="O40" s="38"/>
      <c r="P40" s="38"/>
      <c r="Q40" s="38"/>
      <c r="R40" s="38"/>
      <c r="S40" s="38"/>
      <c r="T40" s="38"/>
      <c r="U40" s="39"/>
    </row>
    <row r="41" spans="1:24" ht="13.65" customHeight="1" x14ac:dyDescent="0.25">
      <c r="A41" s="242" t="s">
        <v>43</v>
      </c>
      <c r="B41" s="192"/>
      <c r="C41" s="192"/>
      <c r="D41" s="192"/>
      <c r="E41" s="194">
        <f>B41+C41+D41</f>
        <v>0</v>
      </c>
      <c r="F41" s="196"/>
      <c r="G41" s="196"/>
      <c r="H41" s="241"/>
      <c r="J41" s="208" t="s">
        <v>54</v>
      </c>
      <c r="K41" s="209"/>
      <c r="L41" s="210"/>
      <c r="M41" s="38"/>
      <c r="N41" s="38"/>
      <c r="O41" s="38"/>
      <c r="P41" s="38"/>
      <c r="Q41" s="38"/>
      <c r="R41" s="38"/>
      <c r="S41" s="38"/>
      <c r="T41" s="38"/>
      <c r="U41" s="39"/>
    </row>
    <row r="42" spans="1:24" ht="13.65" customHeight="1" thickBot="1" x14ac:dyDescent="0.3">
      <c r="A42" s="242"/>
      <c r="B42" s="216"/>
      <c r="C42" s="216"/>
      <c r="D42" s="216"/>
      <c r="E42" s="194"/>
      <c r="F42" s="196"/>
      <c r="G42" s="196"/>
      <c r="H42" s="241"/>
      <c r="J42" s="211" t="s">
        <v>55</v>
      </c>
      <c r="K42" s="212"/>
      <c r="L42" s="213"/>
      <c r="M42" s="40"/>
      <c r="N42" s="40"/>
      <c r="O42" s="41"/>
      <c r="P42" s="40"/>
      <c r="Q42" s="40"/>
      <c r="R42" s="41"/>
      <c r="S42" s="40"/>
      <c r="T42" s="40"/>
      <c r="U42" s="42"/>
    </row>
    <row r="43" spans="1:24" ht="10.5" customHeight="1" x14ac:dyDescent="0.25">
      <c r="A43" s="242" t="s">
        <v>44</v>
      </c>
      <c r="B43" s="192"/>
      <c r="C43" s="192"/>
      <c r="D43" s="192"/>
      <c r="E43" s="194">
        <f>B43+C43+D43</f>
        <v>0</v>
      </c>
      <c r="F43" s="196"/>
      <c r="G43" s="196"/>
      <c r="H43" s="241"/>
      <c r="J43" s="15" t="s">
        <v>56</v>
      </c>
      <c r="K43" s="16"/>
      <c r="L43" s="16"/>
      <c r="M43" s="16"/>
      <c r="N43" s="16"/>
      <c r="O43" s="16"/>
      <c r="P43" s="16"/>
      <c r="Q43" s="16"/>
      <c r="R43" s="16"/>
      <c r="S43" s="16"/>
      <c r="T43" s="16"/>
      <c r="U43" s="16"/>
      <c r="V43" s="16"/>
      <c r="W43" s="16"/>
      <c r="X43" s="16"/>
    </row>
    <row r="44" spans="1:24" ht="13.65" customHeight="1" thickBot="1" x14ac:dyDescent="0.3">
      <c r="A44" s="269"/>
      <c r="B44" s="193"/>
      <c r="C44" s="193"/>
      <c r="D44" s="193"/>
      <c r="E44" s="195"/>
      <c r="F44" s="196"/>
      <c r="G44" s="196"/>
      <c r="H44" s="241"/>
    </row>
    <row r="45" spans="1:24" ht="11.25" customHeight="1" x14ac:dyDescent="0.25">
      <c r="A45" s="2"/>
      <c r="B45" s="2"/>
      <c r="C45" s="2"/>
      <c r="D45" s="2"/>
      <c r="F45" s="252" t="s">
        <v>115</v>
      </c>
      <c r="G45" s="252"/>
      <c r="H45" s="252"/>
      <c r="L45" s="16" t="s">
        <v>57</v>
      </c>
      <c r="M45" s="16"/>
      <c r="N45" s="16"/>
      <c r="O45" s="16"/>
      <c r="P45" s="16"/>
      <c r="Q45" s="146"/>
      <c r="R45" s="146"/>
      <c r="S45" s="146"/>
      <c r="T45" s="146"/>
      <c r="U45" s="146"/>
    </row>
    <row r="46" spans="1:24" ht="13.65" customHeight="1" x14ac:dyDescent="0.25">
      <c r="A46" s="265"/>
      <c r="B46" s="48"/>
      <c r="C46" s="48"/>
      <c r="D46" s="48"/>
      <c r="E46" s="243"/>
      <c r="F46" s="244"/>
      <c r="G46" s="244"/>
      <c r="H46" s="244"/>
      <c r="I46" s="244"/>
      <c r="J46" s="245"/>
      <c r="K46" s="16"/>
      <c r="L46" s="16" t="s">
        <v>58</v>
      </c>
      <c r="M46" s="146"/>
      <c r="N46" s="146"/>
      <c r="O46" s="146"/>
      <c r="P46" s="146"/>
      <c r="Q46" s="16"/>
      <c r="R46" s="16"/>
    </row>
    <row r="47" spans="1:24" ht="13.65" customHeight="1" x14ac:dyDescent="0.25">
      <c r="A47" s="265"/>
      <c r="B47" s="48"/>
      <c r="C47" s="48"/>
      <c r="D47" s="48"/>
      <c r="E47" s="246"/>
      <c r="F47" s="247"/>
      <c r="G47" s="247"/>
      <c r="H47" s="247"/>
      <c r="I47" s="247"/>
      <c r="J47" s="248"/>
      <c r="K47" s="16"/>
      <c r="L47" s="16" t="s">
        <v>59</v>
      </c>
      <c r="M47" s="145"/>
      <c r="N47" s="145"/>
      <c r="O47" s="145"/>
      <c r="P47" s="145"/>
      <c r="Q47" s="16"/>
      <c r="R47" s="17" t="s">
        <v>60</v>
      </c>
      <c r="S47" s="144"/>
      <c r="T47" s="144"/>
    </row>
    <row r="48" spans="1:24" ht="13.65" customHeight="1" x14ac:dyDescent="0.25">
      <c r="A48" s="241"/>
      <c r="B48" s="47"/>
      <c r="C48" s="47"/>
      <c r="D48" s="47"/>
      <c r="E48" s="246"/>
      <c r="F48" s="247"/>
      <c r="G48" s="247"/>
      <c r="H48" s="247"/>
      <c r="I48" s="247"/>
      <c r="J48" s="248"/>
      <c r="K48" s="16"/>
      <c r="L48" s="16" t="s">
        <v>61</v>
      </c>
      <c r="M48" s="166"/>
      <c r="N48" s="166"/>
      <c r="O48" s="166"/>
      <c r="P48" s="166"/>
      <c r="Q48" s="16"/>
      <c r="R48" s="16"/>
    </row>
    <row r="49" spans="1:11" ht="13.65" customHeight="1" x14ac:dyDescent="0.25">
      <c r="A49" s="241"/>
      <c r="B49" s="47"/>
      <c r="C49" s="47"/>
      <c r="D49" s="47"/>
      <c r="E49" s="249"/>
      <c r="F49" s="250"/>
      <c r="G49" s="250"/>
      <c r="H49" s="250"/>
      <c r="I49" s="250"/>
      <c r="J49" s="251"/>
      <c r="K49" s="16"/>
    </row>
  </sheetData>
  <mergeCells count="140">
    <mergeCell ref="E46:J49"/>
    <mergeCell ref="F45:H45"/>
    <mergeCell ref="A17:C17"/>
    <mergeCell ref="A18:C18"/>
    <mergeCell ref="A19:C19"/>
    <mergeCell ref="B26:B28"/>
    <mergeCell ref="B29:B31"/>
    <mergeCell ref="B32:B34"/>
    <mergeCell ref="D24:D25"/>
    <mergeCell ref="B23:D23"/>
    <mergeCell ref="A46:A47"/>
    <mergeCell ref="A23:A25"/>
    <mergeCell ref="A48:A49"/>
    <mergeCell ref="G43:G44"/>
    <mergeCell ref="H43:H44"/>
    <mergeCell ref="A43:A44"/>
    <mergeCell ref="E39:E40"/>
    <mergeCell ref="F39:F40"/>
    <mergeCell ref="G39:G40"/>
    <mergeCell ref="E41:E42"/>
    <mergeCell ref="F41:F42"/>
    <mergeCell ref="G41:G42"/>
    <mergeCell ref="H41:H42"/>
    <mergeCell ref="B43:B44"/>
    <mergeCell ref="N6:O6"/>
    <mergeCell ref="B39:B40"/>
    <mergeCell ref="C39:C40"/>
    <mergeCell ref="D39:D40"/>
    <mergeCell ref="B41:B42"/>
    <mergeCell ref="C41:C42"/>
    <mergeCell ref="D41:D42"/>
    <mergeCell ref="D12:G12"/>
    <mergeCell ref="D13:G13"/>
    <mergeCell ref="D14:G14"/>
    <mergeCell ref="A37:E37"/>
    <mergeCell ref="H17:K18"/>
    <mergeCell ref="L17:N17"/>
    <mergeCell ref="O17:Q17"/>
    <mergeCell ref="A12:C14"/>
    <mergeCell ref="A20:C20"/>
    <mergeCell ref="P27:Q27"/>
    <mergeCell ref="M24:O24"/>
    <mergeCell ref="M25:O25"/>
    <mergeCell ref="P25:R25"/>
    <mergeCell ref="L32:L34"/>
    <mergeCell ref="H39:H40"/>
    <mergeCell ref="A39:A40"/>
    <mergeCell ref="A41:A42"/>
    <mergeCell ref="S38:U38"/>
    <mergeCell ref="J37:U37"/>
    <mergeCell ref="J38:L39"/>
    <mergeCell ref="J40:L40"/>
    <mergeCell ref="J41:L41"/>
    <mergeCell ref="J32:J34"/>
    <mergeCell ref="G26:G28"/>
    <mergeCell ref="J26:J28"/>
    <mergeCell ref="J42:L42"/>
    <mergeCell ref="M38:O38"/>
    <mergeCell ref="P38:R38"/>
    <mergeCell ref="M28:N28"/>
    <mergeCell ref="I29:I31"/>
    <mergeCell ref="I32:I34"/>
    <mergeCell ref="M27:N27"/>
    <mergeCell ref="P32:Q32"/>
    <mergeCell ref="H26:H28"/>
    <mergeCell ref="H29:H31"/>
    <mergeCell ref="S29:T31"/>
    <mergeCell ref="S32:T34"/>
    <mergeCell ref="C43:C44"/>
    <mergeCell ref="D43:D44"/>
    <mergeCell ref="E43:E44"/>
    <mergeCell ref="F43:F44"/>
    <mergeCell ref="H32:H34"/>
    <mergeCell ref="F29:F31"/>
    <mergeCell ref="P26:Q26"/>
    <mergeCell ref="P33:Q33"/>
    <mergeCell ref="K32:K34"/>
    <mergeCell ref="F32:F34"/>
    <mergeCell ref="G29:G31"/>
    <mergeCell ref="P24:R24"/>
    <mergeCell ref="S25:T25"/>
    <mergeCell ref="P34:Q34"/>
    <mergeCell ref="P30:Q30"/>
    <mergeCell ref="P31:Q31"/>
    <mergeCell ref="M29:N29"/>
    <mergeCell ref="M30:N30"/>
    <mergeCell ref="M31:N31"/>
    <mergeCell ref="S24:T24"/>
    <mergeCell ref="S26:T28"/>
    <mergeCell ref="M26:N26"/>
    <mergeCell ref="P28:Q28"/>
    <mergeCell ref="P29:Q29"/>
    <mergeCell ref="A1:R1"/>
    <mergeCell ref="M48:P48"/>
    <mergeCell ref="D26:D28"/>
    <mergeCell ref="D29:D31"/>
    <mergeCell ref="D32:D34"/>
    <mergeCell ref="C26:C28"/>
    <mergeCell ref="C29:C31"/>
    <mergeCell ref="C32:C34"/>
    <mergeCell ref="A4:U4"/>
    <mergeCell ref="A2:U2"/>
    <mergeCell ref="A3:R3"/>
    <mergeCell ref="A26:A28"/>
    <mergeCell ref="A29:A31"/>
    <mergeCell ref="A32:A34"/>
    <mergeCell ref="E26:E28"/>
    <mergeCell ref="E29:E31"/>
    <mergeCell ref="E32:E34"/>
    <mergeCell ref="F26:F28"/>
    <mergeCell ref="G32:G34"/>
    <mergeCell ref="J29:J31"/>
    <mergeCell ref="K29:K31"/>
    <mergeCell ref="J12:L12"/>
    <mergeCell ref="J13:L13"/>
    <mergeCell ref="J14:L14"/>
    <mergeCell ref="C6:G6"/>
    <mergeCell ref="C7:G7"/>
    <mergeCell ref="C8:G8"/>
    <mergeCell ref="S47:T47"/>
    <mergeCell ref="M47:P47"/>
    <mergeCell ref="M46:P46"/>
    <mergeCell ref="Q45:U45"/>
    <mergeCell ref="N7:S7"/>
    <mergeCell ref="M8:S8"/>
    <mergeCell ref="M9:N9"/>
    <mergeCell ref="K10:L10"/>
    <mergeCell ref="Q10:S10"/>
    <mergeCell ref="U23:U25"/>
    <mergeCell ref="I26:I28"/>
    <mergeCell ref="U26:U28"/>
    <mergeCell ref="U29:U31"/>
    <mergeCell ref="U32:U34"/>
    <mergeCell ref="L26:L28"/>
    <mergeCell ref="L29:L31"/>
    <mergeCell ref="M33:N33"/>
    <mergeCell ref="M34:N34"/>
    <mergeCell ref="E23:T23"/>
    <mergeCell ref="K26:K28"/>
    <mergeCell ref="M32:N32"/>
  </mergeCells>
  <phoneticPr fontId="4" type="noConversion"/>
  <dataValidations count="4">
    <dataValidation allowBlank="1" showInputMessage="1" showErrorMessage="1" prompt="Date Format:_x000a_DD/MM/YYYY" sqref="S47 P9"/>
    <dataValidation type="whole" allowBlank="1" showInputMessage="1" showErrorMessage="1" sqref="E26:L34 M40:U42 B39:D44 L18:N18 R26:R34 O26:O34 C26:C34 B26:B28 B32:B34">
      <formula1>0</formula1>
      <formula2>999999</formula2>
    </dataValidation>
    <dataValidation type="whole" allowBlank="1" showInputMessage="1" showErrorMessage="1" prompt="Fill the following Others (Specify) table to get the number automatically " sqref="S26:T34">
      <formula1>0</formula1>
      <formula2>999999</formula2>
    </dataValidation>
    <dataValidation type="whole" allowBlank="1" showInputMessage="1" showErrorMessage="1" sqref="B29:B31">
      <formula1>0</formula1>
      <formula2>999999</formula2>
    </dataValidation>
  </dataValidations>
  <pageMargins left="0.21" right="0.17" top="0.47" bottom="0.22" header="0.23" footer="0.16"/>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P32"/>
  <sheetViews>
    <sheetView showGridLines="0" view="pageBreakPreview" zoomScaleSheetLayoutView="100" workbookViewId="0">
      <selection activeCell="G12" sqref="G12"/>
    </sheetView>
  </sheetViews>
  <sheetFormatPr defaultRowHeight="14.4" x14ac:dyDescent="0.3"/>
  <cols>
    <col min="1" max="1" width="6" style="77" customWidth="1"/>
    <col min="2" max="2" width="22.109375" style="77" customWidth="1"/>
    <col min="3" max="3" width="5.44140625" style="77" customWidth="1"/>
    <col min="4" max="4" width="5.109375" style="77" customWidth="1"/>
    <col min="5" max="5" width="10.109375" style="77" customWidth="1"/>
    <col min="6" max="6" width="28.6640625" style="77" customWidth="1"/>
    <col min="7" max="7" width="17.109375" style="77" customWidth="1"/>
    <col min="8" max="8" width="10.109375" style="77" customWidth="1"/>
    <col min="9" max="9" width="15" style="77" customWidth="1"/>
    <col min="10" max="10" width="10.44140625" style="77" customWidth="1"/>
    <col min="11" max="11" width="15.88671875" style="77" customWidth="1"/>
    <col min="12" max="13" width="9.5546875" style="77" customWidth="1"/>
    <col min="14" max="14" width="11.44140625" style="77" customWidth="1"/>
    <col min="15" max="15" width="12" style="77" customWidth="1"/>
    <col min="16" max="258" width="9.109375" style="77"/>
    <col min="259" max="259" width="6" style="77" customWidth="1"/>
    <col min="260" max="260" width="22.109375" style="77" customWidth="1"/>
    <col min="261" max="261" width="5.44140625" style="77" customWidth="1"/>
    <col min="262" max="262" width="5.109375" style="77" customWidth="1"/>
    <col min="263" max="263" width="21.33203125" style="77" customWidth="1"/>
    <col min="264" max="264" width="17.109375" style="77" customWidth="1"/>
    <col min="265" max="265" width="10.109375" style="77" customWidth="1"/>
    <col min="266" max="266" width="15" style="77" customWidth="1"/>
    <col min="267" max="267" width="10.44140625" style="77" customWidth="1"/>
    <col min="268" max="268" width="15.88671875" style="77" customWidth="1"/>
    <col min="269" max="269" width="9.5546875" style="77" customWidth="1"/>
    <col min="270" max="270" width="11.44140625" style="77" customWidth="1"/>
    <col min="271" max="271" width="12" style="77" customWidth="1"/>
    <col min="272" max="514" width="9.109375" style="77"/>
    <col min="515" max="515" width="6" style="77" customWidth="1"/>
    <col min="516" max="516" width="22.109375" style="77" customWidth="1"/>
    <col min="517" max="517" width="5.44140625" style="77" customWidth="1"/>
    <col min="518" max="518" width="5.109375" style="77" customWidth="1"/>
    <col min="519" max="519" width="21.33203125" style="77" customWidth="1"/>
    <col min="520" max="520" width="17.109375" style="77" customWidth="1"/>
    <col min="521" max="521" width="10.109375" style="77" customWidth="1"/>
    <col min="522" max="522" width="15" style="77" customWidth="1"/>
    <col min="523" max="523" width="10.44140625" style="77" customWidth="1"/>
    <col min="524" max="524" width="15.88671875" style="77" customWidth="1"/>
    <col min="525" max="525" width="9.5546875" style="77" customWidth="1"/>
    <col min="526" max="526" width="11.44140625" style="77" customWidth="1"/>
    <col min="527" max="527" width="12" style="77" customWidth="1"/>
    <col min="528" max="770" width="9.109375" style="77"/>
    <col min="771" max="771" width="6" style="77" customWidth="1"/>
    <col min="772" max="772" width="22.109375" style="77" customWidth="1"/>
    <col min="773" max="773" width="5.44140625" style="77" customWidth="1"/>
    <col min="774" max="774" width="5.109375" style="77" customWidth="1"/>
    <col min="775" max="775" width="21.33203125" style="77" customWidth="1"/>
    <col min="776" max="776" width="17.109375" style="77" customWidth="1"/>
    <col min="777" max="777" width="10.109375" style="77" customWidth="1"/>
    <col min="778" max="778" width="15" style="77" customWidth="1"/>
    <col min="779" max="779" width="10.44140625" style="77" customWidth="1"/>
    <col min="780" max="780" width="15.88671875" style="77" customWidth="1"/>
    <col min="781" max="781" width="9.5546875" style="77" customWidth="1"/>
    <col min="782" max="782" width="11.44140625" style="77" customWidth="1"/>
    <col min="783" max="783" width="12" style="77" customWidth="1"/>
    <col min="784" max="1026" width="9.109375" style="77"/>
    <col min="1027" max="1027" width="6" style="77" customWidth="1"/>
    <col min="1028" max="1028" width="22.109375" style="77" customWidth="1"/>
    <col min="1029" max="1029" width="5.44140625" style="77" customWidth="1"/>
    <col min="1030" max="1030" width="5.109375" style="77" customWidth="1"/>
    <col min="1031" max="1031" width="21.33203125" style="77" customWidth="1"/>
    <col min="1032" max="1032" width="17.109375" style="77" customWidth="1"/>
    <col min="1033" max="1033" width="10.109375" style="77" customWidth="1"/>
    <col min="1034" max="1034" width="15" style="77" customWidth="1"/>
    <col min="1035" max="1035" width="10.44140625" style="77" customWidth="1"/>
    <col min="1036" max="1036" width="15.88671875" style="77" customWidth="1"/>
    <col min="1037" max="1037" width="9.5546875" style="77" customWidth="1"/>
    <col min="1038" max="1038" width="11.44140625" style="77" customWidth="1"/>
    <col min="1039" max="1039" width="12" style="77" customWidth="1"/>
    <col min="1040" max="1282" width="9.109375" style="77"/>
    <col min="1283" max="1283" width="6" style="77" customWidth="1"/>
    <col min="1284" max="1284" width="22.109375" style="77" customWidth="1"/>
    <col min="1285" max="1285" width="5.44140625" style="77" customWidth="1"/>
    <col min="1286" max="1286" width="5.109375" style="77" customWidth="1"/>
    <col min="1287" max="1287" width="21.33203125" style="77" customWidth="1"/>
    <col min="1288" max="1288" width="17.109375" style="77" customWidth="1"/>
    <col min="1289" max="1289" width="10.109375" style="77" customWidth="1"/>
    <col min="1290" max="1290" width="15" style="77" customWidth="1"/>
    <col min="1291" max="1291" width="10.44140625" style="77" customWidth="1"/>
    <col min="1292" max="1292" width="15.88671875" style="77" customWidth="1"/>
    <col min="1293" max="1293" width="9.5546875" style="77" customWidth="1"/>
    <col min="1294" max="1294" width="11.44140625" style="77" customWidth="1"/>
    <col min="1295" max="1295" width="12" style="77" customWidth="1"/>
    <col min="1296" max="1538" width="9.109375" style="77"/>
    <col min="1539" max="1539" width="6" style="77" customWidth="1"/>
    <col min="1540" max="1540" width="22.109375" style="77" customWidth="1"/>
    <col min="1541" max="1541" width="5.44140625" style="77" customWidth="1"/>
    <col min="1542" max="1542" width="5.109375" style="77" customWidth="1"/>
    <col min="1543" max="1543" width="21.33203125" style="77" customWidth="1"/>
    <col min="1544" max="1544" width="17.109375" style="77" customWidth="1"/>
    <col min="1545" max="1545" width="10.109375" style="77" customWidth="1"/>
    <col min="1546" max="1546" width="15" style="77" customWidth="1"/>
    <col min="1547" max="1547" width="10.44140625" style="77" customWidth="1"/>
    <col min="1548" max="1548" width="15.88671875" style="77" customWidth="1"/>
    <col min="1549" max="1549" width="9.5546875" style="77" customWidth="1"/>
    <col min="1550" max="1550" width="11.44140625" style="77" customWidth="1"/>
    <col min="1551" max="1551" width="12" style="77" customWidth="1"/>
    <col min="1552" max="1794" width="9.109375" style="77"/>
    <col min="1795" max="1795" width="6" style="77" customWidth="1"/>
    <col min="1796" max="1796" width="22.109375" style="77" customWidth="1"/>
    <col min="1797" max="1797" width="5.44140625" style="77" customWidth="1"/>
    <col min="1798" max="1798" width="5.109375" style="77" customWidth="1"/>
    <col min="1799" max="1799" width="21.33203125" style="77" customWidth="1"/>
    <col min="1800" max="1800" width="17.109375" style="77" customWidth="1"/>
    <col min="1801" max="1801" width="10.109375" style="77" customWidth="1"/>
    <col min="1802" max="1802" width="15" style="77" customWidth="1"/>
    <col min="1803" max="1803" width="10.44140625" style="77" customWidth="1"/>
    <col min="1804" max="1804" width="15.88671875" style="77" customWidth="1"/>
    <col min="1805" max="1805" width="9.5546875" style="77" customWidth="1"/>
    <col min="1806" max="1806" width="11.44140625" style="77" customWidth="1"/>
    <col min="1807" max="1807" width="12" style="77" customWidth="1"/>
    <col min="1808" max="2050" width="9.109375" style="77"/>
    <col min="2051" max="2051" width="6" style="77" customWidth="1"/>
    <col min="2052" max="2052" width="22.109375" style="77" customWidth="1"/>
    <col min="2053" max="2053" width="5.44140625" style="77" customWidth="1"/>
    <col min="2054" max="2054" width="5.109375" style="77" customWidth="1"/>
    <col min="2055" max="2055" width="21.33203125" style="77" customWidth="1"/>
    <col min="2056" max="2056" width="17.109375" style="77" customWidth="1"/>
    <col min="2057" max="2057" width="10.109375" style="77" customWidth="1"/>
    <col min="2058" max="2058" width="15" style="77" customWidth="1"/>
    <col min="2059" max="2059" width="10.44140625" style="77" customWidth="1"/>
    <col min="2060" max="2060" width="15.88671875" style="77" customWidth="1"/>
    <col min="2061" max="2061" width="9.5546875" style="77" customWidth="1"/>
    <col min="2062" max="2062" width="11.44140625" style="77" customWidth="1"/>
    <col min="2063" max="2063" width="12" style="77" customWidth="1"/>
    <col min="2064" max="2306" width="9.109375" style="77"/>
    <col min="2307" max="2307" width="6" style="77" customWidth="1"/>
    <col min="2308" max="2308" width="22.109375" style="77" customWidth="1"/>
    <col min="2309" max="2309" width="5.44140625" style="77" customWidth="1"/>
    <col min="2310" max="2310" width="5.109375" style="77" customWidth="1"/>
    <col min="2311" max="2311" width="21.33203125" style="77" customWidth="1"/>
    <col min="2312" max="2312" width="17.109375" style="77" customWidth="1"/>
    <col min="2313" max="2313" width="10.109375" style="77" customWidth="1"/>
    <col min="2314" max="2314" width="15" style="77" customWidth="1"/>
    <col min="2315" max="2315" width="10.44140625" style="77" customWidth="1"/>
    <col min="2316" max="2316" width="15.88671875" style="77" customWidth="1"/>
    <col min="2317" max="2317" width="9.5546875" style="77" customWidth="1"/>
    <col min="2318" max="2318" width="11.44140625" style="77" customWidth="1"/>
    <col min="2319" max="2319" width="12" style="77" customWidth="1"/>
    <col min="2320" max="2562" width="9.109375" style="77"/>
    <col min="2563" max="2563" width="6" style="77" customWidth="1"/>
    <col min="2564" max="2564" width="22.109375" style="77" customWidth="1"/>
    <col min="2565" max="2565" width="5.44140625" style="77" customWidth="1"/>
    <col min="2566" max="2566" width="5.109375" style="77" customWidth="1"/>
    <col min="2567" max="2567" width="21.33203125" style="77" customWidth="1"/>
    <col min="2568" max="2568" width="17.109375" style="77" customWidth="1"/>
    <col min="2569" max="2569" width="10.109375" style="77" customWidth="1"/>
    <col min="2570" max="2570" width="15" style="77" customWidth="1"/>
    <col min="2571" max="2571" width="10.44140625" style="77" customWidth="1"/>
    <col min="2572" max="2572" width="15.88671875" style="77" customWidth="1"/>
    <col min="2573" max="2573" width="9.5546875" style="77" customWidth="1"/>
    <col min="2574" max="2574" width="11.44140625" style="77" customWidth="1"/>
    <col min="2575" max="2575" width="12" style="77" customWidth="1"/>
    <col min="2576" max="2818" width="9.109375" style="77"/>
    <col min="2819" max="2819" width="6" style="77" customWidth="1"/>
    <col min="2820" max="2820" width="22.109375" style="77" customWidth="1"/>
    <col min="2821" max="2821" width="5.44140625" style="77" customWidth="1"/>
    <col min="2822" max="2822" width="5.109375" style="77" customWidth="1"/>
    <col min="2823" max="2823" width="21.33203125" style="77" customWidth="1"/>
    <col min="2824" max="2824" width="17.109375" style="77" customWidth="1"/>
    <col min="2825" max="2825" width="10.109375" style="77" customWidth="1"/>
    <col min="2826" max="2826" width="15" style="77" customWidth="1"/>
    <col min="2827" max="2827" width="10.44140625" style="77" customWidth="1"/>
    <col min="2828" max="2828" width="15.88671875" style="77" customWidth="1"/>
    <col min="2829" max="2829" width="9.5546875" style="77" customWidth="1"/>
    <col min="2830" max="2830" width="11.44140625" style="77" customWidth="1"/>
    <col min="2831" max="2831" width="12" style="77" customWidth="1"/>
    <col min="2832" max="3074" width="9.109375" style="77"/>
    <col min="3075" max="3075" width="6" style="77" customWidth="1"/>
    <col min="3076" max="3076" width="22.109375" style="77" customWidth="1"/>
    <col min="3077" max="3077" width="5.44140625" style="77" customWidth="1"/>
    <col min="3078" max="3078" width="5.109375" style="77" customWidth="1"/>
    <col min="3079" max="3079" width="21.33203125" style="77" customWidth="1"/>
    <col min="3080" max="3080" width="17.109375" style="77" customWidth="1"/>
    <col min="3081" max="3081" width="10.109375" style="77" customWidth="1"/>
    <col min="3082" max="3082" width="15" style="77" customWidth="1"/>
    <col min="3083" max="3083" width="10.44140625" style="77" customWidth="1"/>
    <col min="3084" max="3084" width="15.88671875" style="77" customWidth="1"/>
    <col min="3085" max="3085" width="9.5546875" style="77" customWidth="1"/>
    <col min="3086" max="3086" width="11.44140625" style="77" customWidth="1"/>
    <col min="3087" max="3087" width="12" style="77" customWidth="1"/>
    <col min="3088" max="3330" width="9.109375" style="77"/>
    <col min="3331" max="3331" width="6" style="77" customWidth="1"/>
    <col min="3332" max="3332" width="22.109375" style="77" customWidth="1"/>
    <col min="3333" max="3333" width="5.44140625" style="77" customWidth="1"/>
    <col min="3334" max="3334" width="5.109375" style="77" customWidth="1"/>
    <col min="3335" max="3335" width="21.33203125" style="77" customWidth="1"/>
    <col min="3336" max="3336" width="17.109375" style="77" customWidth="1"/>
    <col min="3337" max="3337" width="10.109375" style="77" customWidth="1"/>
    <col min="3338" max="3338" width="15" style="77" customWidth="1"/>
    <col min="3339" max="3339" width="10.44140625" style="77" customWidth="1"/>
    <col min="3340" max="3340" width="15.88671875" style="77" customWidth="1"/>
    <col min="3341" max="3341" width="9.5546875" style="77" customWidth="1"/>
    <col min="3342" max="3342" width="11.44140625" style="77" customWidth="1"/>
    <col min="3343" max="3343" width="12" style="77" customWidth="1"/>
    <col min="3344" max="3586" width="9.109375" style="77"/>
    <col min="3587" max="3587" width="6" style="77" customWidth="1"/>
    <col min="3588" max="3588" width="22.109375" style="77" customWidth="1"/>
    <col min="3589" max="3589" width="5.44140625" style="77" customWidth="1"/>
    <col min="3590" max="3590" width="5.109375" style="77" customWidth="1"/>
    <col min="3591" max="3591" width="21.33203125" style="77" customWidth="1"/>
    <col min="3592" max="3592" width="17.109375" style="77" customWidth="1"/>
    <col min="3593" max="3593" width="10.109375" style="77" customWidth="1"/>
    <col min="3594" max="3594" width="15" style="77" customWidth="1"/>
    <col min="3595" max="3595" width="10.44140625" style="77" customWidth="1"/>
    <col min="3596" max="3596" width="15.88671875" style="77" customWidth="1"/>
    <col min="3597" max="3597" width="9.5546875" style="77" customWidth="1"/>
    <col min="3598" max="3598" width="11.44140625" style="77" customWidth="1"/>
    <col min="3599" max="3599" width="12" style="77" customWidth="1"/>
    <col min="3600" max="3842" width="9.109375" style="77"/>
    <col min="3843" max="3843" width="6" style="77" customWidth="1"/>
    <col min="3844" max="3844" width="22.109375" style="77" customWidth="1"/>
    <col min="3845" max="3845" width="5.44140625" style="77" customWidth="1"/>
    <col min="3846" max="3846" width="5.109375" style="77" customWidth="1"/>
    <col min="3847" max="3847" width="21.33203125" style="77" customWidth="1"/>
    <col min="3848" max="3848" width="17.109375" style="77" customWidth="1"/>
    <col min="3849" max="3849" width="10.109375" style="77" customWidth="1"/>
    <col min="3850" max="3850" width="15" style="77" customWidth="1"/>
    <col min="3851" max="3851" width="10.44140625" style="77" customWidth="1"/>
    <col min="3852" max="3852" width="15.88671875" style="77" customWidth="1"/>
    <col min="3853" max="3853" width="9.5546875" style="77" customWidth="1"/>
    <col min="3854" max="3854" width="11.44140625" style="77" customWidth="1"/>
    <col min="3855" max="3855" width="12" style="77" customWidth="1"/>
    <col min="3856" max="4098" width="9.109375" style="77"/>
    <col min="4099" max="4099" width="6" style="77" customWidth="1"/>
    <col min="4100" max="4100" width="22.109375" style="77" customWidth="1"/>
    <col min="4101" max="4101" width="5.44140625" style="77" customWidth="1"/>
    <col min="4102" max="4102" width="5.109375" style="77" customWidth="1"/>
    <col min="4103" max="4103" width="21.33203125" style="77" customWidth="1"/>
    <col min="4104" max="4104" width="17.109375" style="77" customWidth="1"/>
    <col min="4105" max="4105" width="10.109375" style="77" customWidth="1"/>
    <col min="4106" max="4106" width="15" style="77" customWidth="1"/>
    <col min="4107" max="4107" width="10.44140625" style="77" customWidth="1"/>
    <col min="4108" max="4108" width="15.88671875" style="77" customWidth="1"/>
    <col min="4109" max="4109" width="9.5546875" style="77" customWidth="1"/>
    <col min="4110" max="4110" width="11.44140625" style="77" customWidth="1"/>
    <col min="4111" max="4111" width="12" style="77" customWidth="1"/>
    <col min="4112" max="4354" width="9.109375" style="77"/>
    <col min="4355" max="4355" width="6" style="77" customWidth="1"/>
    <col min="4356" max="4356" width="22.109375" style="77" customWidth="1"/>
    <col min="4357" max="4357" width="5.44140625" style="77" customWidth="1"/>
    <col min="4358" max="4358" width="5.109375" style="77" customWidth="1"/>
    <col min="4359" max="4359" width="21.33203125" style="77" customWidth="1"/>
    <col min="4360" max="4360" width="17.109375" style="77" customWidth="1"/>
    <col min="4361" max="4361" width="10.109375" style="77" customWidth="1"/>
    <col min="4362" max="4362" width="15" style="77" customWidth="1"/>
    <col min="4363" max="4363" width="10.44140625" style="77" customWidth="1"/>
    <col min="4364" max="4364" width="15.88671875" style="77" customWidth="1"/>
    <col min="4365" max="4365" width="9.5546875" style="77" customWidth="1"/>
    <col min="4366" max="4366" width="11.44140625" style="77" customWidth="1"/>
    <col min="4367" max="4367" width="12" style="77" customWidth="1"/>
    <col min="4368" max="4610" width="9.109375" style="77"/>
    <col min="4611" max="4611" width="6" style="77" customWidth="1"/>
    <col min="4612" max="4612" width="22.109375" style="77" customWidth="1"/>
    <col min="4613" max="4613" width="5.44140625" style="77" customWidth="1"/>
    <col min="4614" max="4614" width="5.109375" style="77" customWidth="1"/>
    <col min="4615" max="4615" width="21.33203125" style="77" customWidth="1"/>
    <col min="4616" max="4616" width="17.109375" style="77" customWidth="1"/>
    <col min="4617" max="4617" width="10.109375" style="77" customWidth="1"/>
    <col min="4618" max="4618" width="15" style="77" customWidth="1"/>
    <col min="4619" max="4619" width="10.44140625" style="77" customWidth="1"/>
    <col min="4620" max="4620" width="15.88671875" style="77" customWidth="1"/>
    <col min="4621" max="4621" width="9.5546875" style="77" customWidth="1"/>
    <col min="4622" max="4622" width="11.44140625" style="77" customWidth="1"/>
    <col min="4623" max="4623" width="12" style="77" customWidth="1"/>
    <col min="4624" max="4866" width="9.109375" style="77"/>
    <col min="4867" max="4867" width="6" style="77" customWidth="1"/>
    <col min="4868" max="4868" width="22.109375" style="77" customWidth="1"/>
    <col min="4869" max="4869" width="5.44140625" style="77" customWidth="1"/>
    <col min="4870" max="4870" width="5.109375" style="77" customWidth="1"/>
    <col min="4871" max="4871" width="21.33203125" style="77" customWidth="1"/>
    <col min="4872" max="4872" width="17.109375" style="77" customWidth="1"/>
    <col min="4873" max="4873" width="10.109375" style="77" customWidth="1"/>
    <col min="4874" max="4874" width="15" style="77" customWidth="1"/>
    <col min="4875" max="4875" width="10.44140625" style="77" customWidth="1"/>
    <col min="4876" max="4876" width="15.88671875" style="77" customWidth="1"/>
    <col min="4877" max="4877" width="9.5546875" style="77" customWidth="1"/>
    <col min="4878" max="4878" width="11.44140625" style="77" customWidth="1"/>
    <col min="4879" max="4879" width="12" style="77" customWidth="1"/>
    <col min="4880" max="5122" width="9.109375" style="77"/>
    <col min="5123" max="5123" width="6" style="77" customWidth="1"/>
    <col min="5124" max="5124" width="22.109375" style="77" customWidth="1"/>
    <col min="5125" max="5125" width="5.44140625" style="77" customWidth="1"/>
    <col min="5126" max="5126" width="5.109375" style="77" customWidth="1"/>
    <col min="5127" max="5127" width="21.33203125" style="77" customWidth="1"/>
    <col min="5128" max="5128" width="17.109375" style="77" customWidth="1"/>
    <col min="5129" max="5129" width="10.109375" style="77" customWidth="1"/>
    <col min="5130" max="5130" width="15" style="77" customWidth="1"/>
    <col min="5131" max="5131" width="10.44140625" style="77" customWidth="1"/>
    <col min="5132" max="5132" width="15.88671875" style="77" customWidth="1"/>
    <col min="5133" max="5133" width="9.5546875" style="77" customWidth="1"/>
    <col min="5134" max="5134" width="11.44140625" style="77" customWidth="1"/>
    <col min="5135" max="5135" width="12" style="77" customWidth="1"/>
    <col min="5136" max="5378" width="9.109375" style="77"/>
    <col min="5379" max="5379" width="6" style="77" customWidth="1"/>
    <col min="5380" max="5380" width="22.109375" style="77" customWidth="1"/>
    <col min="5381" max="5381" width="5.44140625" style="77" customWidth="1"/>
    <col min="5382" max="5382" width="5.109375" style="77" customWidth="1"/>
    <col min="5383" max="5383" width="21.33203125" style="77" customWidth="1"/>
    <col min="5384" max="5384" width="17.109375" style="77" customWidth="1"/>
    <col min="5385" max="5385" width="10.109375" style="77" customWidth="1"/>
    <col min="5386" max="5386" width="15" style="77" customWidth="1"/>
    <col min="5387" max="5387" width="10.44140625" style="77" customWidth="1"/>
    <col min="5388" max="5388" width="15.88671875" style="77" customWidth="1"/>
    <col min="5389" max="5389" width="9.5546875" style="77" customWidth="1"/>
    <col min="5390" max="5390" width="11.44140625" style="77" customWidth="1"/>
    <col min="5391" max="5391" width="12" style="77" customWidth="1"/>
    <col min="5392" max="5634" width="9.109375" style="77"/>
    <col min="5635" max="5635" width="6" style="77" customWidth="1"/>
    <col min="5636" max="5636" width="22.109375" style="77" customWidth="1"/>
    <col min="5637" max="5637" width="5.44140625" style="77" customWidth="1"/>
    <col min="5638" max="5638" width="5.109375" style="77" customWidth="1"/>
    <col min="5639" max="5639" width="21.33203125" style="77" customWidth="1"/>
    <col min="5640" max="5640" width="17.109375" style="77" customWidth="1"/>
    <col min="5641" max="5641" width="10.109375" style="77" customWidth="1"/>
    <col min="5642" max="5642" width="15" style="77" customWidth="1"/>
    <col min="5643" max="5643" width="10.44140625" style="77" customWidth="1"/>
    <col min="5644" max="5644" width="15.88671875" style="77" customWidth="1"/>
    <col min="5645" max="5645" width="9.5546875" style="77" customWidth="1"/>
    <col min="5646" max="5646" width="11.44140625" style="77" customWidth="1"/>
    <col min="5647" max="5647" width="12" style="77" customWidth="1"/>
    <col min="5648" max="5890" width="9.109375" style="77"/>
    <col min="5891" max="5891" width="6" style="77" customWidth="1"/>
    <col min="5892" max="5892" width="22.109375" style="77" customWidth="1"/>
    <col min="5893" max="5893" width="5.44140625" style="77" customWidth="1"/>
    <col min="5894" max="5894" width="5.109375" style="77" customWidth="1"/>
    <col min="5895" max="5895" width="21.33203125" style="77" customWidth="1"/>
    <col min="5896" max="5896" width="17.109375" style="77" customWidth="1"/>
    <col min="5897" max="5897" width="10.109375" style="77" customWidth="1"/>
    <col min="5898" max="5898" width="15" style="77" customWidth="1"/>
    <col min="5899" max="5899" width="10.44140625" style="77" customWidth="1"/>
    <col min="5900" max="5900" width="15.88671875" style="77" customWidth="1"/>
    <col min="5901" max="5901" width="9.5546875" style="77" customWidth="1"/>
    <col min="5902" max="5902" width="11.44140625" style="77" customWidth="1"/>
    <col min="5903" max="5903" width="12" style="77" customWidth="1"/>
    <col min="5904" max="6146" width="9.109375" style="77"/>
    <col min="6147" max="6147" width="6" style="77" customWidth="1"/>
    <col min="6148" max="6148" width="22.109375" style="77" customWidth="1"/>
    <col min="6149" max="6149" width="5.44140625" style="77" customWidth="1"/>
    <col min="6150" max="6150" width="5.109375" style="77" customWidth="1"/>
    <col min="6151" max="6151" width="21.33203125" style="77" customWidth="1"/>
    <col min="6152" max="6152" width="17.109375" style="77" customWidth="1"/>
    <col min="6153" max="6153" width="10.109375" style="77" customWidth="1"/>
    <col min="6154" max="6154" width="15" style="77" customWidth="1"/>
    <col min="6155" max="6155" width="10.44140625" style="77" customWidth="1"/>
    <col min="6156" max="6156" width="15.88671875" style="77" customWidth="1"/>
    <col min="6157" max="6157" width="9.5546875" style="77" customWidth="1"/>
    <col min="6158" max="6158" width="11.44140625" style="77" customWidth="1"/>
    <col min="6159" max="6159" width="12" style="77" customWidth="1"/>
    <col min="6160" max="6402" width="9.109375" style="77"/>
    <col min="6403" max="6403" width="6" style="77" customWidth="1"/>
    <col min="6404" max="6404" width="22.109375" style="77" customWidth="1"/>
    <col min="6405" max="6405" width="5.44140625" style="77" customWidth="1"/>
    <col min="6406" max="6406" width="5.109375" style="77" customWidth="1"/>
    <col min="6407" max="6407" width="21.33203125" style="77" customWidth="1"/>
    <col min="6408" max="6408" width="17.109375" style="77" customWidth="1"/>
    <col min="6409" max="6409" width="10.109375" style="77" customWidth="1"/>
    <col min="6410" max="6410" width="15" style="77" customWidth="1"/>
    <col min="6411" max="6411" width="10.44140625" style="77" customWidth="1"/>
    <col min="6412" max="6412" width="15.88671875" style="77" customWidth="1"/>
    <col min="6413" max="6413" width="9.5546875" style="77" customWidth="1"/>
    <col min="6414" max="6414" width="11.44140625" style="77" customWidth="1"/>
    <col min="6415" max="6415" width="12" style="77" customWidth="1"/>
    <col min="6416" max="6658" width="9.109375" style="77"/>
    <col min="6659" max="6659" width="6" style="77" customWidth="1"/>
    <col min="6660" max="6660" width="22.109375" style="77" customWidth="1"/>
    <col min="6661" max="6661" width="5.44140625" style="77" customWidth="1"/>
    <col min="6662" max="6662" width="5.109375" style="77" customWidth="1"/>
    <col min="6663" max="6663" width="21.33203125" style="77" customWidth="1"/>
    <col min="6664" max="6664" width="17.109375" style="77" customWidth="1"/>
    <col min="6665" max="6665" width="10.109375" style="77" customWidth="1"/>
    <col min="6666" max="6666" width="15" style="77" customWidth="1"/>
    <col min="6667" max="6667" width="10.44140625" style="77" customWidth="1"/>
    <col min="6668" max="6668" width="15.88671875" style="77" customWidth="1"/>
    <col min="6669" max="6669" width="9.5546875" style="77" customWidth="1"/>
    <col min="6670" max="6670" width="11.44140625" style="77" customWidth="1"/>
    <col min="6671" max="6671" width="12" style="77" customWidth="1"/>
    <col min="6672" max="6914" width="9.109375" style="77"/>
    <col min="6915" max="6915" width="6" style="77" customWidth="1"/>
    <col min="6916" max="6916" width="22.109375" style="77" customWidth="1"/>
    <col min="6917" max="6917" width="5.44140625" style="77" customWidth="1"/>
    <col min="6918" max="6918" width="5.109375" style="77" customWidth="1"/>
    <col min="6919" max="6919" width="21.33203125" style="77" customWidth="1"/>
    <col min="6920" max="6920" width="17.109375" style="77" customWidth="1"/>
    <col min="6921" max="6921" width="10.109375" style="77" customWidth="1"/>
    <col min="6922" max="6922" width="15" style="77" customWidth="1"/>
    <col min="6923" max="6923" width="10.44140625" style="77" customWidth="1"/>
    <col min="6924" max="6924" width="15.88671875" style="77" customWidth="1"/>
    <col min="6925" max="6925" width="9.5546875" style="77" customWidth="1"/>
    <col min="6926" max="6926" width="11.44140625" style="77" customWidth="1"/>
    <col min="6927" max="6927" width="12" style="77" customWidth="1"/>
    <col min="6928" max="7170" width="9.109375" style="77"/>
    <col min="7171" max="7171" width="6" style="77" customWidth="1"/>
    <col min="7172" max="7172" width="22.109375" style="77" customWidth="1"/>
    <col min="7173" max="7173" width="5.44140625" style="77" customWidth="1"/>
    <col min="7174" max="7174" width="5.109375" style="77" customWidth="1"/>
    <col min="7175" max="7175" width="21.33203125" style="77" customWidth="1"/>
    <col min="7176" max="7176" width="17.109375" style="77" customWidth="1"/>
    <col min="7177" max="7177" width="10.109375" style="77" customWidth="1"/>
    <col min="7178" max="7178" width="15" style="77" customWidth="1"/>
    <col min="7179" max="7179" width="10.44140625" style="77" customWidth="1"/>
    <col min="7180" max="7180" width="15.88671875" style="77" customWidth="1"/>
    <col min="7181" max="7181" width="9.5546875" style="77" customWidth="1"/>
    <col min="7182" max="7182" width="11.44140625" style="77" customWidth="1"/>
    <col min="7183" max="7183" width="12" style="77" customWidth="1"/>
    <col min="7184" max="7426" width="9.109375" style="77"/>
    <col min="7427" max="7427" width="6" style="77" customWidth="1"/>
    <col min="7428" max="7428" width="22.109375" style="77" customWidth="1"/>
    <col min="7429" max="7429" width="5.44140625" style="77" customWidth="1"/>
    <col min="7430" max="7430" width="5.109375" style="77" customWidth="1"/>
    <col min="7431" max="7431" width="21.33203125" style="77" customWidth="1"/>
    <col min="7432" max="7432" width="17.109375" style="77" customWidth="1"/>
    <col min="7433" max="7433" width="10.109375" style="77" customWidth="1"/>
    <col min="7434" max="7434" width="15" style="77" customWidth="1"/>
    <col min="7435" max="7435" width="10.44140625" style="77" customWidth="1"/>
    <col min="7436" max="7436" width="15.88671875" style="77" customWidth="1"/>
    <col min="7437" max="7437" width="9.5546875" style="77" customWidth="1"/>
    <col min="7438" max="7438" width="11.44140625" style="77" customWidth="1"/>
    <col min="7439" max="7439" width="12" style="77" customWidth="1"/>
    <col min="7440" max="7682" width="9.109375" style="77"/>
    <col min="7683" max="7683" width="6" style="77" customWidth="1"/>
    <col min="7684" max="7684" width="22.109375" style="77" customWidth="1"/>
    <col min="7685" max="7685" width="5.44140625" style="77" customWidth="1"/>
    <col min="7686" max="7686" width="5.109375" style="77" customWidth="1"/>
    <col min="7687" max="7687" width="21.33203125" style="77" customWidth="1"/>
    <col min="7688" max="7688" width="17.109375" style="77" customWidth="1"/>
    <col min="7689" max="7689" width="10.109375" style="77" customWidth="1"/>
    <col min="7690" max="7690" width="15" style="77" customWidth="1"/>
    <col min="7691" max="7691" width="10.44140625" style="77" customWidth="1"/>
    <col min="7692" max="7692" width="15.88671875" style="77" customWidth="1"/>
    <col min="7693" max="7693" width="9.5546875" style="77" customWidth="1"/>
    <col min="7694" max="7694" width="11.44140625" style="77" customWidth="1"/>
    <col min="7695" max="7695" width="12" style="77" customWidth="1"/>
    <col min="7696" max="7938" width="9.109375" style="77"/>
    <col min="7939" max="7939" width="6" style="77" customWidth="1"/>
    <col min="7940" max="7940" width="22.109375" style="77" customWidth="1"/>
    <col min="7941" max="7941" width="5.44140625" style="77" customWidth="1"/>
    <col min="7942" max="7942" width="5.109375" style="77" customWidth="1"/>
    <col min="7943" max="7943" width="21.33203125" style="77" customWidth="1"/>
    <col min="7944" max="7944" width="17.109375" style="77" customWidth="1"/>
    <col min="7945" max="7945" width="10.109375" style="77" customWidth="1"/>
    <col min="7946" max="7946" width="15" style="77" customWidth="1"/>
    <col min="7947" max="7947" width="10.44140625" style="77" customWidth="1"/>
    <col min="7948" max="7948" width="15.88671875" style="77" customWidth="1"/>
    <col min="7949" max="7949" width="9.5546875" style="77" customWidth="1"/>
    <col min="7950" max="7950" width="11.44140625" style="77" customWidth="1"/>
    <col min="7951" max="7951" width="12" style="77" customWidth="1"/>
    <col min="7952" max="8194" width="9.109375" style="77"/>
    <col min="8195" max="8195" width="6" style="77" customWidth="1"/>
    <col min="8196" max="8196" width="22.109375" style="77" customWidth="1"/>
    <col min="8197" max="8197" width="5.44140625" style="77" customWidth="1"/>
    <col min="8198" max="8198" width="5.109375" style="77" customWidth="1"/>
    <col min="8199" max="8199" width="21.33203125" style="77" customWidth="1"/>
    <col min="8200" max="8200" width="17.109375" style="77" customWidth="1"/>
    <col min="8201" max="8201" width="10.109375" style="77" customWidth="1"/>
    <col min="8202" max="8202" width="15" style="77" customWidth="1"/>
    <col min="8203" max="8203" width="10.44140625" style="77" customWidth="1"/>
    <col min="8204" max="8204" width="15.88671875" style="77" customWidth="1"/>
    <col min="8205" max="8205" width="9.5546875" style="77" customWidth="1"/>
    <col min="8206" max="8206" width="11.44140625" style="77" customWidth="1"/>
    <col min="8207" max="8207" width="12" style="77" customWidth="1"/>
    <col min="8208" max="8450" width="9.109375" style="77"/>
    <col min="8451" max="8451" width="6" style="77" customWidth="1"/>
    <col min="8452" max="8452" width="22.109375" style="77" customWidth="1"/>
    <col min="8453" max="8453" width="5.44140625" style="77" customWidth="1"/>
    <col min="8454" max="8454" width="5.109375" style="77" customWidth="1"/>
    <col min="8455" max="8455" width="21.33203125" style="77" customWidth="1"/>
    <col min="8456" max="8456" width="17.109375" style="77" customWidth="1"/>
    <col min="8457" max="8457" width="10.109375" style="77" customWidth="1"/>
    <col min="8458" max="8458" width="15" style="77" customWidth="1"/>
    <col min="8459" max="8459" width="10.44140625" style="77" customWidth="1"/>
    <col min="8460" max="8460" width="15.88671875" style="77" customWidth="1"/>
    <col min="8461" max="8461" width="9.5546875" style="77" customWidth="1"/>
    <col min="8462" max="8462" width="11.44140625" style="77" customWidth="1"/>
    <col min="8463" max="8463" width="12" style="77" customWidth="1"/>
    <col min="8464" max="8706" width="9.109375" style="77"/>
    <col min="8707" max="8707" width="6" style="77" customWidth="1"/>
    <col min="8708" max="8708" width="22.109375" style="77" customWidth="1"/>
    <col min="8709" max="8709" width="5.44140625" style="77" customWidth="1"/>
    <col min="8710" max="8710" width="5.109375" style="77" customWidth="1"/>
    <col min="8711" max="8711" width="21.33203125" style="77" customWidth="1"/>
    <col min="8712" max="8712" width="17.109375" style="77" customWidth="1"/>
    <col min="8713" max="8713" width="10.109375" style="77" customWidth="1"/>
    <col min="8714" max="8714" width="15" style="77" customWidth="1"/>
    <col min="8715" max="8715" width="10.44140625" style="77" customWidth="1"/>
    <col min="8716" max="8716" width="15.88671875" style="77" customWidth="1"/>
    <col min="8717" max="8717" width="9.5546875" style="77" customWidth="1"/>
    <col min="8718" max="8718" width="11.44140625" style="77" customWidth="1"/>
    <col min="8719" max="8719" width="12" style="77" customWidth="1"/>
    <col min="8720" max="8962" width="9.109375" style="77"/>
    <col min="8963" max="8963" width="6" style="77" customWidth="1"/>
    <col min="8964" max="8964" width="22.109375" style="77" customWidth="1"/>
    <col min="8965" max="8965" width="5.44140625" style="77" customWidth="1"/>
    <col min="8966" max="8966" width="5.109375" style="77" customWidth="1"/>
    <col min="8967" max="8967" width="21.33203125" style="77" customWidth="1"/>
    <col min="8968" max="8968" width="17.109375" style="77" customWidth="1"/>
    <col min="8969" max="8969" width="10.109375" style="77" customWidth="1"/>
    <col min="8970" max="8970" width="15" style="77" customWidth="1"/>
    <col min="8971" max="8971" width="10.44140625" style="77" customWidth="1"/>
    <col min="8972" max="8972" width="15.88671875" style="77" customWidth="1"/>
    <col min="8973" max="8973" width="9.5546875" style="77" customWidth="1"/>
    <col min="8974" max="8974" width="11.44140625" style="77" customWidth="1"/>
    <col min="8975" max="8975" width="12" style="77" customWidth="1"/>
    <col min="8976" max="9218" width="9.109375" style="77"/>
    <col min="9219" max="9219" width="6" style="77" customWidth="1"/>
    <col min="9220" max="9220" width="22.109375" style="77" customWidth="1"/>
    <col min="9221" max="9221" width="5.44140625" style="77" customWidth="1"/>
    <col min="9222" max="9222" width="5.109375" style="77" customWidth="1"/>
    <col min="9223" max="9223" width="21.33203125" style="77" customWidth="1"/>
    <col min="9224" max="9224" width="17.109375" style="77" customWidth="1"/>
    <col min="9225" max="9225" width="10.109375" style="77" customWidth="1"/>
    <col min="9226" max="9226" width="15" style="77" customWidth="1"/>
    <col min="9227" max="9227" width="10.44140625" style="77" customWidth="1"/>
    <col min="9228" max="9228" width="15.88671875" style="77" customWidth="1"/>
    <col min="9229" max="9229" width="9.5546875" style="77" customWidth="1"/>
    <col min="9230" max="9230" width="11.44140625" style="77" customWidth="1"/>
    <col min="9231" max="9231" width="12" style="77" customWidth="1"/>
    <col min="9232" max="9474" width="9.109375" style="77"/>
    <col min="9475" max="9475" width="6" style="77" customWidth="1"/>
    <col min="9476" max="9476" width="22.109375" style="77" customWidth="1"/>
    <col min="9477" max="9477" width="5.44140625" style="77" customWidth="1"/>
    <col min="9478" max="9478" width="5.109375" style="77" customWidth="1"/>
    <col min="9479" max="9479" width="21.33203125" style="77" customWidth="1"/>
    <col min="9480" max="9480" width="17.109375" style="77" customWidth="1"/>
    <col min="9481" max="9481" width="10.109375" style="77" customWidth="1"/>
    <col min="9482" max="9482" width="15" style="77" customWidth="1"/>
    <col min="9483" max="9483" width="10.44140625" style="77" customWidth="1"/>
    <col min="9484" max="9484" width="15.88671875" style="77" customWidth="1"/>
    <col min="9485" max="9485" width="9.5546875" style="77" customWidth="1"/>
    <col min="9486" max="9486" width="11.44140625" style="77" customWidth="1"/>
    <col min="9487" max="9487" width="12" style="77" customWidth="1"/>
    <col min="9488" max="9730" width="9.109375" style="77"/>
    <col min="9731" max="9731" width="6" style="77" customWidth="1"/>
    <col min="9732" max="9732" width="22.109375" style="77" customWidth="1"/>
    <col min="9733" max="9733" width="5.44140625" style="77" customWidth="1"/>
    <col min="9734" max="9734" width="5.109375" style="77" customWidth="1"/>
    <col min="9735" max="9735" width="21.33203125" style="77" customWidth="1"/>
    <col min="9736" max="9736" width="17.109375" style="77" customWidth="1"/>
    <col min="9737" max="9737" width="10.109375" style="77" customWidth="1"/>
    <col min="9738" max="9738" width="15" style="77" customWidth="1"/>
    <col min="9739" max="9739" width="10.44140625" style="77" customWidth="1"/>
    <col min="9740" max="9740" width="15.88671875" style="77" customWidth="1"/>
    <col min="9741" max="9741" width="9.5546875" style="77" customWidth="1"/>
    <col min="9742" max="9742" width="11.44140625" style="77" customWidth="1"/>
    <col min="9743" max="9743" width="12" style="77" customWidth="1"/>
    <col min="9744" max="9986" width="9.109375" style="77"/>
    <col min="9987" max="9987" width="6" style="77" customWidth="1"/>
    <col min="9988" max="9988" width="22.109375" style="77" customWidth="1"/>
    <col min="9989" max="9989" width="5.44140625" style="77" customWidth="1"/>
    <col min="9990" max="9990" width="5.109375" style="77" customWidth="1"/>
    <col min="9991" max="9991" width="21.33203125" style="77" customWidth="1"/>
    <col min="9992" max="9992" width="17.109375" style="77" customWidth="1"/>
    <col min="9993" max="9993" width="10.109375" style="77" customWidth="1"/>
    <col min="9994" max="9994" width="15" style="77" customWidth="1"/>
    <col min="9995" max="9995" width="10.44140625" style="77" customWidth="1"/>
    <col min="9996" max="9996" width="15.88671875" style="77" customWidth="1"/>
    <col min="9997" max="9997" width="9.5546875" style="77" customWidth="1"/>
    <col min="9998" max="9998" width="11.44140625" style="77" customWidth="1"/>
    <col min="9999" max="9999" width="12" style="77" customWidth="1"/>
    <col min="10000" max="10242" width="9.109375" style="77"/>
    <col min="10243" max="10243" width="6" style="77" customWidth="1"/>
    <col min="10244" max="10244" width="22.109375" style="77" customWidth="1"/>
    <col min="10245" max="10245" width="5.44140625" style="77" customWidth="1"/>
    <col min="10246" max="10246" width="5.109375" style="77" customWidth="1"/>
    <col min="10247" max="10247" width="21.33203125" style="77" customWidth="1"/>
    <col min="10248" max="10248" width="17.109375" style="77" customWidth="1"/>
    <col min="10249" max="10249" width="10.109375" style="77" customWidth="1"/>
    <col min="10250" max="10250" width="15" style="77" customWidth="1"/>
    <col min="10251" max="10251" width="10.44140625" style="77" customWidth="1"/>
    <col min="10252" max="10252" width="15.88671875" style="77" customWidth="1"/>
    <col min="10253" max="10253" width="9.5546875" style="77" customWidth="1"/>
    <col min="10254" max="10254" width="11.44140625" style="77" customWidth="1"/>
    <col min="10255" max="10255" width="12" style="77" customWidth="1"/>
    <col min="10256" max="10498" width="9.109375" style="77"/>
    <col min="10499" max="10499" width="6" style="77" customWidth="1"/>
    <col min="10500" max="10500" width="22.109375" style="77" customWidth="1"/>
    <col min="10501" max="10501" width="5.44140625" style="77" customWidth="1"/>
    <col min="10502" max="10502" width="5.109375" style="77" customWidth="1"/>
    <col min="10503" max="10503" width="21.33203125" style="77" customWidth="1"/>
    <col min="10504" max="10504" width="17.109375" style="77" customWidth="1"/>
    <col min="10505" max="10505" width="10.109375" style="77" customWidth="1"/>
    <col min="10506" max="10506" width="15" style="77" customWidth="1"/>
    <col min="10507" max="10507" width="10.44140625" style="77" customWidth="1"/>
    <col min="10508" max="10508" width="15.88671875" style="77" customWidth="1"/>
    <col min="10509" max="10509" width="9.5546875" style="77" customWidth="1"/>
    <col min="10510" max="10510" width="11.44140625" style="77" customWidth="1"/>
    <col min="10511" max="10511" width="12" style="77" customWidth="1"/>
    <col min="10512" max="10754" width="9.109375" style="77"/>
    <col min="10755" max="10755" width="6" style="77" customWidth="1"/>
    <col min="10756" max="10756" width="22.109375" style="77" customWidth="1"/>
    <col min="10757" max="10757" width="5.44140625" style="77" customWidth="1"/>
    <col min="10758" max="10758" width="5.109375" style="77" customWidth="1"/>
    <col min="10759" max="10759" width="21.33203125" style="77" customWidth="1"/>
    <col min="10760" max="10760" width="17.109375" style="77" customWidth="1"/>
    <col min="10761" max="10761" width="10.109375" style="77" customWidth="1"/>
    <col min="10762" max="10762" width="15" style="77" customWidth="1"/>
    <col min="10763" max="10763" width="10.44140625" style="77" customWidth="1"/>
    <col min="10764" max="10764" width="15.88671875" style="77" customWidth="1"/>
    <col min="10765" max="10765" width="9.5546875" style="77" customWidth="1"/>
    <col min="10766" max="10766" width="11.44140625" style="77" customWidth="1"/>
    <col min="10767" max="10767" width="12" style="77" customWidth="1"/>
    <col min="10768" max="11010" width="9.109375" style="77"/>
    <col min="11011" max="11011" width="6" style="77" customWidth="1"/>
    <col min="11012" max="11012" width="22.109375" style="77" customWidth="1"/>
    <col min="11013" max="11013" width="5.44140625" style="77" customWidth="1"/>
    <col min="11014" max="11014" width="5.109375" style="77" customWidth="1"/>
    <col min="11015" max="11015" width="21.33203125" style="77" customWidth="1"/>
    <col min="11016" max="11016" width="17.109375" style="77" customWidth="1"/>
    <col min="11017" max="11017" width="10.109375" style="77" customWidth="1"/>
    <col min="11018" max="11018" width="15" style="77" customWidth="1"/>
    <col min="11019" max="11019" width="10.44140625" style="77" customWidth="1"/>
    <col min="11020" max="11020" width="15.88671875" style="77" customWidth="1"/>
    <col min="11021" max="11021" width="9.5546875" style="77" customWidth="1"/>
    <col min="11022" max="11022" width="11.44140625" style="77" customWidth="1"/>
    <col min="11023" max="11023" width="12" style="77" customWidth="1"/>
    <col min="11024" max="11266" width="9.109375" style="77"/>
    <col min="11267" max="11267" width="6" style="77" customWidth="1"/>
    <col min="11268" max="11268" width="22.109375" style="77" customWidth="1"/>
    <col min="11269" max="11269" width="5.44140625" style="77" customWidth="1"/>
    <col min="11270" max="11270" width="5.109375" style="77" customWidth="1"/>
    <col min="11271" max="11271" width="21.33203125" style="77" customWidth="1"/>
    <col min="11272" max="11272" width="17.109375" style="77" customWidth="1"/>
    <col min="11273" max="11273" width="10.109375" style="77" customWidth="1"/>
    <col min="11274" max="11274" width="15" style="77" customWidth="1"/>
    <col min="11275" max="11275" width="10.44140625" style="77" customWidth="1"/>
    <col min="11276" max="11276" width="15.88671875" style="77" customWidth="1"/>
    <col min="11277" max="11277" width="9.5546875" style="77" customWidth="1"/>
    <col min="11278" max="11278" width="11.44140625" style="77" customWidth="1"/>
    <col min="11279" max="11279" width="12" style="77" customWidth="1"/>
    <col min="11280" max="11522" width="9.109375" style="77"/>
    <col min="11523" max="11523" width="6" style="77" customWidth="1"/>
    <col min="11524" max="11524" width="22.109375" style="77" customWidth="1"/>
    <col min="11525" max="11525" width="5.44140625" style="77" customWidth="1"/>
    <col min="11526" max="11526" width="5.109375" style="77" customWidth="1"/>
    <col min="11527" max="11527" width="21.33203125" style="77" customWidth="1"/>
    <col min="11528" max="11528" width="17.109375" style="77" customWidth="1"/>
    <col min="11529" max="11529" width="10.109375" style="77" customWidth="1"/>
    <col min="11530" max="11530" width="15" style="77" customWidth="1"/>
    <col min="11531" max="11531" width="10.44140625" style="77" customWidth="1"/>
    <col min="11532" max="11532" width="15.88671875" style="77" customWidth="1"/>
    <col min="11533" max="11533" width="9.5546875" style="77" customWidth="1"/>
    <col min="11534" max="11534" width="11.44140625" style="77" customWidth="1"/>
    <col min="11535" max="11535" width="12" style="77" customWidth="1"/>
    <col min="11536" max="11778" width="9.109375" style="77"/>
    <col min="11779" max="11779" width="6" style="77" customWidth="1"/>
    <col min="11780" max="11780" width="22.109375" style="77" customWidth="1"/>
    <col min="11781" max="11781" width="5.44140625" style="77" customWidth="1"/>
    <col min="11782" max="11782" width="5.109375" style="77" customWidth="1"/>
    <col min="11783" max="11783" width="21.33203125" style="77" customWidth="1"/>
    <col min="11784" max="11784" width="17.109375" style="77" customWidth="1"/>
    <col min="11785" max="11785" width="10.109375" style="77" customWidth="1"/>
    <col min="11786" max="11786" width="15" style="77" customWidth="1"/>
    <col min="11787" max="11787" width="10.44140625" style="77" customWidth="1"/>
    <col min="11788" max="11788" width="15.88671875" style="77" customWidth="1"/>
    <col min="11789" max="11789" width="9.5546875" style="77" customWidth="1"/>
    <col min="11790" max="11790" width="11.44140625" style="77" customWidth="1"/>
    <col min="11791" max="11791" width="12" style="77" customWidth="1"/>
    <col min="11792" max="12034" width="9.109375" style="77"/>
    <col min="12035" max="12035" width="6" style="77" customWidth="1"/>
    <col min="12036" max="12036" width="22.109375" style="77" customWidth="1"/>
    <col min="12037" max="12037" width="5.44140625" style="77" customWidth="1"/>
    <col min="12038" max="12038" width="5.109375" style="77" customWidth="1"/>
    <col min="12039" max="12039" width="21.33203125" style="77" customWidth="1"/>
    <col min="12040" max="12040" width="17.109375" style="77" customWidth="1"/>
    <col min="12041" max="12041" width="10.109375" style="77" customWidth="1"/>
    <col min="12042" max="12042" width="15" style="77" customWidth="1"/>
    <col min="12043" max="12043" width="10.44140625" style="77" customWidth="1"/>
    <col min="12044" max="12044" width="15.88671875" style="77" customWidth="1"/>
    <col min="12045" max="12045" width="9.5546875" style="77" customWidth="1"/>
    <col min="12046" max="12046" width="11.44140625" style="77" customWidth="1"/>
    <col min="12047" max="12047" width="12" style="77" customWidth="1"/>
    <col min="12048" max="12290" width="9.109375" style="77"/>
    <col min="12291" max="12291" width="6" style="77" customWidth="1"/>
    <col min="12292" max="12292" width="22.109375" style="77" customWidth="1"/>
    <col min="12293" max="12293" width="5.44140625" style="77" customWidth="1"/>
    <col min="12294" max="12294" width="5.109375" style="77" customWidth="1"/>
    <col min="12295" max="12295" width="21.33203125" style="77" customWidth="1"/>
    <col min="12296" max="12296" width="17.109375" style="77" customWidth="1"/>
    <col min="12297" max="12297" width="10.109375" style="77" customWidth="1"/>
    <col min="12298" max="12298" width="15" style="77" customWidth="1"/>
    <col min="12299" max="12299" width="10.44140625" style="77" customWidth="1"/>
    <col min="12300" max="12300" width="15.88671875" style="77" customWidth="1"/>
    <col min="12301" max="12301" width="9.5546875" style="77" customWidth="1"/>
    <col min="12302" max="12302" width="11.44140625" style="77" customWidth="1"/>
    <col min="12303" max="12303" width="12" style="77" customWidth="1"/>
    <col min="12304" max="12546" width="9.109375" style="77"/>
    <col min="12547" max="12547" width="6" style="77" customWidth="1"/>
    <col min="12548" max="12548" width="22.109375" style="77" customWidth="1"/>
    <col min="12549" max="12549" width="5.44140625" style="77" customWidth="1"/>
    <col min="12550" max="12550" width="5.109375" style="77" customWidth="1"/>
    <col min="12551" max="12551" width="21.33203125" style="77" customWidth="1"/>
    <col min="12552" max="12552" width="17.109375" style="77" customWidth="1"/>
    <col min="12553" max="12553" width="10.109375" style="77" customWidth="1"/>
    <col min="12554" max="12554" width="15" style="77" customWidth="1"/>
    <col min="12555" max="12555" width="10.44140625" style="77" customWidth="1"/>
    <col min="12556" max="12556" width="15.88671875" style="77" customWidth="1"/>
    <col min="12557" max="12557" width="9.5546875" style="77" customWidth="1"/>
    <col min="12558" max="12558" width="11.44140625" style="77" customWidth="1"/>
    <col min="12559" max="12559" width="12" style="77" customWidth="1"/>
    <col min="12560" max="12802" width="9.109375" style="77"/>
    <col min="12803" max="12803" width="6" style="77" customWidth="1"/>
    <col min="12804" max="12804" width="22.109375" style="77" customWidth="1"/>
    <col min="12805" max="12805" width="5.44140625" style="77" customWidth="1"/>
    <col min="12806" max="12806" width="5.109375" style="77" customWidth="1"/>
    <col min="12807" max="12807" width="21.33203125" style="77" customWidth="1"/>
    <col min="12808" max="12808" width="17.109375" style="77" customWidth="1"/>
    <col min="12809" max="12809" width="10.109375" style="77" customWidth="1"/>
    <col min="12810" max="12810" width="15" style="77" customWidth="1"/>
    <col min="12811" max="12811" width="10.44140625" style="77" customWidth="1"/>
    <col min="12812" max="12812" width="15.88671875" style="77" customWidth="1"/>
    <col min="12813" max="12813" width="9.5546875" style="77" customWidth="1"/>
    <col min="12814" max="12814" width="11.44140625" style="77" customWidth="1"/>
    <col min="12815" max="12815" width="12" style="77" customWidth="1"/>
    <col min="12816" max="13058" width="9.109375" style="77"/>
    <col min="13059" max="13059" width="6" style="77" customWidth="1"/>
    <col min="13060" max="13060" width="22.109375" style="77" customWidth="1"/>
    <col min="13061" max="13061" width="5.44140625" style="77" customWidth="1"/>
    <col min="13062" max="13062" width="5.109375" style="77" customWidth="1"/>
    <col min="13063" max="13063" width="21.33203125" style="77" customWidth="1"/>
    <col min="13064" max="13064" width="17.109375" style="77" customWidth="1"/>
    <col min="13065" max="13065" width="10.109375" style="77" customWidth="1"/>
    <col min="13066" max="13066" width="15" style="77" customWidth="1"/>
    <col min="13067" max="13067" width="10.44140625" style="77" customWidth="1"/>
    <col min="13068" max="13068" width="15.88671875" style="77" customWidth="1"/>
    <col min="13069" max="13069" width="9.5546875" style="77" customWidth="1"/>
    <col min="13070" max="13070" width="11.44140625" style="77" customWidth="1"/>
    <col min="13071" max="13071" width="12" style="77" customWidth="1"/>
    <col min="13072" max="13314" width="9.109375" style="77"/>
    <col min="13315" max="13315" width="6" style="77" customWidth="1"/>
    <col min="13316" max="13316" width="22.109375" style="77" customWidth="1"/>
    <col min="13317" max="13317" width="5.44140625" style="77" customWidth="1"/>
    <col min="13318" max="13318" width="5.109375" style="77" customWidth="1"/>
    <col min="13319" max="13319" width="21.33203125" style="77" customWidth="1"/>
    <col min="13320" max="13320" width="17.109375" style="77" customWidth="1"/>
    <col min="13321" max="13321" width="10.109375" style="77" customWidth="1"/>
    <col min="13322" max="13322" width="15" style="77" customWidth="1"/>
    <col min="13323" max="13323" width="10.44140625" style="77" customWidth="1"/>
    <col min="13324" max="13324" width="15.88671875" style="77" customWidth="1"/>
    <col min="13325" max="13325" width="9.5546875" style="77" customWidth="1"/>
    <col min="13326" max="13326" width="11.44140625" style="77" customWidth="1"/>
    <col min="13327" max="13327" width="12" style="77" customWidth="1"/>
    <col min="13328" max="13570" width="9.109375" style="77"/>
    <col min="13571" max="13571" width="6" style="77" customWidth="1"/>
    <col min="13572" max="13572" width="22.109375" style="77" customWidth="1"/>
    <col min="13573" max="13573" width="5.44140625" style="77" customWidth="1"/>
    <col min="13574" max="13574" width="5.109375" style="77" customWidth="1"/>
    <col min="13575" max="13575" width="21.33203125" style="77" customWidth="1"/>
    <col min="13576" max="13576" width="17.109375" style="77" customWidth="1"/>
    <col min="13577" max="13577" width="10.109375" style="77" customWidth="1"/>
    <col min="13578" max="13578" width="15" style="77" customWidth="1"/>
    <col min="13579" max="13579" width="10.44140625" style="77" customWidth="1"/>
    <col min="13580" max="13580" width="15.88671875" style="77" customWidth="1"/>
    <col min="13581" max="13581" width="9.5546875" style="77" customWidth="1"/>
    <col min="13582" max="13582" width="11.44140625" style="77" customWidth="1"/>
    <col min="13583" max="13583" width="12" style="77" customWidth="1"/>
    <col min="13584" max="13826" width="9.109375" style="77"/>
    <col min="13827" max="13827" width="6" style="77" customWidth="1"/>
    <col min="13828" max="13828" width="22.109375" style="77" customWidth="1"/>
    <col min="13829" max="13829" width="5.44140625" style="77" customWidth="1"/>
    <col min="13830" max="13830" width="5.109375" style="77" customWidth="1"/>
    <col min="13831" max="13831" width="21.33203125" style="77" customWidth="1"/>
    <col min="13832" max="13832" width="17.109375" style="77" customWidth="1"/>
    <col min="13833" max="13833" width="10.109375" style="77" customWidth="1"/>
    <col min="13834" max="13834" width="15" style="77" customWidth="1"/>
    <col min="13835" max="13835" width="10.44140625" style="77" customWidth="1"/>
    <col min="13836" max="13836" width="15.88671875" style="77" customWidth="1"/>
    <col min="13837" max="13837" width="9.5546875" style="77" customWidth="1"/>
    <col min="13838" max="13838" width="11.44140625" style="77" customWidth="1"/>
    <col min="13839" max="13839" width="12" style="77" customWidth="1"/>
    <col min="13840" max="14082" width="9.109375" style="77"/>
    <col min="14083" max="14083" width="6" style="77" customWidth="1"/>
    <col min="14084" max="14084" width="22.109375" style="77" customWidth="1"/>
    <col min="14085" max="14085" width="5.44140625" style="77" customWidth="1"/>
    <col min="14086" max="14086" width="5.109375" style="77" customWidth="1"/>
    <col min="14087" max="14087" width="21.33203125" style="77" customWidth="1"/>
    <col min="14088" max="14088" width="17.109375" style="77" customWidth="1"/>
    <col min="14089" max="14089" width="10.109375" style="77" customWidth="1"/>
    <col min="14090" max="14090" width="15" style="77" customWidth="1"/>
    <col min="14091" max="14091" width="10.44140625" style="77" customWidth="1"/>
    <col min="14092" max="14092" width="15.88671875" style="77" customWidth="1"/>
    <col min="14093" max="14093" width="9.5546875" style="77" customWidth="1"/>
    <col min="14094" max="14094" width="11.44140625" style="77" customWidth="1"/>
    <col min="14095" max="14095" width="12" style="77" customWidth="1"/>
    <col min="14096" max="14338" width="9.109375" style="77"/>
    <col min="14339" max="14339" width="6" style="77" customWidth="1"/>
    <col min="14340" max="14340" width="22.109375" style="77" customWidth="1"/>
    <col min="14341" max="14341" width="5.44140625" style="77" customWidth="1"/>
    <col min="14342" max="14342" width="5.109375" style="77" customWidth="1"/>
    <col min="14343" max="14343" width="21.33203125" style="77" customWidth="1"/>
    <col min="14344" max="14344" width="17.109375" style="77" customWidth="1"/>
    <col min="14345" max="14345" width="10.109375" style="77" customWidth="1"/>
    <col min="14346" max="14346" width="15" style="77" customWidth="1"/>
    <col min="14347" max="14347" width="10.44140625" style="77" customWidth="1"/>
    <col min="14348" max="14348" width="15.88671875" style="77" customWidth="1"/>
    <col min="14349" max="14349" width="9.5546875" style="77" customWidth="1"/>
    <col min="14350" max="14350" width="11.44140625" style="77" customWidth="1"/>
    <col min="14351" max="14351" width="12" style="77" customWidth="1"/>
    <col min="14352" max="14594" width="9.109375" style="77"/>
    <col min="14595" max="14595" width="6" style="77" customWidth="1"/>
    <col min="14596" max="14596" width="22.109375" style="77" customWidth="1"/>
    <col min="14597" max="14597" width="5.44140625" style="77" customWidth="1"/>
    <col min="14598" max="14598" width="5.109375" style="77" customWidth="1"/>
    <col min="14599" max="14599" width="21.33203125" style="77" customWidth="1"/>
    <col min="14600" max="14600" width="17.109375" style="77" customWidth="1"/>
    <col min="14601" max="14601" width="10.109375" style="77" customWidth="1"/>
    <col min="14602" max="14602" width="15" style="77" customWidth="1"/>
    <col min="14603" max="14603" width="10.44140625" style="77" customWidth="1"/>
    <col min="14604" max="14604" width="15.88671875" style="77" customWidth="1"/>
    <col min="14605" max="14605" width="9.5546875" style="77" customWidth="1"/>
    <col min="14606" max="14606" width="11.44140625" style="77" customWidth="1"/>
    <col min="14607" max="14607" width="12" style="77" customWidth="1"/>
    <col min="14608" max="14850" width="9.109375" style="77"/>
    <col min="14851" max="14851" width="6" style="77" customWidth="1"/>
    <col min="14852" max="14852" width="22.109375" style="77" customWidth="1"/>
    <col min="14853" max="14853" width="5.44140625" style="77" customWidth="1"/>
    <col min="14854" max="14854" width="5.109375" style="77" customWidth="1"/>
    <col min="14855" max="14855" width="21.33203125" style="77" customWidth="1"/>
    <col min="14856" max="14856" width="17.109375" style="77" customWidth="1"/>
    <col min="14857" max="14857" width="10.109375" style="77" customWidth="1"/>
    <col min="14858" max="14858" width="15" style="77" customWidth="1"/>
    <col min="14859" max="14859" width="10.44140625" style="77" customWidth="1"/>
    <col min="14860" max="14860" width="15.88671875" style="77" customWidth="1"/>
    <col min="14861" max="14861" width="9.5546875" style="77" customWidth="1"/>
    <col min="14862" max="14862" width="11.44140625" style="77" customWidth="1"/>
    <col min="14863" max="14863" width="12" style="77" customWidth="1"/>
    <col min="14864" max="15106" width="9.109375" style="77"/>
    <col min="15107" max="15107" width="6" style="77" customWidth="1"/>
    <col min="15108" max="15108" width="22.109375" style="77" customWidth="1"/>
    <col min="15109" max="15109" width="5.44140625" style="77" customWidth="1"/>
    <col min="15110" max="15110" width="5.109375" style="77" customWidth="1"/>
    <col min="15111" max="15111" width="21.33203125" style="77" customWidth="1"/>
    <col min="15112" max="15112" width="17.109375" style="77" customWidth="1"/>
    <col min="15113" max="15113" width="10.109375" style="77" customWidth="1"/>
    <col min="15114" max="15114" width="15" style="77" customWidth="1"/>
    <col min="15115" max="15115" width="10.44140625" style="77" customWidth="1"/>
    <col min="15116" max="15116" width="15.88671875" style="77" customWidth="1"/>
    <col min="15117" max="15117" width="9.5546875" style="77" customWidth="1"/>
    <col min="15118" max="15118" width="11.44140625" style="77" customWidth="1"/>
    <col min="15119" max="15119" width="12" style="77" customWidth="1"/>
    <col min="15120" max="15362" width="9.109375" style="77"/>
    <col min="15363" max="15363" width="6" style="77" customWidth="1"/>
    <col min="15364" max="15364" width="22.109375" style="77" customWidth="1"/>
    <col min="15365" max="15365" width="5.44140625" style="77" customWidth="1"/>
    <col min="15366" max="15366" width="5.109375" style="77" customWidth="1"/>
    <col min="15367" max="15367" width="21.33203125" style="77" customWidth="1"/>
    <col min="15368" max="15368" width="17.109375" style="77" customWidth="1"/>
    <col min="15369" max="15369" width="10.109375" style="77" customWidth="1"/>
    <col min="15370" max="15370" width="15" style="77" customWidth="1"/>
    <col min="15371" max="15371" width="10.44140625" style="77" customWidth="1"/>
    <col min="15372" max="15372" width="15.88671875" style="77" customWidth="1"/>
    <col min="15373" max="15373" width="9.5546875" style="77" customWidth="1"/>
    <col min="15374" max="15374" width="11.44140625" style="77" customWidth="1"/>
    <col min="15375" max="15375" width="12" style="77" customWidth="1"/>
    <col min="15376" max="15618" width="9.109375" style="77"/>
    <col min="15619" max="15619" width="6" style="77" customWidth="1"/>
    <col min="15620" max="15620" width="22.109375" style="77" customWidth="1"/>
    <col min="15621" max="15621" width="5.44140625" style="77" customWidth="1"/>
    <col min="15622" max="15622" width="5.109375" style="77" customWidth="1"/>
    <col min="15623" max="15623" width="21.33203125" style="77" customWidth="1"/>
    <col min="15624" max="15624" width="17.109375" style="77" customWidth="1"/>
    <col min="15625" max="15625" width="10.109375" style="77" customWidth="1"/>
    <col min="15626" max="15626" width="15" style="77" customWidth="1"/>
    <col min="15627" max="15627" width="10.44140625" style="77" customWidth="1"/>
    <col min="15628" max="15628" width="15.88671875" style="77" customWidth="1"/>
    <col min="15629" max="15629" width="9.5546875" style="77" customWidth="1"/>
    <col min="15630" max="15630" width="11.44140625" style="77" customWidth="1"/>
    <col min="15631" max="15631" width="12" style="77" customWidth="1"/>
    <col min="15632" max="15874" width="9.109375" style="77"/>
    <col min="15875" max="15875" width="6" style="77" customWidth="1"/>
    <col min="15876" max="15876" width="22.109375" style="77" customWidth="1"/>
    <col min="15877" max="15877" width="5.44140625" style="77" customWidth="1"/>
    <col min="15878" max="15878" width="5.109375" style="77" customWidth="1"/>
    <col min="15879" max="15879" width="21.33203125" style="77" customWidth="1"/>
    <col min="15880" max="15880" width="17.109375" style="77" customWidth="1"/>
    <col min="15881" max="15881" width="10.109375" style="77" customWidth="1"/>
    <col min="15882" max="15882" width="15" style="77" customWidth="1"/>
    <col min="15883" max="15883" width="10.44140625" style="77" customWidth="1"/>
    <col min="15884" max="15884" width="15.88671875" style="77" customWidth="1"/>
    <col min="15885" max="15885" width="9.5546875" style="77" customWidth="1"/>
    <col min="15886" max="15886" width="11.44140625" style="77" customWidth="1"/>
    <col min="15887" max="15887" width="12" style="77" customWidth="1"/>
    <col min="15888" max="16130" width="9.109375" style="77"/>
    <col min="16131" max="16131" width="6" style="77" customWidth="1"/>
    <col min="16132" max="16132" width="22.109375" style="77" customWidth="1"/>
    <col min="16133" max="16133" width="5.44140625" style="77" customWidth="1"/>
    <col min="16134" max="16134" width="5.109375" style="77" customWidth="1"/>
    <col min="16135" max="16135" width="21.33203125" style="77" customWidth="1"/>
    <col min="16136" max="16136" width="17.109375" style="77" customWidth="1"/>
    <col min="16137" max="16137" width="10.109375" style="77" customWidth="1"/>
    <col min="16138" max="16138" width="15" style="77" customWidth="1"/>
    <col min="16139" max="16139" width="10.44140625" style="77" customWidth="1"/>
    <col min="16140" max="16140" width="15.88671875" style="77" customWidth="1"/>
    <col min="16141" max="16141" width="9.5546875" style="77" customWidth="1"/>
    <col min="16142" max="16142" width="11.44140625" style="77" customWidth="1"/>
    <col min="16143" max="16143" width="12" style="77" customWidth="1"/>
    <col min="16144" max="16384" width="9.109375" style="77"/>
  </cols>
  <sheetData>
    <row r="1" spans="1:42" ht="15.6" x14ac:dyDescent="0.3">
      <c r="A1" s="271" t="s">
        <v>88</v>
      </c>
      <c r="B1" s="271"/>
      <c r="C1" s="271"/>
      <c r="D1" s="271"/>
      <c r="E1" s="271"/>
      <c r="F1" s="271"/>
      <c r="G1" s="271"/>
      <c r="H1" s="271"/>
      <c r="I1" s="271"/>
      <c r="J1" s="271"/>
      <c r="K1" s="271"/>
      <c r="L1" s="271"/>
      <c r="M1" s="271"/>
      <c r="N1" s="271"/>
      <c r="O1" s="271"/>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row>
    <row r="2" spans="1:42" ht="15.6" x14ac:dyDescent="0.3">
      <c r="A2" s="271" t="s">
        <v>89</v>
      </c>
      <c r="B2" s="271"/>
      <c r="C2" s="271"/>
      <c r="D2" s="271"/>
      <c r="E2" s="271"/>
      <c r="F2" s="271"/>
      <c r="G2" s="271"/>
      <c r="H2" s="271"/>
      <c r="I2" s="271"/>
      <c r="J2" s="271"/>
      <c r="K2" s="271"/>
      <c r="L2" s="271"/>
      <c r="M2" s="271"/>
      <c r="N2" s="271"/>
      <c r="O2" s="271"/>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row>
    <row r="3" spans="1:42" ht="15.6" x14ac:dyDescent="0.3">
      <c r="A3" s="271" t="s">
        <v>90</v>
      </c>
      <c r="B3" s="271"/>
      <c r="C3" s="271"/>
      <c r="D3" s="271"/>
      <c r="E3" s="271"/>
      <c r="F3" s="271"/>
      <c r="G3" s="271"/>
      <c r="H3" s="271"/>
      <c r="I3" s="271"/>
      <c r="J3" s="271"/>
      <c r="K3" s="271"/>
      <c r="L3" s="271"/>
      <c r="M3" s="271"/>
      <c r="N3" s="271"/>
      <c r="O3" s="271"/>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row>
    <row r="4" spans="1:42" ht="15.6" x14ac:dyDescent="0.3">
      <c r="A4" s="271" t="s">
        <v>91</v>
      </c>
      <c r="B4" s="271"/>
      <c r="C4" s="271"/>
      <c r="D4" s="271"/>
      <c r="E4" s="271"/>
      <c r="F4" s="271"/>
      <c r="G4" s="271"/>
      <c r="H4" s="271"/>
      <c r="I4" s="271"/>
      <c r="J4" s="271"/>
      <c r="K4" s="271"/>
      <c r="L4" s="271"/>
      <c r="M4" s="271"/>
      <c r="N4" s="271"/>
      <c r="O4" s="271"/>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row>
    <row r="5" spans="1:42" ht="15.6" x14ac:dyDescent="0.3">
      <c r="A5" s="271" t="s">
        <v>92</v>
      </c>
      <c r="B5" s="271"/>
      <c r="C5" s="271"/>
      <c r="D5" s="271"/>
      <c r="E5" s="271"/>
      <c r="F5" s="271"/>
      <c r="G5" s="271"/>
      <c r="H5" s="271"/>
      <c r="I5" s="271"/>
      <c r="J5" s="271"/>
      <c r="K5" s="271"/>
      <c r="L5" s="271"/>
      <c r="M5" s="271"/>
      <c r="N5" s="271"/>
      <c r="O5" s="271"/>
    </row>
    <row r="6" spans="1:42" ht="9.75" customHeight="1" x14ac:dyDescent="0.3"/>
    <row r="7" spans="1:42" x14ac:dyDescent="0.3">
      <c r="A7" s="78" t="s">
        <v>93</v>
      </c>
    </row>
    <row r="8" spans="1:42" ht="17.399999999999999" customHeight="1" x14ac:dyDescent="0.3">
      <c r="A8" s="86" t="s">
        <v>94</v>
      </c>
      <c r="D8" s="272" t="str">
        <f>IF('DR-TB 10A'!C8="","",'DR-TB 10A'!C8)</f>
        <v/>
      </c>
      <c r="E8" s="272"/>
      <c r="F8" s="272"/>
      <c r="G8" s="85"/>
      <c r="H8" s="79" t="s">
        <v>95</v>
      </c>
      <c r="I8" s="92" t="str">
        <f>IF('DR-TB 10A'!L6="","",'DR-TB 10A'!L6)</f>
        <v/>
      </c>
      <c r="J8" s="79" t="s">
        <v>96</v>
      </c>
      <c r="K8" s="93" t="str">
        <f>IF('DR-TB 10A'!N6="","",'DR-TB 10A'!N6)</f>
        <v/>
      </c>
      <c r="L8" s="87" t="s">
        <v>97</v>
      </c>
      <c r="M8" s="87"/>
      <c r="O8" s="94" t="str">
        <f>IF('DR-TB 10A'!R6="","",'DR-TB 10A'!R6)</f>
        <v/>
      </c>
    </row>
    <row r="9" spans="1:42" ht="17.399999999999999" customHeight="1" x14ac:dyDescent="0.3">
      <c r="A9" s="90" t="s">
        <v>111</v>
      </c>
      <c r="F9" s="91">
        <f>'DR-TB 10A'!F18</f>
        <v>0</v>
      </c>
    </row>
    <row r="10" spans="1:42" ht="4.6500000000000004" customHeight="1" x14ac:dyDescent="0.3"/>
    <row r="11" spans="1:42" ht="76.650000000000006" customHeight="1" x14ac:dyDescent="0.3">
      <c r="A11" s="88" t="s">
        <v>98</v>
      </c>
      <c r="B11" s="89" t="s">
        <v>99</v>
      </c>
      <c r="C11" s="89" t="s">
        <v>100</v>
      </c>
      <c r="D11" s="89" t="s">
        <v>112</v>
      </c>
      <c r="E11" s="89" t="s">
        <v>116</v>
      </c>
      <c r="F11" s="89" t="s">
        <v>101</v>
      </c>
      <c r="G11" s="89" t="s">
        <v>102</v>
      </c>
      <c r="H11" s="89" t="s">
        <v>103</v>
      </c>
      <c r="I11" s="89" t="s">
        <v>104</v>
      </c>
      <c r="J11" s="89" t="s">
        <v>105</v>
      </c>
      <c r="K11" s="89" t="s">
        <v>106</v>
      </c>
      <c r="L11" s="89" t="s">
        <v>113</v>
      </c>
      <c r="M11" s="89" t="s">
        <v>140</v>
      </c>
      <c r="N11" s="89" t="s">
        <v>107</v>
      </c>
      <c r="O11" s="89" t="s">
        <v>108</v>
      </c>
    </row>
    <row r="12" spans="1:42" s="99" customFormat="1" ht="55.2" customHeight="1" x14ac:dyDescent="0.3">
      <c r="A12" s="96"/>
      <c r="B12" s="96"/>
      <c r="C12" s="96"/>
      <c r="D12" s="96"/>
      <c r="E12" s="96"/>
      <c r="F12" s="95"/>
      <c r="G12" s="95"/>
      <c r="H12" s="98"/>
      <c r="I12" s="96"/>
      <c r="J12" s="96"/>
      <c r="K12" s="96"/>
      <c r="L12" s="96"/>
      <c r="M12" s="96"/>
      <c r="N12" s="96"/>
      <c r="O12" s="97"/>
    </row>
    <row r="13" spans="1:42" s="99" customFormat="1" ht="55.2" customHeight="1" x14ac:dyDescent="0.3">
      <c r="A13" s="96"/>
      <c r="B13" s="96"/>
      <c r="C13" s="96"/>
      <c r="D13" s="96"/>
      <c r="E13" s="96"/>
      <c r="F13" s="95"/>
      <c r="G13" s="95"/>
      <c r="H13" s="98"/>
      <c r="I13" s="96"/>
      <c r="J13" s="96"/>
      <c r="K13" s="96"/>
      <c r="L13" s="96"/>
      <c r="M13" s="96"/>
      <c r="N13" s="96"/>
      <c r="O13" s="97"/>
    </row>
    <row r="14" spans="1:42" s="99" customFormat="1" ht="55.2" customHeight="1" x14ac:dyDescent="0.3">
      <c r="A14" s="96"/>
      <c r="B14" s="96"/>
      <c r="C14" s="96"/>
      <c r="D14" s="96"/>
      <c r="E14" s="96"/>
      <c r="F14" s="95"/>
      <c r="G14" s="95"/>
      <c r="H14" s="98"/>
      <c r="I14" s="96"/>
      <c r="J14" s="96"/>
      <c r="K14" s="96"/>
      <c r="L14" s="96"/>
      <c r="M14" s="96"/>
      <c r="N14" s="96"/>
      <c r="O14" s="97"/>
    </row>
    <row r="15" spans="1:42" s="99" customFormat="1" ht="55.2" customHeight="1" x14ac:dyDescent="0.3">
      <c r="A15" s="96"/>
      <c r="B15" s="96"/>
      <c r="C15" s="96"/>
      <c r="D15" s="96"/>
      <c r="E15" s="96"/>
      <c r="F15" s="95"/>
      <c r="G15" s="95"/>
      <c r="H15" s="98"/>
      <c r="I15" s="96"/>
      <c r="J15" s="96"/>
      <c r="K15" s="96"/>
      <c r="L15" s="96"/>
      <c r="M15" s="96"/>
      <c r="N15" s="96"/>
      <c r="O15" s="97"/>
    </row>
    <row r="16" spans="1:42" s="99" customFormat="1" ht="55.2" customHeight="1" x14ac:dyDescent="0.3">
      <c r="A16" s="96"/>
      <c r="B16" s="96"/>
      <c r="C16" s="96"/>
      <c r="D16" s="96"/>
      <c r="E16" s="96"/>
      <c r="F16" s="95"/>
      <c r="G16" s="95"/>
      <c r="H16" s="98"/>
      <c r="I16" s="96"/>
      <c r="J16" s="96"/>
      <c r="K16" s="96"/>
      <c r="L16" s="96"/>
      <c r="M16" s="96"/>
      <c r="N16" s="96"/>
      <c r="O16" s="97"/>
    </row>
    <row r="17" spans="1:15" s="99" customFormat="1" ht="55.2" customHeight="1" x14ac:dyDescent="0.3">
      <c r="A17" s="96"/>
      <c r="B17" s="96"/>
      <c r="C17" s="96"/>
      <c r="D17" s="96"/>
      <c r="E17" s="96"/>
      <c r="F17" s="95"/>
      <c r="G17" s="95"/>
      <c r="H17" s="98"/>
      <c r="I17" s="96"/>
      <c r="J17" s="96"/>
      <c r="K17" s="96"/>
      <c r="L17" s="96"/>
      <c r="M17" s="96"/>
      <c r="N17" s="96"/>
      <c r="O17" s="97"/>
    </row>
    <row r="18" spans="1:15" s="99" customFormat="1" ht="55.2" customHeight="1" x14ac:dyDescent="0.3">
      <c r="A18" s="96"/>
      <c r="B18" s="96"/>
      <c r="C18" s="96"/>
      <c r="D18" s="96"/>
      <c r="E18" s="96"/>
      <c r="F18" s="95"/>
      <c r="G18" s="95"/>
      <c r="H18" s="98"/>
      <c r="I18" s="96"/>
      <c r="J18" s="96"/>
      <c r="K18" s="96"/>
      <c r="L18" s="96"/>
      <c r="M18" s="96"/>
      <c r="N18" s="96"/>
      <c r="O18" s="97"/>
    </row>
    <row r="19" spans="1:15" s="99" customFormat="1" ht="55.2" customHeight="1" x14ac:dyDescent="0.3">
      <c r="A19" s="96"/>
      <c r="B19" s="96"/>
      <c r="C19" s="96"/>
      <c r="D19" s="96"/>
      <c r="E19" s="96"/>
      <c r="F19" s="95"/>
      <c r="G19" s="95"/>
      <c r="H19" s="98"/>
      <c r="I19" s="96"/>
      <c r="J19" s="96"/>
      <c r="K19" s="96"/>
      <c r="L19" s="96"/>
      <c r="M19" s="96"/>
      <c r="N19" s="96"/>
      <c r="O19" s="97"/>
    </row>
    <row r="20" spans="1:15" s="99" customFormat="1" ht="55.2" customHeight="1" x14ac:dyDescent="0.3">
      <c r="A20" s="96"/>
      <c r="B20" s="96"/>
      <c r="C20" s="96"/>
      <c r="D20" s="96"/>
      <c r="E20" s="96"/>
      <c r="F20" s="95"/>
      <c r="G20" s="95"/>
      <c r="H20" s="98"/>
      <c r="I20" s="96"/>
      <c r="J20" s="96"/>
      <c r="K20" s="96"/>
      <c r="L20" s="96"/>
      <c r="M20" s="96"/>
      <c r="N20" s="96"/>
      <c r="O20" s="97"/>
    </row>
    <row r="21" spans="1:15" s="99" customFormat="1" ht="55.2" customHeight="1" x14ac:dyDescent="0.3">
      <c r="A21" s="96"/>
      <c r="B21" s="96"/>
      <c r="C21" s="96"/>
      <c r="D21" s="96"/>
      <c r="E21" s="96"/>
      <c r="F21" s="95"/>
      <c r="G21" s="95"/>
      <c r="H21" s="98"/>
      <c r="I21" s="96"/>
      <c r="J21" s="96"/>
      <c r="K21" s="96"/>
      <c r="L21" s="96"/>
      <c r="M21" s="96"/>
      <c r="N21" s="96"/>
      <c r="O21" s="97"/>
    </row>
    <row r="22" spans="1:15" s="99" customFormat="1" ht="55.2" customHeight="1" x14ac:dyDescent="0.3">
      <c r="A22" s="96"/>
      <c r="B22" s="96"/>
      <c r="C22" s="96"/>
      <c r="D22" s="96"/>
      <c r="E22" s="96"/>
      <c r="F22" s="95"/>
      <c r="G22" s="95"/>
      <c r="H22" s="98"/>
      <c r="I22" s="96"/>
      <c r="J22" s="96"/>
      <c r="K22" s="96"/>
      <c r="L22" s="96"/>
      <c r="M22" s="96"/>
      <c r="N22" s="96"/>
      <c r="O22" s="97"/>
    </row>
    <row r="23" spans="1:15" s="99" customFormat="1" ht="55.2" customHeight="1" x14ac:dyDescent="0.3">
      <c r="A23" s="96"/>
      <c r="B23" s="96"/>
      <c r="C23" s="96"/>
      <c r="D23" s="96"/>
      <c r="E23" s="96"/>
      <c r="F23" s="95"/>
      <c r="G23" s="95"/>
      <c r="H23" s="98"/>
      <c r="I23" s="96"/>
      <c r="J23" s="96"/>
      <c r="K23" s="96"/>
      <c r="L23" s="96"/>
      <c r="M23" s="96"/>
      <c r="N23" s="96"/>
      <c r="O23" s="97"/>
    </row>
    <row r="24" spans="1:15" s="99" customFormat="1" ht="55.2" customHeight="1" x14ac:dyDescent="0.3">
      <c r="A24" s="96"/>
      <c r="B24" s="96"/>
      <c r="C24" s="96"/>
      <c r="D24" s="96"/>
      <c r="E24" s="96"/>
      <c r="F24" s="95"/>
      <c r="G24" s="95"/>
      <c r="H24" s="98"/>
      <c r="I24" s="96"/>
      <c r="J24" s="96"/>
      <c r="K24" s="96"/>
      <c r="L24" s="96"/>
      <c r="M24" s="96"/>
      <c r="N24" s="96"/>
      <c r="O24" s="97"/>
    </row>
    <row r="25" spans="1:15" s="99" customFormat="1" ht="55.2" customHeight="1" x14ac:dyDescent="0.3">
      <c r="A25" s="96"/>
      <c r="B25" s="96"/>
      <c r="C25" s="96"/>
      <c r="D25" s="96"/>
      <c r="E25" s="96"/>
      <c r="F25" s="95"/>
      <c r="G25" s="95"/>
      <c r="H25" s="98"/>
      <c r="I25" s="96"/>
      <c r="J25" s="96"/>
      <c r="K25" s="96"/>
      <c r="L25" s="96"/>
      <c r="M25" s="96"/>
      <c r="N25" s="96"/>
      <c r="O25" s="97"/>
    </row>
    <row r="26" spans="1:15" s="99" customFormat="1" ht="55.2" customHeight="1" x14ac:dyDescent="0.3">
      <c r="A26" s="96"/>
      <c r="B26" s="96"/>
      <c r="C26" s="96"/>
      <c r="D26" s="96"/>
      <c r="E26" s="96"/>
      <c r="F26" s="95"/>
      <c r="G26" s="95"/>
      <c r="H26" s="98"/>
      <c r="I26" s="96"/>
      <c r="J26" s="96"/>
      <c r="K26" s="96"/>
      <c r="L26" s="96"/>
      <c r="M26" s="96"/>
      <c r="N26" s="96"/>
      <c r="O26" s="97"/>
    </row>
    <row r="27" spans="1:15" s="99" customFormat="1" ht="55.2" customHeight="1" x14ac:dyDescent="0.3">
      <c r="A27" s="96"/>
      <c r="B27" s="96"/>
      <c r="C27" s="96"/>
      <c r="D27" s="96"/>
      <c r="E27" s="96"/>
      <c r="F27" s="95"/>
      <c r="G27" s="95"/>
      <c r="H27" s="98"/>
      <c r="I27" s="96"/>
      <c r="J27" s="96"/>
      <c r="K27" s="96"/>
      <c r="L27" s="96"/>
      <c r="M27" s="96"/>
      <c r="N27" s="96"/>
      <c r="O27" s="97"/>
    </row>
    <row r="28" spans="1:15" s="99" customFormat="1" ht="55.2" customHeight="1" x14ac:dyDescent="0.3">
      <c r="A28" s="96"/>
      <c r="B28" s="96"/>
      <c r="C28" s="96"/>
      <c r="D28" s="96"/>
      <c r="E28" s="96"/>
      <c r="F28" s="95"/>
      <c r="G28" s="95"/>
      <c r="H28" s="98"/>
      <c r="I28" s="96"/>
      <c r="J28" s="96"/>
      <c r="K28" s="96"/>
      <c r="L28" s="96"/>
      <c r="M28" s="96"/>
      <c r="N28" s="96"/>
      <c r="O28" s="97"/>
    </row>
    <row r="29" spans="1:15" x14ac:dyDescent="0.3">
      <c r="C29" s="80"/>
    </row>
    <row r="30" spans="1:15" ht="54.75" customHeight="1" x14ac:dyDescent="0.3">
      <c r="A30" s="270" t="s">
        <v>109</v>
      </c>
      <c r="B30" s="270"/>
      <c r="C30" s="270"/>
      <c r="D30" s="270"/>
      <c r="E30" s="270"/>
      <c r="F30" s="270"/>
      <c r="G30" s="270"/>
      <c r="H30" s="270"/>
      <c r="I30" s="270"/>
      <c r="J30" s="270"/>
      <c r="K30" s="270"/>
      <c r="L30" s="270"/>
      <c r="M30" s="270"/>
      <c r="N30" s="270"/>
      <c r="O30" s="270"/>
    </row>
    <row r="31" spans="1:15" ht="19.5" customHeight="1" x14ac:dyDescent="0.3">
      <c r="A31" s="81" t="s">
        <v>110</v>
      </c>
      <c r="B31" s="82"/>
      <c r="C31" s="82"/>
      <c r="D31" s="82"/>
      <c r="E31" s="82"/>
      <c r="F31" s="82"/>
      <c r="G31" s="82"/>
      <c r="H31" s="82"/>
      <c r="I31" s="82"/>
      <c r="J31" s="82"/>
      <c r="K31" s="82"/>
      <c r="L31" s="82"/>
      <c r="M31" s="82"/>
      <c r="N31" s="82"/>
      <c r="O31" s="82"/>
    </row>
    <row r="32" spans="1:15" ht="16.5" customHeight="1" x14ac:dyDescent="0.3">
      <c r="A32" s="83" t="s">
        <v>117</v>
      </c>
      <c r="B32" s="84"/>
      <c r="C32" s="84"/>
      <c r="D32" s="84"/>
      <c r="E32" s="84"/>
      <c r="F32" s="84"/>
      <c r="G32" s="84"/>
      <c r="H32" s="84"/>
      <c r="I32" s="84"/>
      <c r="J32" s="84"/>
      <c r="K32" s="84"/>
      <c r="L32" s="84"/>
      <c r="M32" s="84"/>
      <c r="N32" s="84"/>
      <c r="O32" s="84"/>
    </row>
  </sheetData>
  <sheetProtection insertRows="0" deleteRows="0"/>
  <mergeCells count="7">
    <mergeCell ref="A30:O30"/>
    <mergeCell ref="A1:O1"/>
    <mergeCell ref="A2:O2"/>
    <mergeCell ref="A3:O3"/>
    <mergeCell ref="A4:O4"/>
    <mergeCell ref="A5:O5"/>
    <mergeCell ref="D8:F8"/>
  </mergeCells>
  <dataValidations count="3">
    <dataValidation type="list" allowBlank="1" showInputMessage="1" showErrorMessage="1" sqref="WVT983059 JH8 TD8 ACZ8 AMV8 AWR8 BGN8 BQJ8 CAF8 CKB8 CTX8 DDT8 DNP8 DXL8 EHH8 ERD8 FAZ8 FKV8 FUR8 GEN8 GOJ8 GYF8 HIB8 HRX8 IBT8 ILP8 IVL8 JFH8 JPD8 JYZ8 KIV8 KSR8 LCN8 LMJ8 LWF8 MGB8 MPX8 MZT8 NJP8 NTL8 ODH8 OND8 OWZ8 PGV8 PQR8 QAN8 QKJ8 QUF8 REB8 RNX8 RXT8 SHP8 SRL8 TBH8 TLD8 TUZ8 UEV8 UOR8 UYN8 VIJ8 VSF8 WCB8 WLX8 WVT8 K65555 JH65555 TD65555 ACZ65555 AMV65555 AWR65555 BGN65555 BQJ65555 CAF65555 CKB65555 CTX65555 DDT65555 DNP65555 DXL65555 EHH65555 ERD65555 FAZ65555 FKV65555 FUR65555 GEN65555 GOJ65555 GYF65555 HIB65555 HRX65555 IBT65555 ILP65555 IVL65555 JFH65555 JPD65555 JYZ65555 KIV65555 KSR65555 LCN65555 LMJ65555 LWF65555 MGB65555 MPX65555 MZT65555 NJP65555 NTL65555 ODH65555 OND65555 OWZ65555 PGV65555 PQR65555 QAN65555 QKJ65555 QUF65555 REB65555 RNX65555 RXT65555 SHP65555 SRL65555 TBH65555 TLD65555 TUZ65555 UEV65555 UOR65555 UYN65555 VIJ65555 VSF65555 WCB65555 WLX65555 WVT65555 K131091 JH131091 TD131091 ACZ131091 AMV131091 AWR131091 BGN131091 BQJ131091 CAF131091 CKB131091 CTX131091 DDT131091 DNP131091 DXL131091 EHH131091 ERD131091 FAZ131091 FKV131091 FUR131091 GEN131091 GOJ131091 GYF131091 HIB131091 HRX131091 IBT131091 ILP131091 IVL131091 JFH131091 JPD131091 JYZ131091 KIV131091 KSR131091 LCN131091 LMJ131091 LWF131091 MGB131091 MPX131091 MZT131091 NJP131091 NTL131091 ODH131091 OND131091 OWZ131091 PGV131091 PQR131091 QAN131091 QKJ131091 QUF131091 REB131091 RNX131091 RXT131091 SHP131091 SRL131091 TBH131091 TLD131091 TUZ131091 UEV131091 UOR131091 UYN131091 VIJ131091 VSF131091 WCB131091 WLX131091 WVT131091 K196627 JH196627 TD196627 ACZ196627 AMV196627 AWR196627 BGN196627 BQJ196627 CAF196627 CKB196627 CTX196627 DDT196627 DNP196627 DXL196627 EHH196627 ERD196627 FAZ196627 FKV196627 FUR196627 GEN196627 GOJ196627 GYF196627 HIB196627 HRX196627 IBT196627 ILP196627 IVL196627 JFH196627 JPD196627 JYZ196627 KIV196627 KSR196627 LCN196627 LMJ196627 LWF196627 MGB196627 MPX196627 MZT196627 NJP196627 NTL196627 ODH196627 OND196627 OWZ196627 PGV196627 PQR196627 QAN196627 QKJ196627 QUF196627 REB196627 RNX196627 RXT196627 SHP196627 SRL196627 TBH196627 TLD196627 TUZ196627 UEV196627 UOR196627 UYN196627 VIJ196627 VSF196627 WCB196627 WLX196627 WVT196627 K262163 JH262163 TD262163 ACZ262163 AMV262163 AWR262163 BGN262163 BQJ262163 CAF262163 CKB262163 CTX262163 DDT262163 DNP262163 DXL262163 EHH262163 ERD262163 FAZ262163 FKV262163 FUR262163 GEN262163 GOJ262163 GYF262163 HIB262163 HRX262163 IBT262163 ILP262163 IVL262163 JFH262163 JPD262163 JYZ262163 KIV262163 KSR262163 LCN262163 LMJ262163 LWF262163 MGB262163 MPX262163 MZT262163 NJP262163 NTL262163 ODH262163 OND262163 OWZ262163 PGV262163 PQR262163 QAN262163 QKJ262163 QUF262163 REB262163 RNX262163 RXT262163 SHP262163 SRL262163 TBH262163 TLD262163 TUZ262163 UEV262163 UOR262163 UYN262163 VIJ262163 VSF262163 WCB262163 WLX262163 WVT262163 K327699 JH327699 TD327699 ACZ327699 AMV327699 AWR327699 BGN327699 BQJ327699 CAF327699 CKB327699 CTX327699 DDT327699 DNP327699 DXL327699 EHH327699 ERD327699 FAZ327699 FKV327699 FUR327699 GEN327699 GOJ327699 GYF327699 HIB327699 HRX327699 IBT327699 ILP327699 IVL327699 JFH327699 JPD327699 JYZ327699 KIV327699 KSR327699 LCN327699 LMJ327699 LWF327699 MGB327699 MPX327699 MZT327699 NJP327699 NTL327699 ODH327699 OND327699 OWZ327699 PGV327699 PQR327699 QAN327699 QKJ327699 QUF327699 REB327699 RNX327699 RXT327699 SHP327699 SRL327699 TBH327699 TLD327699 TUZ327699 UEV327699 UOR327699 UYN327699 VIJ327699 VSF327699 WCB327699 WLX327699 WVT327699 K393235 JH393235 TD393235 ACZ393235 AMV393235 AWR393235 BGN393235 BQJ393235 CAF393235 CKB393235 CTX393235 DDT393235 DNP393235 DXL393235 EHH393235 ERD393235 FAZ393235 FKV393235 FUR393235 GEN393235 GOJ393235 GYF393235 HIB393235 HRX393235 IBT393235 ILP393235 IVL393235 JFH393235 JPD393235 JYZ393235 KIV393235 KSR393235 LCN393235 LMJ393235 LWF393235 MGB393235 MPX393235 MZT393235 NJP393235 NTL393235 ODH393235 OND393235 OWZ393235 PGV393235 PQR393235 QAN393235 QKJ393235 QUF393235 REB393235 RNX393235 RXT393235 SHP393235 SRL393235 TBH393235 TLD393235 TUZ393235 UEV393235 UOR393235 UYN393235 VIJ393235 VSF393235 WCB393235 WLX393235 WVT393235 K458771 JH458771 TD458771 ACZ458771 AMV458771 AWR458771 BGN458771 BQJ458771 CAF458771 CKB458771 CTX458771 DDT458771 DNP458771 DXL458771 EHH458771 ERD458771 FAZ458771 FKV458771 FUR458771 GEN458771 GOJ458771 GYF458771 HIB458771 HRX458771 IBT458771 ILP458771 IVL458771 JFH458771 JPD458771 JYZ458771 KIV458771 KSR458771 LCN458771 LMJ458771 LWF458771 MGB458771 MPX458771 MZT458771 NJP458771 NTL458771 ODH458771 OND458771 OWZ458771 PGV458771 PQR458771 QAN458771 QKJ458771 QUF458771 REB458771 RNX458771 RXT458771 SHP458771 SRL458771 TBH458771 TLD458771 TUZ458771 UEV458771 UOR458771 UYN458771 VIJ458771 VSF458771 WCB458771 WLX458771 WVT458771 K524307 JH524307 TD524307 ACZ524307 AMV524307 AWR524307 BGN524307 BQJ524307 CAF524307 CKB524307 CTX524307 DDT524307 DNP524307 DXL524307 EHH524307 ERD524307 FAZ524307 FKV524307 FUR524307 GEN524307 GOJ524307 GYF524307 HIB524307 HRX524307 IBT524307 ILP524307 IVL524307 JFH524307 JPD524307 JYZ524307 KIV524307 KSR524307 LCN524307 LMJ524307 LWF524307 MGB524307 MPX524307 MZT524307 NJP524307 NTL524307 ODH524307 OND524307 OWZ524307 PGV524307 PQR524307 QAN524307 QKJ524307 QUF524307 REB524307 RNX524307 RXT524307 SHP524307 SRL524307 TBH524307 TLD524307 TUZ524307 UEV524307 UOR524307 UYN524307 VIJ524307 VSF524307 WCB524307 WLX524307 WVT524307 K589843 JH589843 TD589843 ACZ589843 AMV589843 AWR589843 BGN589843 BQJ589843 CAF589843 CKB589843 CTX589843 DDT589843 DNP589843 DXL589843 EHH589843 ERD589843 FAZ589843 FKV589843 FUR589843 GEN589843 GOJ589843 GYF589843 HIB589843 HRX589843 IBT589843 ILP589843 IVL589843 JFH589843 JPD589843 JYZ589843 KIV589843 KSR589843 LCN589843 LMJ589843 LWF589843 MGB589843 MPX589843 MZT589843 NJP589843 NTL589843 ODH589843 OND589843 OWZ589843 PGV589843 PQR589843 QAN589843 QKJ589843 QUF589843 REB589843 RNX589843 RXT589843 SHP589843 SRL589843 TBH589843 TLD589843 TUZ589843 UEV589843 UOR589843 UYN589843 VIJ589843 VSF589843 WCB589843 WLX589843 WVT589843 K655379 JH655379 TD655379 ACZ655379 AMV655379 AWR655379 BGN655379 BQJ655379 CAF655379 CKB655379 CTX655379 DDT655379 DNP655379 DXL655379 EHH655379 ERD655379 FAZ655379 FKV655379 FUR655379 GEN655379 GOJ655379 GYF655379 HIB655379 HRX655379 IBT655379 ILP655379 IVL655379 JFH655379 JPD655379 JYZ655379 KIV655379 KSR655379 LCN655379 LMJ655379 LWF655379 MGB655379 MPX655379 MZT655379 NJP655379 NTL655379 ODH655379 OND655379 OWZ655379 PGV655379 PQR655379 QAN655379 QKJ655379 QUF655379 REB655379 RNX655379 RXT655379 SHP655379 SRL655379 TBH655379 TLD655379 TUZ655379 UEV655379 UOR655379 UYN655379 VIJ655379 VSF655379 WCB655379 WLX655379 WVT655379 K720915 JH720915 TD720915 ACZ720915 AMV720915 AWR720915 BGN720915 BQJ720915 CAF720915 CKB720915 CTX720915 DDT720915 DNP720915 DXL720915 EHH720915 ERD720915 FAZ720915 FKV720915 FUR720915 GEN720915 GOJ720915 GYF720915 HIB720915 HRX720915 IBT720915 ILP720915 IVL720915 JFH720915 JPD720915 JYZ720915 KIV720915 KSR720915 LCN720915 LMJ720915 LWF720915 MGB720915 MPX720915 MZT720915 NJP720915 NTL720915 ODH720915 OND720915 OWZ720915 PGV720915 PQR720915 QAN720915 QKJ720915 QUF720915 REB720915 RNX720915 RXT720915 SHP720915 SRL720915 TBH720915 TLD720915 TUZ720915 UEV720915 UOR720915 UYN720915 VIJ720915 VSF720915 WCB720915 WLX720915 WVT720915 K786451 JH786451 TD786451 ACZ786451 AMV786451 AWR786451 BGN786451 BQJ786451 CAF786451 CKB786451 CTX786451 DDT786451 DNP786451 DXL786451 EHH786451 ERD786451 FAZ786451 FKV786451 FUR786451 GEN786451 GOJ786451 GYF786451 HIB786451 HRX786451 IBT786451 ILP786451 IVL786451 JFH786451 JPD786451 JYZ786451 KIV786451 KSR786451 LCN786451 LMJ786451 LWF786451 MGB786451 MPX786451 MZT786451 NJP786451 NTL786451 ODH786451 OND786451 OWZ786451 PGV786451 PQR786451 QAN786451 QKJ786451 QUF786451 REB786451 RNX786451 RXT786451 SHP786451 SRL786451 TBH786451 TLD786451 TUZ786451 UEV786451 UOR786451 UYN786451 VIJ786451 VSF786451 WCB786451 WLX786451 WVT786451 K851987 JH851987 TD851987 ACZ851987 AMV851987 AWR851987 BGN851987 BQJ851987 CAF851987 CKB851987 CTX851987 DDT851987 DNP851987 DXL851987 EHH851987 ERD851987 FAZ851987 FKV851987 FUR851987 GEN851987 GOJ851987 GYF851987 HIB851987 HRX851987 IBT851987 ILP851987 IVL851987 JFH851987 JPD851987 JYZ851987 KIV851987 KSR851987 LCN851987 LMJ851987 LWF851987 MGB851987 MPX851987 MZT851987 NJP851987 NTL851987 ODH851987 OND851987 OWZ851987 PGV851987 PQR851987 QAN851987 QKJ851987 QUF851987 REB851987 RNX851987 RXT851987 SHP851987 SRL851987 TBH851987 TLD851987 TUZ851987 UEV851987 UOR851987 UYN851987 VIJ851987 VSF851987 WCB851987 WLX851987 WVT851987 K917523 JH917523 TD917523 ACZ917523 AMV917523 AWR917523 BGN917523 BQJ917523 CAF917523 CKB917523 CTX917523 DDT917523 DNP917523 DXL917523 EHH917523 ERD917523 FAZ917523 FKV917523 FUR917523 GEN917523 GOJ917523 GYF917523 HIB917523 HRX917523 IBT917523 ILP917523 IVL917523 JFH917523 JPD917523 JYZ917523 KIV917523 KSR917523 LCN917523 LMJ917523 LWF917523 MGB917523 MPX917523 MZT917523 NJP917523 NTL917523 ODH917523 OND917523 OWZ917523 PGV917523 PQR917523 QAN917523 QKJ917523 QUF917523 REB917523 RNX917523 RXT917523 SHP917523 SRL917523 TBH917523 TLD917523 TUZ917523 UEV917523 UOR917523 UYN917523 VIJ917523 VSF917523 WCB917523 WLX917523 WVT917523 K983059 JH983059 TD983059 ACZ983059 AMV983059 AWR983059 BGN983059 BQJ983059 CAF983059 CKB983059 CTX983059 DDT983059 DNP983059 DXL983059 EHH983059 ERD983059 FAZ983059 FKV983059 FUR983059 GEN983059 GOJ983059 GYF983059 HIB983059 HRX983059 IBT983059 ILP983059 IVL983059 JFH983059 JPD983059 JYZ983059 KIV983059 KSR983059 LCN983059 LMJ983059 LWF983059 MGB983059 MPX983059 MZT983059 NJP983059 NTL983059 ODH983059 OND983059 OWZ983059 PGV983059 PQR983059 QAN983059 QKJ983059 QUF983059 REB983059 RNX983059 RXT983059 SHP983059 SRL983059 TBH983059 TLD983059 TUZ983059 UEV983059 UOR983059 UYN983059 VIJ983059 VSF983059 WCB983059 WLX983059">
      <formula1>"1st Quarter, 2nd Quarter, 3rd Quarter, 4th Quarter, All Quarter"</formula1>
    </dataValidation>
    <dataValidation type="list" allowBlank="1" showInputMessage="1" showErrorMessage="1" sqref="WVR983059:WVS983059 JF8:JG8 TB8:TC8 ACX8:ACY8 AMT8:AMU8 AWP8:AWQ8 BGL8:BGM8 BQH8:BQI8 CAD8:CAE8 CJZ8:CKA8 CTV8:CTW8 DDR8:DDS8 DNN8:DNO8 DXJ8:DXK8 EHF8:EHG8 ERB8:ERC8 FAX8:FAY8 FKT8:FKU8 FUP8:FUQ8 GEL8:GEM8 GOH8:GOI8 GYD8:GYE8 HHZ8:HIA8 HRV8:HRW8 IBR8:IBS8 ILN8:ILO8 IVJ8:IVK8 JFF8:JFG8 JPB8:JPC8 JYX8:JYY8 KIT8:KIU8 KSP8:KSQ8 LCL8:LCM8 LMH8:LMI8 LWD8:LWE8 MFZ8:MGA8 MPV8:MPW8 MZR8:MZS8 NJN8:NJO8 NTJ8:NTK8 ODF8:ODG8 ONB8:ONC8 OWX8:OWY8 PGT8:PGU8 PQP8:PQQ8 QAL8:QAM8 QKH8:QKI8 QUD8:QUE8 RDZ8:REA8 RNV8:RNW8 RXR8:RXS8 SHN8:SHO8 SRJ8:SRK8 TBF8:TBG8 TLB8:TLC8 TUX8:TUY8 UET8:UEU8 UOP8:UOQ8 UYL8:UYM8 VIH8:VII8 VSD8:VSE8 WBZ8:WCA8 WLV8:WLW8 WVR8:WVS8 I65555:J65555 JF65555:JG65555 TB65555:TC65555 ACX65555:ACY65555 AMT65555:AMU65555 AWP65555:AWQ65555 BGL65555:BGM65555 BQH65555:BQI65555 CAD65555:CAE65555 CJZ65555:CKA65555 CTV65555:CTW65555 DDR65555:DDS65555 DNN65555:DNO65555 DXJ65555:DXK65555 EHF65555:EHG65555 ERB65555:ERC65555 FAX65555:FAY65555 FKT65555:FKU65555 FUP65555:FUQ65555 GEL65555:GEM65555 GOH65555:GOI65555 GYD65555:GYE65555 HHZ65555:HIA65555 HRV65555:HRW65555 IBR65555:IBS65555 ILN65555:ILO65555 IVJ65555:IVK65555 JFF65555:JFG65555 JPB65555:JPC65555 JYX65555:JYY65555 KIT65555:KIU65555 KSP65555:KSQ65555 LCL65555:LCM65555 LMH65555:LMI65555 LWD65555:LWE65555 MFZ65555:MGA65555 MPV65555:MPW65555 MZR65555:MZS65555 NJN65555:NJO65555 NTJ65555:NTK65555 ODF65555:ODG65555 ONB65555:ONC65555 OWX65555:OWY65555 PGT65555:PGU65555 PQP65555:PQQ65555 QAL65555:QAM65555 QKH65555:QKI65555 QUD65555:QUE65555 RDZ65555:REA65555 RNV65555:RNW65555 RXR65555:RXS65555 SHN65555:SHO65555 SRJ65555:SRK65555 TBF65555:TBG65555 TLB65555:TLC65555 TUX65555:TUY65555 UET65555:UEU65555 UOP65555:UOQ65555 UYL65555:UYM65555 VIH65555:VII65555 VSD65555:VSE65555 WBZ65555:WCA65555 WLV65555:WLW65555 WVR65555:WVS65555 I131091:J131091 JF131091:JG131091 TB131091:TC131091 ACX131091:ACY131091 AMT131091:AMU131091 AWP131091:AWQ131091 BGL131091:BGM131091 BQH131091:BQI131091 CAD131091:CAE131091 CJZ131091:CKA131091 CTV131091:CTW131091 DDR131091:DDS131091 DNN131091:DNO131091 DXJ131091:DXK131091 EHF131091:EHG131091 ERB131091:ERC131091 FAX131091:FAY131091 FKT131091:FKU131091 FUP131091:FUQ131091 GEL131091:GEM131091 GOH131091:GOI131091 GYD131091:GYE131091 HHZ131091:HIA131091 HRV131091:HRW131091 IBR131091:IBS131091 ILN131091:ILO131091 IVJ131091:IVK131091 JFF131091:JFG131091 JPB131091:JPC131091 JYX131091:JYY131091 KIT131091:KIU131091 KSP131091:KSQ131091 LCL131091:LCM131091 LMH131091:LMI131091 LWD131091:LWE131091 MFZ131091:MGA131091 MPV131091:MPW131091 MZR131091:MZS131091 NJN131091:NJO131091 NTJ131091:NTK131091 ODF131091:ODG131091 ONB131091:ONC131091 OWX131091:OWY131091 PGT131091:PGU131091 PQP131091:PQQ131091 QAL131091:QAM131091 QKH131091:QKI131091 QUD131091:QUE131091 RDZ131091:REA131091 RNV131091:RNW131091 RXR131091:RXS131091 SHN131091:SHO131091 SRJ131091:SRK131091 TBF131091:TBG131091 TLB131091:TLC131091 TUX131091:TUY131091 UET131091:UEU131091 UOP131091:UOQ131091 UYL131091:UYM131091 VIH131091:VII131091 VSD131091:VSE131091 WBZ131091:WCA131091 WLV131091:WLW131091 WVR131091:WVS131091 I196627:J196627 JF196627:JG196627 TB196627:TC196627 ACX196627:ACY196627 AMT196627:AMU196627 AWP196627:AWQ196627 BGL196627:BGM196627 BQH196627:BQI196627 CAD196627:CAE196627 CJZ196627:CKA196627 CTV196627:CTW196627 DDR196627:DDS196627 DNN196627:DNO196627 DXJ196627:DXK196627 EHF196627:EHG196627 ERB196627:ERC196627 FAX196627:FAY196627 FKT196627:FKU196627 FUP196627:FUQ196627 GEL196627:GEM196627 GOH196627:GOI196627 GYD196627:GYE196627 HHZ196627:HIA196627 HRV196627:HRW196627 IBR196627:IBS196627 ILN196627:ILO196627 IVJ196627:IVK196627 JFF196627:JFG196627 JPB196627:JPC196627 JYX196627:JYY196627 KIT196627:KIU196627 KSP196627:KSQ196627 LCL196627:LCM196627 LMH196627:LMI196627 LWD196627:LWE196627 MFZ196627:MGA196627 MPV196627:MPW196627 MZR196627:MZS196627 NJN196627:NJO196627 NTJ196627:NTK196627 ODF196627:ODG196627 ONB196627:ONC196627 OWX196627:OWY196627 PGT196627:PGU196627 PQP196627:PQQ196627 QAL196627:QAM196627 QKH196627:QKI196627 QUD196627:QUE196627 RDZ196627:REA196627 RNV196627:RNW196627 RXR196627:RXS196627 SHN196627:SHO196627 SRJ196627:SRK196627 TBF196627:TBG196627 TLB196627:TLC196627 TUX196627:TUY196627 UET196627:UEU196627 UOP196627:UOQ196627 UYL196627:UYM196627 VIH196627:VII196627 VSD196627:VSE196627 WBZ196627:WCA196627 WLV196627:WLW196627 WVR196627:WVS196627 I262163:J262163 JF262163:JG262163 TB262163:TC262163 ACX262163:ACY262163 AMT262163:AMU262163 AWP262163:AWQ262163 BGL262163:BGM262163 BQH262163:BQI262163 CAD262163:CAE262163 CJZ262163:CKA262163 CTV262163:CTW262163 DDR262163:DDS262163 DNN262163:DNO262163 DXJ262163:DXK262163 EHF262163:EHG262163 ERB262163:ERC262163 FAX262163:FAY262163 FKT262163:FKU262163 FUP262163:FUQ262163 GEL262163:GEM262163 GOH262163:GOI262163 GYD262163:GYE262163 HHZ262163:HIA262163 HRV262163:HRW262163 IBR262163:IBS262163 ILN262163:ILO262163 IVJ262163:IVK262163 JFF262163:JFG262163 JPB262163:JPC262163 JYX262163:JYY262163 KIT262163:KIU262163 KSP262163:KSQ262163 LCL262163:LCM262163 LMH262163:LMI262163 LWD262163:LWE262163 MFZ262163:MGA262163 MPV262163:MPW262163 MZR262163:MZS262163 NJN262163:NJO262163 NTJ262163:NTK262163 ODF262163:ODG262163 ONB262163:ONC262163 OWX262163:OWY262163 PGT262163:PGU262163 PQP262163:PQQ262163 QAL262163:QAM262163 QKH262163:QKI262163 QUD262163:QUE262163 RDZ262163:REA262163 RNV262163:RNW262163 RXR262163:RXS262163 SHN262163:SHO262163 SRJ262163:SRK262163 TBF262163:TBG262163 TLB262163:TLC262163 TUX262163:TUY262163 UET262163:UEU262163 UOP262163:UOQ262163 UYL262163:UYM262163 VIH262163:VII262163 VSD262163:VSE262163 WBZ262163:WCA262163 WLV262163:WLW262163 WVR262163:WVS262163 I327699:J327699 JF327699:JG327699 TB327699:TC327699 ACX327699:ACY327699 AMT327699:AMU327699 AWP327699:AWQ327699 BGL327699:BGM327699 BQH327699:BQI327699 CAD327699:CAE327699 CJZ327699:CKA327699 CTV327699:CTW327699 DDR327699:DDS327699 DNN327699:DNO327699 DXJ327699:DXK327699 EHF327699:EHG327699 ERB327699:ERC327699 FAX327699:FAY327699 FKT327699:FKU327699 FUP327699:FUQ327699 GEL327699:GEM327699 GOH327699:GOI327699 GYD327699:GYE327699 HHZ327699:HIA327699 HRV327699:HRW327699 IBR327699:IBS327699 ILN327699:ILO327699 IVJ327699:IVK327699 JFF327699:JFG327699 JPB327699:JPC327699 JYX327699:JYY327699 KIT327699:KIU327699 KSP327699:KSQ327699 LCL327699:LCM327699 LMH327699:LMI327699 LWD327699:LWE327699 MFZ327699:MGA327699 MPV327699:MPW327699 MZR327699:MZS327699 NJN327699:NJO327699 NTJ327699:NTK327699 ODF327699:ODG327699 ONB327699:ONC327699 OWX327699:OWY327699 PGT327699:PGU327699 PQP327699:PQQ327699 QAL327699:QAM327699 QKH327699:QKI327699 QUD327699:QUE327699 RDZ327699:REA327699 RNV327699:RNW327699 RXR327699:RXS327699 SHN327699:SHO327699 SRJ327699:SRK327699 TBF327699:TBG327699 TLB327699:TLC327699 TUX327699:TUY327699 UET327699:UEU327699 UOP327699:UOQ327699 UYL327699:UYM327699 VIH327699:VII327699 VSD327699:VSE327699 WBZ327699:WCA327699 WLV327699:WLW327699 WVR327699:WVS327699 I393235:J393235 JF393235:JG393235 TB393235:TC393235 ACX393235:ACY393235 AMT393235:AMU393235 AWP393235:AWQ393235 BGL393235:BGM393235 BQH393235:BQI393235 CAD393235:CAE393235 CJZ393235:CKA393235 CTV393235:CTW393235 DDR393235:DDS393235 DNN393235:DNO393235 DXJ393235:DXK393235 EHF393235:EHG393235 ERB393235:ERC393235 FAX393235:FAY393235 FKT393235:FKU393235 FUP393235:FUQ393235 GEL393235:GEM393235 GOH393235:GOI393235 GYD393235:GYE393235 HHZ393235:HIA393235 HRV393235:HRW393235 IBR393235:IBS393235 ILN393235:ILO393235 IVJ393235:IVK393235 JFF393235:JFG393235 JPB393235:JPC393235 JYX393235:JYY393235 KIT393235:KIU393235 KSP393235:KSQ393235 LCL393235:LCM393235 LMH393235:LMI393235 LWD393235:LWE393235 MFZ393235:MGA393235 MPV393235:MPW393235 MZR393235:MZS393235 NJN393235:NJO393235 NTJ393235:NTK393235 ODF393235:ODG393235 ONB393235:ONC393235 OWX393235:OWY393235 PGT393235:PGU393235 PQP393235:PQQ393235 QAL393235:QAM393235 QKH393235:QKI393235 QUD393235:QUE393235 RDZ393235:REA393235 RNV393235:RNW393235 RXR393235:RXS393235 SHN393235:SHO393235 SRJ393235:SRK393235 TBF393235:TBG393235 TLB393235:TLC393235 TUX393235:TUY393235 UET393235:UEU393235 UOP393235:UOQ393235 UYL393235:UYM393235 VIH393235:VII393235 VSD393235:VSE393235 WBZ393235:WCA393235 WLV393235:WLW393235 WVR393235:WVS393235 I458771:J458771 JF458771:JG458771 TB458771:TC458771 ACX458771:ACY458771 AMT458771:AMU458771 AWP458771:AWQ458771 BGL458771:BGM458771 BQH458771:BQI458771 CAD458771:CAE458771 CJZ458771:CKA458771 CTV458771:CTW458771 DDR458771:DDS458771 DNN458771:DNO458771 DXJ458771:DXK458771 EHF458771:EHG458771 ERB458771:ERC458771 FAX458771:FAY458771 FKT458771:FKU458771 FUP458771:FUQ458771 GEL458771:GEM458771 GOH458771:GOI458771 GYD458771:GYE458771 HHZ458771:HIA458771 HRV458771:HRW458771 IBR458771:IBS458771 ILN458771:ILO458771 IVJ458771:IVK458771 JFF458771:JFG458771 JPB458771:JPC458771 JYX458771:JYY458771 KIT458771:KIU458771 KSP458771:KSQ458771 LCL458771:LCM458771 LMH458771:LMI458771 LWD458771:LWE458771 MFZ458771:MGA458771 MPV458771:MPW458771 MZR458771:MZS458771 NJN458771:NJO458771 NTJ458771:NTK458771 ODF458771:ODG458771 ONB458771:ONC458771 OWX458771:OWY458771 PGT458771:PGU458771 PQP458771:PQQ458771 QAL458771:QAM458771 QKH458771:QKI458771 QUD458771:QUE458771 RDZ458771:REA458771 RNV458771:RNW458771 RXR458771:RXS458771 SHN458771:SHO458771 SRJ458771:SRK458771 TBF458771:TBG458771 TLB458771:TLC458771 TUX458771:TUY458771 UET458771:UEU458771 UOP458771:UOQ458771 UYL458771:UYM458771 VIH458771:VII458771 VSD458771:VSE458771 WBZ458771:WCA458771 WLV458771:WLW458771 WVR458771:WVS458771 I524307:J524307 JF524307:JG524307 TB524307:TC524307 ACX524307:ACY524307 AMT524307:AMU524307 AWP524307:AWQ524307 BGL524307:BGM524307 BQH524307:BQI524307 CAD524307:CAE524307 CJZ524307:CKA524307 CTV524307:CTW524307 DDR524307:DDS524307 DNN524307:DNO524307 DXJ524307:DXK524307 EHF524307:EHG524307 ERB524307:ERC524307 FAX524307:FAY524307 FKT524307:FKU524307 FUP524307:FUQ524307 GEL524307:GEM524307 GOH524307:GOI524307 GYD524307:GYE524307 HHZ524307:HIA524307 HRV524307:HRW524307 IBR524307:IBS524307 ILN524307:ILO524307 IVJ524307:IVK524307 JFF524307:JFG524307 JPB524307:JPC524307 JYX524307:JYY524307 KIT524307:KIU524307 KSP524307:KSQ524307 LCL524307:LCM524307 LMH524307:LMI524307 LWD524307:LWE524307 MFZ524307:MGA524307 MPV524307:MPW524307 MZR524307:MZS524307 NJN524307:NJO524307 NTJ524307:NTK524307 ODF524307:ODG524307 ONB524307:ONC524307 OWX524307:OWY524307 PGT524307:PGU524307 PQP524307:PQQ524307 QAL524307:QAM524307 QKH524307:QKI524307 QUD524307:QUE524307 RDZ524307:REA524307 RNV524307:RNW524307 RXR524307:RXS524307 SHN524307:SHO524307 SRJ524307:SRK524307 TBF524307:TBG524307 TLB524307:TLC524307 TUX524307:TUY524307 UET524307:UEU524307 UOP524307:UOQ524307 UYL524307:UYM524307 VIH524307:VII524307 VSD524307:VSE524307 WBZ524307:WCA524307 WLV524307:WLW524307 WVR524307:WVS524307 I589843:J589843 JF589843:JG589843 TB589843:TC589843 ACX589843:ACY589843 AMT589843:AMU589843 AWP589843:AWQ589843 BGL589843:BGM589843 BQH589843:BQI589843 CAD589843:CAE589843 CJZ589843:CKA589843 CTV589843:CTW589843 DDR589843:DDS589843 DNN589843:DNO589843 DXJ589843:DXK589843 EHF589843:EHG589843 ERB589843:ERC589843 FAX589843:FAY589843 FKT589843:FKU589843 FUP589843:FUQ589843 GEL589843:GEM589843 GOH589843:GOI589843 GYD589843:GYE589843 HHZ589843:HIA589843 HRV589843:HRW589843 IBR589843:IBS589843 ILN589843:ILO589843 IVJ589843:IVK589843 JFF589843:JFG589843 JPB589843:JPC589843 JYX589843:JYY589843 KIT589843:KIU589843 KSP589843:KSQ589843 LCL589843:LCM589843 LMH589843:LMI589843 LWD589843:LWE589843 MFZ589843:MGA589843 MPV589843:MPW589843 MZR589843:MZS589843 NJN589843:NJO589843 NTJ589843:NTK589843 ODF589843:ODG589843 ONB589843:ONC589843 OWX589843:OWY589843 PGT589843:PGU589843 PQP589843:PQQ589843 QAL589843:QAM589843 QKH589843:QKI589843 QUD589843:QUE589843 RDZ589843:REA589843 RNV589843:RNW589843 RXR589843:RXS589843 SHN589843:SHO589843 SRJ589843:SRK589843 TBF589843:TBG589843 TLB589843:TLC589843 TUX589843:TUY589843 UET589843:UEU589843 UOP589843:UOQ589843 UYL589843:UYM589843 VIH589843:VII589843 VSD589843:VSE589843 WBZ589843:WCA589843 WLV589843:WLW589843 WVR589843:WVS589843 I655379:J655379 JF655379:JG655379 TB655379:TC655379 ACX655379:ACY655379 AMT655379:AMU655379 AWP655379:AWQ655379 BGL655379:BGM655379 BQH655379:BQI655379 CAD655379:CAE655379 CJZ655379:CKA655379 CTV655379:CTW655379 DDR655379:DDS655379 DNN655379:DNO655379 DXJ655379:DXK655379 EHF655379:EHG655379 ERB655379:ERC655379 FAX655379:FAY655379 FKT655379:FKU655379 FUP655379:FUQ655379 GEL655379:GEM655379 GOH655379:GOI655379 GYD655379:GYE655379 HHZ655379:HIA655379 HRV655379:HRW655379 IBR655379:IBS655379 ILN655379:ILO655379 IVJ655379:IVK655379 JFF655379:JFG655379 JPB655379:JPC655379 JYX655379:JYY655379 KIT655379:KIU655379 KSP655379:KSQ655379 LCL655379:LCM655379 LMH655379:LMI655379 LWD655379:LWE655379 MFZ655379:MGA655379 MPV655379:MPW655379 MZR655379:MZS655379 NJN655379:NJO655379 NTJ655379:NTK655379 ODF655379:ODG655379 ONB655379:ONC655379 OWX655379:OWY655379 PGT655379:PGU655379 PQP655379:PQQ655379 QAL655379:QAM655379 QKH655379:QKI655379 QUD655379:QUE655379 RDZ655379:REA655379 RNV655379:RNW655379 RXR655379:RXS655379 SHN655379:SHO655379 SRJ655379:SRK655379 TBF655379:TBG655379 TLB655379:TLC655379 TUX655379:TUY655379 UET655379:UEU655379 UOP655379:UOQ655379 UYL655379:UYM655379 VIH655379:VII655379 VSD655379:VSE655379 WBZ655379:WCA655379 WLV655379:WLW655379 WVR655379:WVS655379 I720915:J720915 JF720915:JG720915 TB720915:TC720915 ACX720915:ACY720915 AMT720915:AMU720915 AWP720915:AWQ720915 BGL720915:BGM720915 BQH720915:BQI720915 CAD720915:CAE720915 CJZ720915:CKA720915 CTV720915:CTW720915 DDR720915:DDS720915 DNN720915:DNO720915 DXJ720915:DXK720915 EHF720915:EHG720915 ERB720915:ERC720915 FAX720915:FAY720915 FKT720915:FKU720915 FUP720915:FUQ720915 GEL720915:GEM720915 GOH720915:GOI720915 GYD720915:GYE720915 HHZ720915:HIA720915 HRV720915:HRW720915 IBR720915:IBS720915 ILN720915:ILO720915 IVJ720915:IVK720915 JFF720915:JFG720915 JPB720915:JPC720915 JYX720915:JYY720915 KIT720915:KIU720915 KSP720915:KSQ720915 LCL720915:LCM720915 LMH720915:LMI720915 LWD720915:LWE720915 MFZ720915:MGA720915 MPV720915:MPW720915 MZR720915:MZS720915 NJN720915:NJO720915 NTJ720915:NTK720915 ODF720915:ODG720915 ONB720915:ONC720915 OWX720915:OWY720915 PGT720915:PGU720915 PQP720915:PQQ720915 QAL720915:QAM720915 QKH720915:QKI720915 QUD720915:QUE720915 RDZ720915:REA720915 RNV720915:RNW720915 RXR720915:RXS720915 SHN720915:SHO720915 SRJ720915:SRK720915 TBF720915:TBG720915 TLB720915:TLC720915 TUX720915:TUY720915 UET720915:UEU720915 UOP720915:UOQ720915 UYL720915:UYM720915 VIH720915:VII720915 VSD720915:VSE720915 WBZ720915:WCA720915 WLV720915:WLW720915 WVR720915:WVS720915 I786451:J786451 JF786451:JG786451 TB786451:TC786451 ACX786451:ACY786451 AMT786451:AMU786451 AWP786451:AWQ786451 BGL786451:BGM786451 BQH786451:BQI786451 CAD786451:CAE786451 CJZ786451:CKA786451 CTV786451:CTW786451 DDR786451:DDS786451 DNN786451:DNO786451 DXJ786451:DXK786451 EHF786451:EHG786451 ERB786451:ERC786451 FAX786451:FAY786451 FKT786451:FKU786451 FUP786451:FUQ786451 GEL786451:GEM786451 GOH786451:GOI786451 GYD786451:GYE786451 HHZ786451:HIA786451 HRV786451:HRW786451 IBR786451:IBS786451 ILN786451:ILO786451 IVJ786451:IVK786451 JFF786451:JFG786451 JPB786451:JPC786451 JYX786451:JYY786451 KIT786451:KIU786451 KSP786451:KSQ786451 LCL786451:LCM786451 LMH786451:LMI786451 LWD786451:LWE786451 MFZ786451:MGA786451 MPV786451:MPW786451 MZR786451:MZS786451 NJN786451:NJO786451 NTJ786451:NTK786451 ODF786451:ODG786451 ONB786451:ONC786451 OWX786451:OWY786451 PGT786451:PGU786451 PQP786451:PQQ786451 QAL786451:QAM786451 QKH786451:QKI786451 QUD786451:QUE786451 RDZ786451:REA786451 RNV786451:RNW786451 RXR786451:RXS786451 SHN786451:SHO786451 SRJ786451:SRK786451 TBF786451:TBG786451 TLB786451:TLC786451 TUX786451:TUY786451 UET786451:UEU786451 UOP786451:UOQ786451 UYL786451:UYM786451 VIH786451:VII786451 VSD786451:VSE786451 WBZ786451:WCA786451 WLV786451:WLW786451 WVR786451:WVS786451 I851987:J851987 JF851987:JG851987 TB851987:TC851987 ACX851987:ACY851987 AMT851987:AMU851987 AWP851987:AWQ851987 BGL851987:BGM851987 BQH851987:BQI851987 CAD851987:CAE851987 CJZ851987:CKA851987 CTV851987:CTW851987 DDR851987:DDS851987 DNN851987:DNO851987 DXJ851987:DXK851987 EHF851987:EHG851987 ERB851987:ERC851987 FAX851987:FAY851987 FKT851987:FKU851987 FUP851987:FUQ851987 GEL851987:GEM851987 GOH851987:GOI851987 GYD851987:GYE851987 HHZ851987:HIA851987 HRV851987:HRW851987 IBR851987:IBS851987 ILN851987:ILO851987 IVJ851987:IVK851987 JFF851987:JFG851987 JPB851987:JPC851987 JYX851987:JYY851987 KIT851987:KIU851987 KSP851987:KSQ851987 LCL851987:LCM851987 LMH851987:LMI851987 LWD851987:LWE851987 MFZ851987:MGA851987 MPV851987:MPW851987 MZR851987:MZS851987 NJN851987:NJO851987 NTJ851987:NTK851987 ODF851987:ODG851987 ONB851987:ONC851987 OWX851987:OWY851987 PGT851987:PGU851987 PQP851987:PQQ851987 QAL851987:QAM851987 QKH851987:QKI851987 QUD851987:QUE851987 RDZ851987:REA851987 RNV851987:RNW851987 RXR851987:RXS851987 SHN851987:SHO851987 SRJ851987:SRK851987 TBF851987:TBG851987 TLB851987:TLC851987 TUX851987:TUY851987 UET851987:UEU851987 UOP851987:UOQ851987 UYL851987:UYM851987 VIH851987:VII851987 VSD851987:VSE851987 WBZ851987:WCA851987 WLV851987:WLW851987 WVR851987:WVS851987 I917523:J917523 JF917523:JG917523 TB917523:TC917523 ACX917523:ACY917523 AMT917523:AMU917523 AWP917523:AWQ917523 BGL917523:BGM917523 BQH917523:BQI917523 CAD917523:CAE917523 CJZ917523:CKA917523 CTV917523:CTW917523 DDR917523:DDS917523 DNN917523:DNO917523 DXJ917523:DXK917523 EHF917523:EHG917523 ERB917523:ERC917523 FAX917523:FAY917523 FKT917523:FKU917523 FUP917523:FUQ917523 GEL917523:GEM917523 GOH917523:GOI917523 GYD917523:GYE917523 HHZ917523:HIA917523 HRV917523:HRW917523 IBR917523:IBS917523 ILN917523:ILO917523 IVJ917523:IVK917523 JFF917523:JFG917523 JPB917523:JPC917523 JYX917523:JYY917523 KIT917523:KIU917523 KSP917523:KSQ917523 LCL917523:LCM917523 LMH917523:LMI917523 LWD917523:LWE917523 MFZ917523:MGA917523 MPV917523:MPW917523 MZR917523:MZS917523 NJN917523:NJO917523 NTJ917523:NTK917523 ODF917523:ODG917523 ONB917523:ONC917523 OWX917523:OWY917523 PGT917523:PGU917523 PQP917523:PQQ917523 QAL917523:QAM917523 QKH917523:QKI917523 QUD917523:QUE917523 RDZ917523:REA917523 RNV917523:RNW917523 RXR917523:RXS917523 SHN917523:SHO917523 SRJ917523:SRK917523 TBF917523:TBG917523 TLB917523:TLC917523 TUX917523:TUY917523 UET917523:UEU917523 UOP917523:UOQ917523 UYL917523:UYM917523 VIH917523:VII917523 VSD917523:VSE917523 WBZ917523:WCA917523 WLV917523:WLW917523 WVR917523:WVS917523 I983059:J983059 JF983059:JG983059 TB983059:TC983059 ACX983059:ACY983059 AMT983059:AMU983059 AWP983059:AWQ983059 BGL983059:BGM983059 BQH983059:BQI983059 CAD983059:CAE983059 CJZ983059:CKA983059 CTV983059:CTW983059 DDR983059:DDS983059 DNN983059:DNO983059 DXJ983059:DXK983059 EHF983059:EHG983059 ERB983059:ERC983059 FAX983059:FAY983059 FKT983059:FKU983059 FUP983059:FUQ983059 GEL983059:GEM983059 GOH983059:GOI983059 GYD983059:GYE983059 HHZ983059:HIA983059 HRV983059:HRW983059 IBR983059:IBS983059 ILN983059:ILO983059 IVJ983059:IVK983059 JFF983059:JFG983059 JPB983059:JPC983059 JYX983059:JYY983059 KIT983059:KIU983059 KSP983059:KSQ983059 LCL983059:LCM983059 LMH983059:LMI983059 LWD983059:LWE983059 MFZ983059:MGA983059 MPV983059:MPW983059 MZR983059:MZS983059 NJN983059:NJO983059 NTJ983059:NTK983059 ODF983059:ODG983059 ONB983059:ONC983059 OWX983059:OWY983059 PGT983059:PGU983059 PQP983059:PQQ983059 QAL983059:QAM983059 QKH983059:QKI983059 QUD983059:QUE983059 RDZ983059:REA983059 RNV983059:RNW983059 RXR983059:RXS983059 SHN983059:SHO983059 SRJ983059:SRK983059 TBF983059:TBG983059 TLB983059:TLC983059 TUX983059:TUY983059 UET983059:UEU983059 UOP983059:UOQ983059 UYL983059:UYM983059 VIH983059:VII983059 VSD983059:VSE983059 WBZ983059:WCA983059 WLV983059:WLW983059 J8">
      <formula1>"January, February, March, Jan-Mar, April, May, June, Apr-June, July, August, September, Jul-Sep, October, November, December, Oct-Dec, Janu-Dec"</formula1>
    </dataValidation>
    <dataValidation type="list" allowBlank="1" showInputMessage="1" showErrorMessage="1" sqref="WVW983059 JK8 TG8 ADC8 AMY8 AWU8 BGQ8 BQM8 CAI8 CKE8 CUA8 DDW8 DNS8 DXO8 EHK8 ERG8 FBC8 FKY8 FUU8 GEQ8 GOM8 GYI8 HIE8 HSA8 IBW8 ILS8 IVO8 JFK8 JPG8 JZC8 KIY8 KSU8 LCQ8 LMM8 LWI8 MGE8 MQA8 MZW8 NJS8 NTO8 ODK8 ONG8 OXC8 PGY8 PQU8 QAQ8 QKM8 QUI8 REE8 ROA8 RXW8 SHS8 SRO8 TBK8 TLG8 TVC8 UEY8 UOU8 UYQ8 VIM8 VSI8 WCE8 WMA8 WVW8 O65555 JK65555 TG65555 ADC65555 AMY65555 AWU65555 BGQ65555 BQM65555 CAI65555 CKE65555 CUA65555 DDW65555 DNS65555 DXO65555 EHK65555 ERG65555 FBC65555 FKY65555 FUU65555 GEQ65555 GOM65555 GYI65555 HIE65555 HSA65555 IBW65555 ILS65555 IVO65555 JFK65555 JPG65555 JZC65555 KIY65555 KSU65555 LCQ65555 LMM65555 LWI65555 MGE65555 MQA65555 MZW65555 NJS65555 NTO65555 ODK65555 ONG65555 OXC65555 PGY65555 PQU65555 QAQ65555 QKM65555 QUI65555 REE65555 ROA65555 RXW65555 SHS65555 SRO65555 TBK65555 TLG65555 TVC65555 UEY65555 UOU65555 UYQ65555 VIM65555 VSI65555 WCE65555 WMA65555 WVW65555 O131091 JK131091 TG131091 ADC131091 AMY131091 AWU131091 BGQ131091 BQM131091 CAI131091 CKE131091 CUA131091 DDW131091 DNS131091 DXO131091 EHK131091 ERG131091 FBC131091 FKY131091 FUU131091 GEQ131091 GOM131091 GYI131091 HIE131091 HSA131091 IBW131091 ILS131091 IVO131091 JFK131091 JPG131091 JZC131091 KIY131091 KSU131091 LCQ131091 LMM131091 LWI131091 MGE131091 MQA131091 MZW131091 NJS131091 NTO131091 ODK131091 ONG131091 OXC131091 PGY131091 PQU131091 QAQ131091 QKM131091 QUI131091 REE131091 ROA131091 RXW131091 SHS131091 SRO131091 TBK131091 TLG131091 TVC131091 UEY131091 UOU131091 UYQ131091 VIM131091 VSI131091 WCE131091 WMA131091 WVW131091 O196627 JK196627 TG196627 ADC196627 AMY196627 AWU196627 BGQ196627 BQM196627 CAI196627 CKE196627 CUA196627 DDW196627 DNS196627 DXO196627 EHK196627 ERG196627 FBC196627 FKY196627 FUU196627 GEQ196627 GOM196627 GYI196627 HIE196627 HSA196627 IBW196627 ILS196627 IVO196627 JFK196627 JPG196627 JZC196627 KIY196627 KSU196627 LCQ196627 LMM196627 LWI196627 MGE196627 MQA196627 MZW196627 NJS196627 NTO196627 ODK196627 ONG196627 OXC196627 PGY196627 PQU196627 QAQ196627 QKM196627 QUI196627 REE196627 ROA196627 RXW196627 SHS196627 SRO196627 TBK196627 TLG196627 TVC196627 UEY196627 UOU196627 UYQ196627 VIM196627 VSI196627 WCE196627 WMA196627 WVW196627 O262163 JK262163 TG262163 ADC262163 AMY262163 AWU262163 BGQ262163 BQM262163 CAI262163 CKE262163 CUA262163 DDW262163 DNS262163 DXO262163 EHK262163 ERG262163 FBC262163 FKY262163 FUU262163 GEQ262163 GOM262163 GYI262163 HIE262163 HSA262163 IBW262163 ILS262163 IVO262163 JFK262163 JPG262163 JZC262163 KIY262163 KSU262163 LCQ262163 LMM262163 LWI262163 MGE262163 MQA262163 MZW262163 NJS262163 NTO262163 ODK262163 ONG262163 OXC262163 PGY262163 PQU262163 QAQ262163 QKM262163 QUI262163 REE262163 ROA262163 RXW262163 SHS262163 SRO262163 TBK262163 TLG262163 TVC262163 UEY262163 UOU262163 UYQ262163 VIM262163 VSI262163 WCE262163 WMA262163 WVW262163 O327699 JK327699 TG327699 ADC327699 AMY327699 AWU327699 BGQ327699 BQM327699 CAI327699 CKE327699 CUA327699 DDW327699 DNS327699 DXO327699 EHK327699 ERG327699 FBC327699 FKY327699 FUU327699 GEQ327699 GOM327699 GYI327699 HIE327699 HSA327699 IBW327699 ILS327699 IVO327699 JFK327699 JPG327699 JZC327699 KIY327699 KSU327699 LCQ327699 LMM327699 LWI327699 MGE327699 MQA327699 MZW327699 NJS327699 NTO327699 ODK327699 ONG327699 OXC327699 PGY327699 PQU327699 QAQ327699 QKM327699 QUI327699 REE327699 ROA327699 RXW327699 SHS327699 SRO327699 TBK327699 TLG327699 TVC327699 UEY327699 UOU327699 UYQ327699 VIM327699 VSI327699 WCE327699 WMA327699 WVW327699 O393235 JK393235 TG393235 ADC393235 AMY393235 AWU393235 BGQ393235 BQM393235 CAI393235 CKE393235 CUA393235 DDW393235 DNS393235 DXO393235 EHK393235 ERG393235 FBC393235 FKY393235 FUU393235 GEQ393235 GOM393235 GYI393235 HIE393235 HSA393235 IBW393235 ILS393235 IVO393235 JFK393235 JPG393235 JZC393235 KIY393235 KSU393235 LCQ393235 LMM393235 LWI393235 MGE393235 MQA393235 MZW393235 NJS393235 NTO393235 ODK393235 ONG393235 OXC393235 PGY393235 PQU393235 QAQ393235 QKM393235 QUI393235 REE393235 ROA393235 RXW393235 SHS393235 SRO393235 TBK393235 TLG393235 TVC393235 UEY393235 UOU393235 UYQ393235 VIM393235 VSI393235 WCE393235 WMA393235 WVW393235 O458771 JK458771 TG458771 ADC458771 AMY458771 AWU458771 BGQ458771 BQM458771 CAI458771 CKE458771 CUA458771 DDW458771 DNS458771 DXO458771 EHK458771 ERG458771 FBC458771 FKY458771 FUU458771 GEQ458771 GOM458771 GYI458771 HIE458771 HSA458771 IBW458771 ILS458771 IVO458771 JFK458771 JPG458771 JZC458771 KIY458771 KSU458771 LCQ458771 LMM458771 LWI458771 MGE458771 MQA458771 MZW458771 NJS458771 NTO458771 ODK458771 ONG458771 OXC458771 PGY458771 PQU458771 QAQ458771 QKM458771 QUI458771 REE458771 ROA458771 RXW458771 SHS458771 SRO458771 TBK458771 TLG458771 TVC458771 UEY458771 UOU458771 UYQ458771 VIM458771 VSI458771 WCE458771 WMA458771 WVW458771 O524307 JK524307 TG524307 ADC524307 AMY524307 AWU524307 BGQ524307 BQM524307 CAI524307 CKE524307 CUA524307 DDW524307 DNS524307 DXO524307 EHK524307 ERG524307 FBC524307 FKY524307 FUU524307 GEQ524307 GOM524307 GYI524307 HIE524307 HSA524307 IBW524307 ILS524307 IVO524307 JFK524307 JPG524307 JZC524307 KIY524307 KSU524307 LCQ524307 LMM524307 LWI524307 MGE524307 MQA524307 MZW524307 NJS524307 NTO524307 ODK524307 ONG524307 OXC524307 PGY524307 PQU524307 QAQ524307 QKM524307 QUI524307 REE524307 ROA524307 RXW524307 SHS524307 SRO524307 TBK524307 TLG524307 TVC524307 UEY524307 UOU524307 UYQ524307 VIM524307 VSI524307 WCE524307 WMA524307 WVW524307 O589843 JK589843 TG589843 ADC589843 AMY589843 AWU589843 BGQ589843 BQM589843 CAI589843 CKE589843 CUA589843 DDW589843 DNS589843 DXO589843 EHK589843 ERG589843 FBC589843 FKY589843 FUU589843 GEQ589843 GOM589843 GYI589843 HIE589843 HSA589843 IBW589843 ILS589843 IVO589843 JFK589843 JPG589843 JZC589843 KIY589843 KSU589843 LCQ589843 LMM589843 LWI589843 MGE589843 MQA589843 MZW589843 NJS589843 NTO589843 ODK589843 ONG589843 OXC589843 PGY589843 PQU589843 QAQ589843 QKM589843 QUI589843 REE589843 ROA589843 RXW589843 SHS589843 SRO589843 TBK589843 TLG589843 TVC589843 UEY589843 UOU589843 UYQ589843 VIM589843 VSI589843 WCE589843 WMA589843 WVW589843 O655379 JK655379 TG655379 ADC655379 AMY655379 AWU655379 BGQ655379 BQM655379 CAI655379 CKE655379 CUA655379 DDW655379 DNS655379 DXO655379 EHK655379 ERG655379 FBC655379 FKY655379 FUU655379 GEQ655379 GOM655379 GYI655379 HIE655379 HSA655379 IBW655379 ILS655379 IVO655379 JFK655379 JPG655379 JZC655379 KIY655379 KSU655379 LCQ655379 LMM655379 LWI655379 MGE655379 MQA655379 MZW655379 NJS655379 NTO655379 ODK655379 ONG655379 OXC655379 PGY655379 PQU655379 QAQ655379 QKM655379 QUI655379 REE655379 ROA655379 RXW655379 SHS655379 SRO655379 TBK655379 TLG655379 TVC655379 UEY655379 UOU655379 UYQ655379 VIM655379 VSI655379 WCE655379 WMA655379 WVW655379 O720915 JK720915 TG720915 ADC720915 AMY720915 AWU720915 BGQ720915 BQM720915 CAI720915 CKE720915 CUA720915 DDW720915 DNS720915 DXO720915 EHK720915 ERG720915 FBC720915 FKY720915 FUU720915 GEQ720915 GOM720915 GYI720915 HIE720915 HSA720915 IBW720915 ILS720915 IVO720915 JFK720915 JPG720915 JZC720915 KIY720915 KSU720915 LCQ720915 LMM720915 LWI720915 MGE720915 MQA720915 MZW720915 NJS720915 NTO720915 ODK720915 ONG720915 OXC720915 PGY720915 PQU720915 QAQ720915 QKM720915 QUI720915 REE720915 ROA720915 RXW720915 SHS720915 SRO720915 TBK720915 TLG720915 TVC720915 UEY720915 UOU720915 UYQ720915 VIM720915 VSI720915 WCE720915 WMA720915 WVW720915 O786451 JK786451 TG786451 ADC786451 AMY786451 AWU786451 BGQ786451 BQM786451 CAI786451 CKE786451 CUA786451 DDW786451 DNS786451 DXO786451 EHK786451 ERG786451 FBC786451 FKY786451 FUU786451 GEQ786451 GOM786451 GYI786451 HIE786451 HSA786451 IBW786451 ILS786451 IVO786451 JFK786451 JPG786451 JZC786451 KIY786451 KSU786451 LCQ786451 LMM786451 LWI786451 MGE786451 MQA786451 MZW786451 NJS786451 NTO786451 ODK786451 ONG786451 OXC786451 PGY786451 PQU786451 QAQ786451 QKM786451 QUI786451 REE786451 ROA786451 RXW786451 SHS786451 SRO786451 TBK786451 TLG786451 TVC786451 UEY786451 UOU786451 UYQ786451 VIM786451 VSI786451 WCE786451 WMA786451 WVW786451 O851987 JK851987 TG851987 ADC851987 AMY851987 AWU851987 BGQ851987 BQM851987 CAI851987 CKE851987 CUA851987 DDW851987 DNS851987 DXO851987 EHK851987 ERG851987 FBC851987 FKY851987 FUU851987 GEQ851987 GOM851987 GYI851987 HIE851987 HSA851987 IBW851987 ILS851987 IVO851987 JFK851987 JPG851987 JZC851987 KIY851987 KSU851987 LCQ851987 LMM851987 LWI851987 MGE851987 MQA851987 MZW851987 NJS851987 NTO851987 ODK851987 ONG851987 OXC851987 PGY851987 PQU851987 QAQ851987 QKM851987 QUI851987 REE851987 ROA851987 RXW851987 SHS851987 SRO851987 TBK851987 TLG851987 TVC851987 UEY851987 UOU851987 UYQ851987 VIM851987 VSI851987 WCE851987 WMA851987 WVW851987 O917523 JK917523 TG917523 ADC917523 AMY917523 AWU917523 BGQ917523 BQM917523 CAI917523 CKE917523 CUA917523 DDW917523 DNS917523 DXO917523 EHK917523 ERG917523 FBC917523 FKY917523 FUU917523 GEQ917523 GOM917523 GYI917523 HIE917523 HSA917523 IBW917523 ILS917523 IVO917523 JFK917523 JPG917523 JZC917523 KIY917523 KSU917523 LCQ917523 LMM917523 LWI917523 MGE917523 MQA917523 MZW917523 NJS917523 NTO917523 ODK917523 ONG917523 OXC917523 PGY917523 PQU917523 QAQ917523 QKM917523 QUI917523 REE917523 ROA917523 RXW917523 SHS917523 SRO917523 TBK917523 TLG917523 TVC917523 UEY917523 UOU917523 UYQ917523 VIM917523 VSI917523 WCE917523 WMA917523 WVW917523 O983059 JK983059 TG983059 ADC983059 AMY983059 AWU983059 BGQ983059 BQM983059 CAI983059 CKE983059 CUA983059 DDW983059 DNS983059 DXO983059 EHK983059 ERG983059 FBC983059 FKY983059 FUU983059 GEQ983059 GOM983059 GYI983059 HIE983059 HSA983059 IBW983059 ILS983059 IVO983059 JFK983059 JPG983059 JZC983059 KIY983059 KSU983059 LCQ983059 LMM983059 LWI983059 MGE983059 MQA983059 MZW983059 NJS983059 NTO983059 ODK983059 ONG983059 OXC983059 PGY983059 PQU983059 QAQ983059 QKM983059 QUI983059 REE983059 ROA983059 RXW983059 SHS983059 SRO983059 TBK983059 TLG983059 TVC983059 UEY983059 UOU983059 UYQ983059 VIM983059 VSI983059 WCE983059 WMA983059">
      <formula1>"2015, 2016,2017,2018,2019, 2020"</formula1>
    </dataValidation>
  </dataValidations>
  <printOptions horizontalCentered="1"/>
  <pageMargins left="0.45" right="0.45" top="0.5" bottom="0.5" header="0.3" footer="0.3"/>
  <pageSetup paperSize="9" scale="65" orientation="landscape" r:id="rId1"/>
  <rowBreaks count="1" manualBreakCount="1">
    <brk id="19" max="1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Views>
    <sheetView workbookViewId="0">
      <selection activeCell="B14" sqref="B14:C14"/>
    </sheetView>
  </sheetViews>
  <sheetFormatPr defaultRowHeight="14.4" x14ac:dyDescent="0.3"/>
  <cols>
    <col min="1" max="1" width="11" customWidth="1"/>
    <col min="3" max="3" width="11.88671875" customWidth="1"/>
    <col min="5" max="5" width="10.6640625" customWidth="1"/>
  </cols>
  <sheetData>
    <row r="1" spans="1:21" s="65" customFormat="1" ht="18" x14ac:dyDescent="0.3">
      <c r="A1" s="307" t="s">
        <v>136</v>
      </c>
      <c r="B1" s="307"/>
      <c r="C1" s="307"/>
      <c r="D1" s="307"/>
      <c r="E1" s="307"/>
      <c r="F1" s="307"/>
      <c r="G1" s="307"/>
      <c r="H1" s="307"/>
      <c r="I1" s="307"/>
      <c r="J1" s="307"/>
      <c r="K1" s="307"/>
      <c r="L1" s="307"/>
      <c r="M1" s="307"/>
      <c r="N1" s="307"/>
      <c r="O1" s="307"/>
      <c r="P1" s="306" t="s">
        <v>135</v>
      </c>
      <c r="Q1" s="306"/>
      <c r="R1" s="306"/>
      <c r="S1" s="306"/>
      <c r="T1" s="130"/>
      <c r="U1" s="130"/>
    </row>
    <row r="2" spans="1:21" s="65" customFormat="1" ht="18" x14ac:dyDescent="0.3">
      <c r="A2" s="307" t="s">
        <v>67</v>
      </c>
      <c r="B2" s="307"/>
      <c r="C2" s="307"/>
      <c r="D2" s="307"/>
      <c r="E2" s="307"/>
      <c r="F2" s="307"/>
      <c r="G2" s="307"/>
      <c r="H2" s="307"/>
      <c r="I2" s="307"/>
      <c r="J2" s="307"/>
      <c r="K2" s="307"/>
      <c r="L2" s="307"/>
      <c r="M2" s="307"/>
      <c r="N2" s="307"/>
      <c r="O2" s="307"/>
      <c r="P2" s="307"/>
      <c r="Q2" s="307"/>
      <c r="R2" s="307"/>
      <c r="S2" s="307"/>
      <c r="T2" s="307"/>
      <c r="U2" s="307"/>
    </row>
    <row r="3" spans="1:21" s="65" customFormat="1" ht="18" x14ac:dyDescent="0.3">
      <c r="A3" s="307" t="s">
        <v>118</v>
      </c>
      <c r="B3" s="307"/>
      <c r="C3" s="307"/>
      <c r="D3" s="307"/>
      <c r="E3" s="307"/>
      <c r="F3" s="307"/>
      <c r="G3" s="307"/>
      <c r="H3" s="307"/>
      <c r="I3" s="307"/>
      <c r="J3" s="307"/>
      <c r="K3" s="307"/>
      <c r="L3" s="307"/>
      <c r="M3" s="307"/>
      <c r="N3" s="307"/>
      <c r="O3" s="307"/>
      <c r="P3" s="307"/>
      <c r="Q3" s="307"/>
      <c r="R3" s="307"/>
      <c r="S3" s="131"/>
      <c r="T3" s="131"/>
      <c r="U3" s="131"/>
    </row>
    <row r="4" spans="1:21" s="65" customFormat="1" ht="18" x14ac:dyDescent="0.3">
      <c r="A4" s="131"/>
      <c r="B4" s="131"/>
      <c r="C4" s="131"/>
      <c r="D4" s="131"/>
      <c r="E4" s="131"/>
      <c r="F4" s="131"/>
      <c r="G4" s="131"/>
      <c r="H4" s="131"/>
      <c r="I4" s="131"/>
      <c r="J4" s="131"/>
      <c r="K4" s="131"/>
      <c r="L4" s="131"/>
      <c r="M4" s="131"/>
      <c r="N4" s="131"/>
      <c r="O4" s="131"/>
      <c r="P4" s="131"/>
      <c r="Q4" s="131"/>
      <c r="R4" s="131"/>
      <c r="S4" s="131"/>
      <c r="T4" s="131"/>
      <c r="U4" s="131"/>
    </row>
    <row r="5" spans="1:21" s="65" customFormat="1" ht="18" x14ac:dyDescent="0.3">
      <c r="A5" s="306" t="s">
        <v>119</v>
      </c>
      <c r="B5" s="306"/>
      <c r="C5" s="306"/>
      <c r="D5" s="306"/>
      <c r="E5" s="306"/>
      <c r="F5" s="306"/>
      <c r="G5" s="306"/>
      <c r="H5" s="306"/>
      <c r="I5" s="306"/>
      <c r="J5" s="306"/>
      <c r="K5" s="306"/>
      <c r="L5" s="306"/>
      <c r="M5" s="306"/>
      <c r="N5" s="306"/>
      <c r="O5" s="306"/>
      <c r="P5" s="306"/>
      <c r="Q5" s="306"/>
      <c r="R5" s="306"/>
      <c r="S5" s="306"/>
      <c r="T5" s="306"/>
      <c r="U5" s="306"/>
    </row>
    <row r="6" spans="1:21" ht="15.6" x14ac:dyDescent="0.3">
      <c r="A6" s="103"/>
      <c r="B6" s="103"/>
      <c r="C6" s="103"/>
      <c r="D6" s="103"/>
      <c r="E6" s="103"/>
      <c r="F6" s="103"/>
      <c r="G6" s="103"/>
      <c r="H6" s="103"/>
      <c r="I6" s="103"/>
      <c r="J6" s="103"/>
      <c r="K6" s="103"/>
      <c r="L6" s="103"/>
      <c r="M6" s="103"/>
      <c r="N6" s="103"/>
      <c r="O6" s="103"/>
      <c r="P6" s="103"/>
      <c r="Q6" s="103"/>
      <c r="R6" s="103"/>
      <c r="S6" s="103"/>
      <c r="T6" s="103"/>
      <c r="U6" s="103"/>
    </row>
    <row r="7" spans="1:21" ht="15.6" x14ac:dyDescent="0.3">
      <c r="A7" s="104" t="s">
        <v>87</v>
      </c>
      <c r="B7" s="104"/>
      <c r="C7" s="309">
        <f>'DR-TB 10A'!C6:G6</f>
        <v>0</v>
      </c>
      <c r="D7" s="309"/>
      <c r="E7" s="309"/>
      <c r="F7" s="309"/>
      <c r="G7" s="309"/>
      <c r="H7" s="101"/>
      <c r="I7" s="104"/>
      <c r="J7" s="107" t="s">
        <v>16</v>
      </c>
      <c r="K7" s="65"/>
      <c r="L7" s="139">
        <f>'DR-TB 10A'!L6</f>
        <v>0</v>
      </c>
      <c r="M7" s="108" t="s">
        <v>14</v>
      </c>
      <c r="N7" s="308" t="str">
        <f>'DR-TB 10A'!N6:O6</f>
        <v/>
      </c>
      <c r="O7" s="308"/>
      <c r="P7" s="109" t="s">
        <v>15</v>
      </c>
      <c r="Q7" s="65"/>
      <c r="R7" s="139">
        <f>'DR-TB 10A'!R6</f>
        <v>0</v>
      </c>
      <c r="S7" s="101"/>
      <c r="T7" s="101"/>
      <c r="U7" s="101"/>
    </row>
    <row r="8" spans="1:21" ht="16.8" x14ac:dyDescent="0.3">
      <c r="A8" s="104" t="s">
        <v>9</v>
      </c>
      <c r="B8" s="104"/>
      <c r="C8" s="293">
        <f>'DR-TB 10A'!C7:G7</f>
        <v>0</v>
      </c>
      <c r="D8" s="293"/>
      <c r="E8" s="293"/>
      <c r="F8" s="293"/>
      <c r="G8" s="293"/>
      <c r="H8" s="101"/>
      <c r="I8" s="110"/>
      <c r="J8" s="124" t="s">
        <v>120</v>
      </c>
      <c r="K8" s="123"/>
      <c r="L8" s="123"/>
      <c r="M8" s="123"/>
      <c r="N8" s="299"/>
      <c r="O8" s="299"/>
      <c r="P8" s="299"/>
      <c r="Q8" s="299"/>
      <c r="R8" s="299"/>
      <c r="S8" s="299"/>
      <c r="T8" s="101"/>
      <c r="U8" s="101"/>
    </row>
    <row r="9" spans="1:21" ht="16.8" x14ac:dyDescent="0.3">
      <c r="A9" s="104" t="s">
        <v>10</v>
      </c>
      <c r="B9" s="104"/>
      <c r="C9" s="295">
        <f>'DR-TB 10A'!C8:G8</f>
        <v>0</v>
      </c>
      <c r="D9" s="295"/>
      <c r="E9" s="295"/>
      <c r="F9" s="295"/>
      <c r="G9" s="295"/>
      <c r="H9" s="101"/>
      <c r="I9" s="110"/>
      <c r="J9" s="110" t="s">
        <v>68</v>
      </c>
      <c r="K9" s="110"/>
      <c r="L9" s="110"/>
      <c r="M9" s="299"/>
      <c r="N9" s="299"/>
      <c r="O9" s="299"/>
      <c r="P9" s="299"/>
      <c r="Q9" s="299"/>
      <c r="R9" s="299"/>
      <c r="S9" s="299"/>
      <c r="T9" s="101"/>
      <c r="U9" s="101"/>
    </row>
    <row r="10" spans="1:21" ht="16.8" x14ac:dyDescent="0.3">
      <c r="A10" s="101"/>
      <c r="B10" s="101"/>
      <c r="C10" s="101"/>
      <c r="D10" s="101"/>
      <c r="E10" s="101"/>
      <c r="F10" s="101"/>
      <c r="G10" s="101"/>
      <c r="H10" s="101"/>
      <c r="I10" s="101"/>
      <c r="J10" s="110" t="s">
        <v>11</v>
      </c>
      <c r="K10" s="110"/>
      <c r="L10" s="110"/>
      <c r="M10" s="300"/>
      <c r="N10" s="300"/>
      <c r="O10" s="111"/>
      <c r="P10" s="102"/>
      <c r="Q10" s="101"/>
      <c r="R10" s="101"/>
      <c r="S10" s="101"/>
      <c r="T10" s="101"/>
      <c r="U10" s="101"/>
    </row>
    <row r="11" spans="1:21" ht="16.8" x14ac:dyDescent="0.3">
      <c r="A11" s="101"/>
      <c r="B11" s="101"/>
      <c r="C11" s="101"/>
      <c r="D11" s="101"/>
      <c r="E11" s="101"/>
      <c r="F11" s="101"/>
      <c r="G11" s="101"/>
      <c r="H11" s="101"/>
      <c r="I11" s="101"/>
      <c r="J11" s="112" t="s">
        <v>75</v>
      </c>
      <c r="K11" s="301"/>
      <c r="L11" s="301"/>
      <c r="M11" s="112"/>
      <c r="N11" s="113"/>
      <c r="O11" s="110" t="s">
        <v>12</v>
      </c>
      <c r="P11" s="101"/>
      <c r="Q11" s="302"/>
      <c r="R11" s="302"/>
      <c r="S11" s="302"/>
      <c r="T11" s="106"/>
      <c r="U11" s="101"/>
    </row>
    <row r="12" spans="1:21" ht="16.2" thickBot="1" x14ac:dyDescent="0.35">
      <c r="A12" s="101"/>
      <c r="B12" s="101"/>
      <c r="C12" s="101"/>
      <c r="D12" s="101"/>
      <c r="E12" s="101"/>
      <c r="F12" s="101"/>
      <c r="G12" s="101"/>
      <c r="H12" s="101"/>
      <c r="I12" s="101"/>
      <c r="J12" s="112"/>
      <c r="K12" s="132"/>
      <c r="L12" s="132"/>
      <c r="M12" s="112"/>
      <c r="N12" s="113"/>
      <c r="O12" s="110"/>
      <c r="P12" s="101"/>
      <c r="Q12" s="133"/>
      <c r="R12" s="133"/>
      <c r="S12" s="133"/>
      <c r="T12" s="106"/>
      <c r="U12" s="101"/>
    </row>
    <row r="13" spans="1:21" ht="17.399999999999999" thickBot="1" x14ac:dyDescent="0.35">
      <c r="A13" s="273" t="s">
        <v>121</v>
      </c>
      <c r="B13" s="296" t="s">
        <v>122</v>
      </c>
      <c r="C13" s="296"/>
      <c r="D13" s="296" t="s">
        <v>123</v>
      </c>
      <c r="E13" s="296"/>
      <c r="F13" s="101"/>
      <c r="G13" s="101"/>
      <c r="H13" s="276" t="s">
        <v>124</v>
      </c>
      <c r="I13" s="277"/>
      <c r="J13" s="277"/>
      <c r="K13" s="278"/>
      <c r="L13" s="282" t="s">
        <v>125</v>
      </c>
      <c r="M13" s="282"/>
      <c r="N13" s="282"/>
      <c r="O13" s="283" t="s">
        <v>3</v>
      </c>
      <c r="P13" s="284"/>
      <c r="Q13" s="106"/>
      <c r="R13" s="101"/>
      <c r="S13" s="101"/>
      <c r="T13" s="101"/>
      <c r="U13" s="101"/>
    </row>
    <row r="14" spans="1:21" ht="16.2" thickBot="1" x14ac:dyDescent="0.35">
      <c r="A14" s="274"/>
      <c r="B14" s="297"/>
      <c r="C14" s="298"/>
      <c r="D14" s="297"/>
      <c r="E14" s="298"/>
      <c r="F14" s="101"/>
      <c r="G14" s="101"/>
      <c r="H14" s="279"/>
      <c r="I14" s="280"/>
      <c r="J14" s="280"/>
      <c r="K14" s="281"/>
      <c r="L14" s="136"/>
      <c r="M14" s="137"/>
      <c r="N14" s="138"/>
      <c r="O14" s="285">
        <f>L14+M14+N14</f>
        <v>0</v>
      </c>
      <c r="P14" s="286"/>
      <c r="Q14" s="106"/>
      <c r="R14" s="101"/>
      <c r="S14" s="101"/>
      <c r="T14" s="101"/>
      <c r="U14" s="101"/>
    </row>
    <row r="15" spans="1:21" ht="15.6" x14ac:dyDescent="0.3">
      <c r="A15" s="103"/>
      <c r="B15" s="114"/>
      <c r="C15" s="114"/>
      <c r="D15" s="114"/>
      <c r="E15" s="114"/>
      <c r="F15" s="105"/>
      <c r="G15" s="115"/>
      <c r="H15" s="115"/>
      <c r="I15" s="115"/>
      <c r="J15" s="113"/>
      <c r="K15" s="113"/>
      <c r="L15" s="113"/>
      <c r="M15" s="113"/>
      <c r="N15" s="113"/>
      <c r="O15" s="113"/>
      <c r="P15" s="113"/>
      <c r="Q15" s="115"/>
      <c r="R15" s="115"/>
      <c r="S15" s="115"/>
      <c r="T15" s="115"/>
      <c r="U15" s="115"/>
    </row>
    <row r="16" spans="1:21" ht="15.6" x14ac:dyDescent="0.3">
      <c r="A16" s="116"/>
      <c r="B16" s="117"/>
      <c r="C16" s="117"/>
      <c r="D16" s="117"/>
      <c r="E16" s="117"/>
      <c r="F16" s="117"/>
      <c r="G16" s="117"/>
      <c r="H16" s="117"/>
      <c r="I16" s="106"/>
      <c r="J16" s="115"/>
      <c r="K16" s="115"/>
      <c r="L16" s="115"/>
      <c r="M16" s="115"/>
      <c r="N16" s="115"/>
      <c r="O16" s="115"/>
      <c r="P16" s="115"/>
      <c r="Q16" s="115"/>
      <c r="R16" s="115"/>
      <c r="S16" s="115"/>
      <c r="T16" s="115"/>
      <c r="U16" s="118"/>
    </row>
    <row r="17" spans="1:21" ht="15.6" x14ac:dyDescent="0.3">
      <c r="A17" s="291"/>
      <c r="B17" s="291"/>
      <c r="C17" s="287" t="s">
        <v>126</v>
      </c>
      <c r="D17" s="287"/>
      <c r="E17" s="287"/>
      <c r="F17" s="305" t="s">
        <v>127</v>
      </c>
      <c r="G17" s="305"/>
      <c r="H17" s="305"/>
      <c r="I17" s="305"/>
      <c r="J17" s="305"/>
      <c r="K17" s="305"/>
      <c r="L17" s="287" t="s">
        <v>128</v>
      </c>
      <c r="M17" s="287"/>
      <c r="N17" s="287"/>
      <c r="O17" s="287"/>
      <c r="P17" s="287"/>
      <c r="Q17" s="287"/>
      <c r="R17" s="101"/>
      <c r="S17" s="101"/>
      <c r="T17" s="101"/>
      <c r="U17" s="303"/>
    </row>
    <row r="18" spans="1:21" x14ac:dyDescent="0.3">
      <c r="A18" s="291"/>
      <c r="B18" s="291"/>
      <c r="C18" s="294" t="s">
        <v>129</v>
      </c>
      <c r="D18" s="294" t="s">
        <v>130</v>
      </c>
      <c r="E18" s="294" t="s">
        <v>3</v>
      </c>
      <c r="F18" s="305" t="s">
        <v>129</v>
      </c>
      <c r="G18" s="305"/>
      <c r="H18" s="305" t="s">
        <v>130</v>
      </c>
      <c r="I18" s="305"/>
      <c r="J18" s="305" t="s">
        <v>3</v>
      </c>
      <c r="K18" s="305"/>
      <c r="L18" s="287" t="s">
        <v>129</v>
      </c>
      <c r="M18" s="287"/>
      <c r="N18" s="287" t="s">
        <v>130</v>
      </c>
      <c r="O18" s="287"/>
      <c r="P18" s="294" t="s">
        <v>3</v>
      </c>
      <c r="Q18" s="294"/>
      <c r="R18" s="101"/>
      <c r="S18" s="101"/>
      <c r="T18" s="101"/>
      <c r="U18" s="303"/>
    </row>
    <row r="19" spans="1:21" x14ac:dyDescent="0.3">
      <c r="A19" s="291"/>
      <c r="B19" s="291"/>
      <c r="C19" s="294"/>
      <c r="D19" s="294"/>
      <c r="E19" s="294"/>
      <c r="F19" s="305"/>
      <c r="G19" s="305"/>
      <c r="H19" s="305"/>
      <c r="I19" s="305"/>
      <c r="J19" s="305"/>
      <c r="K19" s="305"/>
      <c r="L19" s="287"/>
      <c r="M19" s="287"/>
      <c r="N19" s="287"/>
      <c r="O19" s="287"/>
      <c r="P19" s="294"/>
      <c r="Q19" s="294"/>
      <c r="R19" s="101"/>
      <c r="S19" s="101"/>
      <c r="T19" s="101"/>
      <c r="U19" s="303"/>
    </row>
    <row r="20" spans="1:21" ht="15" customHeight="1" x14ac:dyDescent="0.3">
      <c r="A20" s="287" t="s">
        <v>131</v>
      </c>
      <c r="B20" s="287"/>
      <c r="C20" s="292"/>
      <c r="D20" s="292"/>
      <c r="E20" s="275">
        <f>C20+D20</f>
        <v>0</v>
      </c>
      <c r="F20" s="289"/>
      <c r="G20" s="289"/>
      <c r="H20" s="290"/>
      <c r="I20" s="290"/>
      <c r="J20" s="288">
        <f>F20+H20</f>
        <v>0</v>
      </c>
      <c r="K20" s="288"/>
      <c r="L20" s="275">
        <f>C20+F20</f>
        <v>0</v>
      </c>
      <c r="M20" s="275"/>
      <c r="N20" s="275">
        <f>D20+H20</f>
        <v>0</v>
      </c>
      <c r="O20" s="275"/>
      <c r="P20" s="275">
        <f>L20+N20</f>
        <v>0</v>
      </c>
      <c r="Q20" s="275"/>
      <c r="R20" s="101"/>
      <c r="S20" s="101"/>
      <c r="T20" s="101"/>
      <c r="U20" s="304"/>
    </row>
    <row r="21" spans="1:21" ht="15" customHeight="1" x14ac:dyDescent="0.3">
      <c r="A21" s="287"/>
      <c r="B21" s="287"/>
      <c r="C21" s="292"/>
      <c r="D21" s="292"/>
      <c r="E21" s="275"/>
      <c r="F21" s="289"/>
      <c r="G21" s="289"/>
      <c r="H21" s="290"/>
      <c r="I21" s="290"/>
      <c r="J21" s="288"/>
      <c r="K21" s="288"/>
      <c r="L21" s="275"/>
      <c r="M21" s="275"/>
      <c r="N21" s="275"/>
      <c r="O21" s="275"/>
      <c r="P21" s="275"/>
      <c r="Q21" s="275"/>
      <c r="R21" s="101"/>
      <c r="S21" s="101"/>
      <c r="T21" s="101"/>
      <c r="U21" s="304"/>
    </row>
    <row r="22" spans="1:21" ht="15" customHeight="1" x14ac:dyDescent="0.3">
      <c r="A22" s="287"/>
      <c r="B22" s="287"/>
      <c r="C22" s="292"/>
      <c r="D22" s="292"/>
      <c r="E22" s="275"/>
      <c r="F22" s="289"/>
      <c r="G22" s="289"/>
      <c r="H22" s="290"/>
      <c r="I22" s="290"/>
      <c r="J22" s="288"/>
      <c r="K22" s="288"/>
      <c r="L22" s="275"/>
      <c r="M22" s="275"/>
      <c r="N22" s="275"/>
      <c r="O22" s="275"/>
      <c r="P22" s="275"/>
      <c r="Q22" s="275"/>
      <c r="R22" s="101"/>
      <c r="S22" s="101"/>
      <c r="T22" s="101"/>
      <c r="U22" s="304"/>
    </row>
    <row r="23" spans="1:21" ht="15.6" x14ac:dyDescent="0.3">
      <c r="A23" s="287" t="s">
        <v>132</v>
      </c>
      <c r="B23" s="287"/>
      <c r="C23" s="292"/>
      <c r="D23" s="292"/>
      <c r="E23" s="275">
        <f t="shared" ref="E23" si="0">C23+D23</f>
        <v>0</v>
      </c>
      <c r="F23" s="289"/>
      <c r="G23" s="289"/>
      <c r="H23" s="290"/>
      <c r="I23" s="290"/>
      <c r="J23" s="288">
        <f t="shared" ref="J23" si="1">F23+H23</f>
        <v>0</v>
      </c>
      <c r="K23" s="288"/>
      <c r="L23" s="275">
        <f t="shared" ref="L23" si="2">C23+F23</f>
        <v>0</v>
      </c>
      <c r="M23" s="275"/>
      <c r="N23" s="275">
        <f t="shared" ref="N23" si="3">D23+H23</f>
        <v>0</v>
      </c>
      <c r="O23" s="275"/>
      <c r="P23" s="275">
        <f t="shared" ref="P23" si="4">L23+N23</f>
        <v>0</v>
      </c>
      <c r="Q23" s="275"/>
      <c r="R23" s="101"/>
      <c r="S23" s="101"/>
      <c r="T23" s="101"/>
      <c r="U23" s="134"/>
    </row>
    <row r="24" spans="1:21" ht="15.6" x14ac:dyDescent="0.3">
      <c r="A24" s="287"/>
      <c r="B24" s="287"/>
      <c r="C24" s="292"/>
      <c r="D24" s="292"/>
      <c r="E24" s="275"/>
      <c r="F24" s="289"/>
      <c r="G24" s="289"/>
      <c r="H24" s="290"/>
      <c r="I24" s="290"/>
      <c r="J24" s="288"/>
      <c r="K24" s="288"/>
      <c r="L24" s="275"/>
      <c r="M24" s="275"/>
      <c r="N24" s="275"/>
      <c r="O24" s="275"/>
      <c r="P24" s="275"/>
      <c r="Q24" s="275"/>
      <c r="R24" s="101"/>
      <c r="S24" s="101"/>
      <c r="T24" s="101"/>
      <c r="U24" s="134"/>
    </row>
    <row r="25" spans="1:21" ht="15.6" x14ac:dyDescent="0.3">
      <c r="A25" s="287"/>
      <c r="B25" s="287"/>
      <c r="C25" s="292"/>
      <c r="D25" s="292"/>
      <c r="E25" s="275"/>
      <c r="F25" s="289"/>
      <c r="G25" s="289"/>
      <c r="H25" s="290"/>
      <c r="I25" s="290"/>
      <c r="J25" s="288"/>
      <c r="K25" s="288"/>
      <c r="L25" s="275"/>
      <c r="M25" s="275"/>
      <c r="N25" s="275"/>
      <c r="O25" s="275"/>
      <c r="P25" s="275"/>
      <c r="Q25" s="275"/>
      <c r="R25" s="101"/>
      <c r="S25" s="101"/>
      <c r="T25" s="101"/>
      <c r="U25" s="134"/>
    </row>
    <row r="26" spans="1:21" ht="15.6" x14ac:dyDescent="0.3">
      <c r="A26" s="287" t="s">
        <v>133</v>
      </c>
      <c r="B26" s="287"/>
      <c r="C26" s="292"/>
      <c r="D26" s="292"/>
      <c r="E26" s="275">
        <f t="shared" ref="E26" si="5">C26+D26</f>
        <v>0</v>
      </c>
      <c r="F26" s="289"/>
      <c r="G26" s="289"/>
      <c r="H26" s="290"/>
      <c r="I26" s="290"/>
      <c r="J26" s="288">
        <f t="shared" ref="J26" si="6">F26+H26</f>
        <v>0</v>
      </c>
      <c r="K26" s="288"/>
      <c r="L26" s="275">
        <f t="shared" ref="L26" si="7">C26+F26</f>
        <v>0</v>
      </c>
      <c r="M26" s="275"/>
      <c r="N26" s="275">
        <f t="shared" ref="N26" si="8">D26+H26</f>
        <v>0</v>
      </c>
      <c r="O26" s="275"/>
      <c r="P26" s="275">
        <f t="shared" ref="P26" si="9">L26+N26</f>
        <v>0</v>
      </c>
      <c r="Q26" s="275"/>
      <c r="R26" s="125"/>
      <c r="S26" s="135"/>
      <c r="T26" s="135"/>
      <c r="U26" s="134"/>
    </row>
    <row r="27" spans="1:21" ht="15.6" x14ac:dyDescent="0.3">
      <c r="A27" s="287"/>
      <c r="B27" s="287"/>
      <c r="C27" s="292"/>
      <c r="D27" s="292"/>
      <c r="E27" s="275"/>
      <c r="F27" s="289"/>
      <c r="G27" s="289"/>
      <c r="H27" s="290"/>
      <c r="I27" s="290"/>
      <c r="J27" s="288"/>
      <c r="K27" s="288"/>
      <c r="L27" s="275"/>
      <c r="M27" s="275"/>
      <c r="N27" s="275"/>
      <c r="O27" s="275"/>
      <c r="P27" s="275"/>
      <c r="Q27" s="275"/>
      <c r="R27" s="125"/>
      <c r="S27" s="135"/>
      <c r="T27" s="135"/>
      <c r="U27" s="134"/>
    </row>
    <row r="28" spans="1:21" ht="15.6" x14ac:dyDescent="0.3">
      <c r="A28" s="287"/>
      <c r="B28" s="287"/>
      <c r="C28" s="292"/>
      <c r="D28" s="292"/>
      <c r="E28" s="275"/>
      <c r="F28" s="289"/>
      <c r="G28" s="289"/>
      <c r="H28" s="290"/>
      <c r="I28" s="290"/>
      <c r="J28" s="288"/>
      <c r="K28" s="288"/>
      <c r="L28" s="275"/>
      <c r="M28" s="275"/>
      <c r="N28" s="275"/>
      <c r="O28" s="275"/>
      <c r="P28" s="275"/>
      <c r="Q28" s="275"/>
      <c r="R28" s="125"/>
      <c r="S28" s="135"/>
      <c r="T28" s="135"/>
      <c r="U28" s="134"/>
    </row>
    <row r="29" spans="1:21" ht="15.6" x14ac:dyDescent="0.3">
      <c r="A29" s="125"/>
      <c r="B29" s="125"/>
      <c r="C29" s="125"/>
      <c r="D29" s="125"/>
      <c r="E29" s="121"/>
      <c r="F29" s="135"/>
      <c r="G29" s="135"/>
      <c r="H29" s="121"/>
      <c r="I29" s="121"/>
      <c r="J29" s="135"/>
      <c r="K29" s="135"/>
      <c r="L29" s="121"/>
      <c r="M29" s="121"/>
      <c r="N29" s="121"/>
      <c r="O29" s="121"/>
      <c r="P29" s="121"/>
      <c r="Q29" s="121"/>
      <c r="R29" s="125"/>
      <c r="S29" s="135"/>
      <c r="T29" s="135"/>
      <c r="U29" s="134"/>
    </row>
    <row r="30" spans="1:21" ht="16.8" x14ac:dyDescent="0.3">
      <c r="A30" s="103"/>
      <c r="B30" s="103"/>
      <c r="C30" s="103"/>
      <c r="D30" s="103"/>
      <c r="E30" s="101"/>
      <c r="F30" s="101"/>
      <c r="G30" s="101"/>
      <c r="H30" s="105" t="s">
        <v>134</v>
      </c>
      <c r="I30" s="106"/>
      <c r="J30" s="106"/>
      <c r="K30" s="106"/>
      <c r="L30" s="106"/>
      <c r="M30" s="310"/>
      <c r="N30" s="310"/>
      <c r="O30" s="310"/>
      <c r="P30" s="310"/>
      <c r="Q30" s="310"/>
      <c r="R30" s="310"/>
      <c r="S30" s="310"/>
      <c r="T30" s="101"/>
      <c r="U30" s="101"/>
    </row>
    <row r="31" spans="1:21" ht="16.8" x14ac:dyDescent="0.3">
      <c r="A31" s="120"/>
      <c r="B31" s="120"/>
      <c r="C31" s="120"/>
      <c r="D31" s="120"/>
      <c r="E31" s="126"/>
      <c r="F31" s="126"/>
      <c r="G31" s="127"/>
      <c r="H31" s="105" t="s">
        <v>59</v>
      </c>
      <c r="I31" s="313"/>
      <c r="J31" s="313"/>
      <c r="K31" s="313"/>
      <c r="L31" s="313"/>
      <c r="M31" s="101"/>
      <c r="N31" s="119" t="s">
        <v>60</v>
      </c>
      <c r="O31" s="311"/>
      <c r="P31" s="311"/>
      <c r="Q31" s="311"/>
    </row>
    <row r="32" spans="1:21" ht="16.8" x14ac:dyDescent="0.3">
      <c r="A32" s="128"/>
      <c r="B32" s="122"/>
      <c r="C32" s="122"/>
      <c r="D32" s="122"/>
      <c r="E32" s="127"/>
      <c r="F32" s="127"/>
      <c r="G32" s="129"/>
      <c r="H32" s="105" t="s">
        <v>61</v>
      </c>
      <c r="I32" s="312"/>
      <c r="J32" s="312"/>
      <c r="K32" s="312"/>
      <c r="L32" s="312"/>
      <c r="M32" s="312"/>
      <c r="N32" s="101"/>
      <c r="O32" s="101"/>
      <c r="P32" s="101"/>
      <c r="Q32" s="101"/>
    </row>
    <row r="33" spans="1:17" ht="15.6" x14ac:dyDescent="0.3">
      <c r="A33" s="128"/>
      <c r="B33" s="122"/>
      <c r="C33" s="122"/>
      <c r="D33" s="122"/>
      <c r="E33" s="127"/>
      <c r="F33" s="127"/>
      <c r="G33" s="129"/>
      <c r="H33" s="129"/>
      <c r="I33" s="101"/>
      <c r="J33" s="101"/>
      <c r="K33" s="101"/>
      <c r="L33" s="101"/>
      <c r="M33" s="101"/>
      <c r="N33" s="101"/>
      <c r="O33" s="101"/>
      <c r="P33" s="101"/>
      <c r="Q33" s="101"/>
    </row>
  </sheetData>
  <mergeCells count="72">
    <mergeCell ref="I32:M32"/>
    <mergeCell ref="I31:L31"/>
    <mergeCell ref="H23:I25"/>
    <mergeCell ref="J26:K28"/>
    <mergeCell ref="H20:I22"/>
    <mergeCell ref="A1:O1"/>
    <mergeCell ref="P1:S1"/>
    <mergeCell ref="D14:E14"/>
    <mergeCell ref="M30:S30"/>
    <mergeCell ref="O31:Q31"/>
    <mergeCell ref="E20:E22"/>
    <mergeCell ref="A20:B22"/>
    <mergeCell ref="C23:C25"/>
    <mergeCell ref="D23:D25"/>
    <mergeCell ref="E23:E25"/>
    <mergeCell ref="F23:G25"/>
    <mergeCell ref="A26:B28"/>
    <mergeCell ref="C26:C28"/>
    <mergeCell ref="D26:D28"/>
    <mergeCell ref="E26:E28"/>
    <mergeCell ref="A23:B25"/>
    <mergeCell ref="A5:U5"/>
    <mergeCell ref="A2:U2"/>
    <mergeCell ref="A3:R3"/>
    <mergeCell ref="N7:O7"/>
    <mergeCell ref="C7:G7"/>
    <mergeCell ref="U17:U19"/>
    <mergeCell ref="U20:U22"/>
    <mergeCell ref="J23:K25"/>
    <mergeCell ref="F18:G19"/>
    <mergeCell ref="H18:I19"/>
    <mergeCell ref="J18:K19"/>
    <mergeCell ref="F17:K17"/>
    <mergeCell ref="L18:M19"/>
    <mergeCell ref="L17:Q17"/>
    <mergeCell ref="P18:Q19"/>
    <mergeCell ref="L20:M22"/>
    <mergeCell ref="L23:M25"/>
    <mergeCell ref="N20:O22"/>
    <mergeCell ref="N23:O25"/>
    <mergeCell ref="P20:Q22"/>
    <mergeCell ref="P23:Q25"/>
    <mergeCell ref="N8:S8"/>
    <mergeCell ref="M9:S9"/>
    <mergeCell ref="M10:N10"/>
    <mergeCell ref="K11:L11"/>
    <mergeCell ref="Q11:S11"/>
    <mergeCell ref="C8:G8"/>
    <mergeCell ref="C17:E17"/>
    <mergeCell ref="C18:C19"/>
    <mergeCell ref="D18:D19"/>
    <mergeCell ref="E18:E19"/>
    <mergeCell ref="C9:G9"/>
    <mergeCell ref="B13:C13"/>
    <mergeCell ref="D13:E13"/>
    <mergeCell ref="B14:C14"/>
    <mergeCell ref="A13:A14"/>
    <mergeCell ref="L26:M28"/>
    <mergeCell ref="N26:O28"/>
    <mergeCell ref="P26:Q28"/>
    <mergeCell ref="H13:K14"/>
    <mergeCell ref="L13:N13"/>
    <mergeCell ref="O13:P13"/>
    <mergeCell ref="O14:P14"/>
    <mergeCell ref="N18:O19"/>
    <mergeCell ref="J20:K22"/>
    <mergeCell ref="F26:G28"/>
    <mergeCell ref="H26:I28"/>
    <mergeCell ref="A17:B19"/>
    <mergeCell ref="C20:C22"/>
    <mergeCell ref="D20:D22"/>
    <mergeCell ref="F20:G2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DR-TB 10A</vt:lpstr>
      <vt:lpstr>DR-TB 10B</vt:lpstr>
      <vt:lpstr>COVID19 Reporting Form</vt:lpstr>
      <vt:lpstr>'DR-TB 10A'!Print_Area</vt:lpstr>
      <vt:lpstr>'DR-TB 10B'!Print_Area</vt:lpstr>
      <vt:lpstr>'DR-TB 10B'!Print_Titles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monem</dc:creator>
  <cp:lastModifiedBy>Ruslan</cp:lastModifiedBy>
  <cp:lastPrinted>2020-01-20T04:26:59Z</cp:lastPrinted>
  <dcterms:created xsi:type="dcterms:W3CDTF">2014-06-08T20:03:38Z</dcterms:created>
  <dcterms:modified xsi:type="dcterms:W3CDTF">2022-01-06T10:55:13Z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ace0cfaf-88fe-40f2-9b4f-6efcc2d937a8</vt:lpwstr>
  </property>
</Properties>
</file>