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ults" sheetId="1" r:id="rId4"/>
    <sheet state="visible" name="Jan" sheetId="2" r:id="rId5"/>
    <sheet state="visible" name="Feb" sheetId="3" r:id="rId6"/>
    <sheet state="visible" name="Mar" sheetId="4" r:id="rId7"/>
    <sheet state="visible" name="Q1" sheetId="5" r:id="rId8"/>
    <sheet state="visible" name="Apr" sheetId="6" r:id="rId9"/>
    <sheet state="visible" name="May" sheetId="7" r:id="rId10"/>
    <sheet state="visible" name="Jun" sheetId="8" r:id="rId11"/>
    <sheet state="visible" name="Q2" sheetId="9" r:id="rId12"/>
    <sheet state="visible" name="Jul" sheetId="10" r:id="rId13"/>
    <sheet state="visible" name="Aug" sheetId="11" r:id="rId14"/>
    <sheet state="visible" name="Sep" sheetId="12" r:id="rId15"/>
    <sheet state="visible" name="Q3" sheetId="13" r:id="rId16"/>
    <sheet state="visible" name="Oct" sheetId="14" r:id="rId17"/>
    <sheet state="visible" name="Nov" sheetId="15" r:id="rId18"/>
    <sheet state="visible" name="Dec" sheetId="16" r:id="rId19"/>
    <sheet state="visible" name="Q4" sheetId="17" r:id="rId20"/>
    <sheet state="visible" name="Annual" sheetId="18" r:id="rId21"/>
  </sheets>
  <definedNames>
    <definedName name="GeneDate">Results!$E$1:$E$17245</definedName>
    <definedName name="GeneLab">Results!$D$1:$D$17245</definedName>
    <definedName name="GeneMTB">Results!$F$1:$F$17245</definedName>
    <definedName name="GeneAge">Results!$J$1:$J$17245</definedName>
    <definedName name="GeneHIV">Results!$H$1:$H$17245</definedName>
    <definedName name="GeneRif">Results!$G$1:$G$17245</definedName>
    <definedName name="GeneDeployment">Results!$D$1:$D$17245</definedName>
    <definedName name="GeneSex">Results!$I$1:$I$17245</definedName>
  </definedNames>
  <calcPr/>
</workbook>
</file>

<file path=xl/sharedStrings.xml><?xml version="1.0" encoding="utf-8"?>
<sst xmlns="http://schemas.openxmlformats.org/spreadsheetml/2006/main" count="1533" uniqueCount="115">
  <si>
    <t>&lt;Table&gt;</t>
  </si>
  <si>
    <t>#</t>
  </si>
  <si>
    <t>Patient ID</t>
  </si>
  <si>
    <t>Sample ID</t>
  </si>
  <si>
    <t>Device</t>
  </si>
  <si>
    <t>Test Date</t>
  </si>
  <si>
    <t>MTB</t>
  </si>
  <si>
    <t>Rif</t>
  </si>
  <si>
    <t>HIV</t>
  </si>
  <si>
    <t>Gender</t>
  </si>
  <si>
    <t>Age</t>
  </si>
  <si>
    <t>Previously Treated for TB</t>
  </si>
  <si>
    <t>Microscopy Result</t>
  </si>
  <si>
    <t>Patient City</t>
  </si>
  <si>
    <t>Treatment Unit</t>
  </si>
  <si>
    <t>Test Reason</t>
  </si>
  <si>
    <t>CXR Abnormalities</t>
  </si>
  <si>
    <t>Error Code</t>
  </si>
  <si>
    <t>Error Notes</t>
  </si>
  <si>
    <t>Test Notes</t>
  </si>
  <si>
    <t>&lt;#&gt;</t>
  </si>
  <si>
    <t>&lt;patientId&gt;</t>
  </si>
  <si>
    <t>&lt;sampleId&gt;</t>
  </si>
  <si>
    <t>&lt;deviceName&gt;</t>
  </si>
  <si>
    <t>&lt;testDate&gt;</t>
  </si>
  <si>
    <t>&lt;result1&gt;</t>
  </si>
  <si>
    <t>&lt;result2&gt;</t>
  </si>
  <si>
    <t>&lt;hivStatus&gt;</t>
  </si>
  <si>
    <t>&lt;gender&gt;</t>
  </si>
  <si>
    <t>&lt;patientAgeYears&gt;</t>
  </si>
  <si>
    <t>&lt;previouslyTreated&gt;</t>
  </si>
  <si>
    <t>&lt;microscopyResult&gt;</t>
  </si>
  <si>
    <t>&lt;patientCity&gt;</t>
  </si>
  <si>
    <t>&lt;tag&gt;</t>
  </si>
  <si>
    <t>&lt;testReason&gt;</t>
  </si>
  <si>
    <t>&lt;errorCode&gt;</t>
  </si>
  <si>
    <t>&lt;errorNotes&gt;</t>
  </si>
  <si>
    <t>&lt;notes&gt;</t>
  </si>
  <si>
    <t>GeneXpert MTB/RIF Testing Report</t>
  </si>
  <si>
    <t>DD/MM/YYYY</t>
  </si>
  <si>
    <t>Report Start Date</t>
  </si>
  <si>
    <t xml:space="preserve">Monthly report for the month of </t>
  </si>
  <si>
    <t>January</t>
  </si>
  <si>
    <t>Year</t>
  </si>
  <si>
    <t>Report End Date</t>
  </si>
  <si>
    <t>Reporting Unit</t>
  </si>
  <si>
    <t>1. Age and sex distribution of tested patients</t>
  </si>
  <si>
    <t>Male</t>
  </si>
  <si>
    <t>Female</t>
  </si>
  <si>
    <t>Total</t>
  </si>
  <si>
    <t>&lt;15</t>
  </si>
  <si>
    <t>&gt;=15</t>
  </si>
  <si>
    <t>2. Test results and previous history of TB</t>
  </si>
  <si>
    <t>New</t>
  </si>
  <si>
    <t>Retreatment</t>
  </si>
  <si>
    <t>Unknown</t>
  </si>
  <si>
    <t>Sputum microscopy</t>
  </si>
  <si>
    <t>AFB (Positive)</t>
  </si>
  <si>
    <t>AFB (Negative)</t>
  </si>
  <si>
    <t>Not Done</t>
  </si>
  <si>
    <t>Xpert MTB/RIF</t>
  </si>
  <si>
    <t>Negative</t>
  </si>
  <si>
    <t>TB with NO RIF- Resistance</t>
  </si>
  <si>
    <t>TB with RIF- Resistance</t>
  </si>
  <si>
    <t>TB with RIF- Indeterminate</t>
  </si>
  <si>
    <t>TB Trace with RIF- Indeterminate</t>
  </si>
  <si>
    <t>3. Test results and HIV status</t>
  </si>
  <si>
    <t>HIV
(+)</t>
  </si>
  <si>
    <t>HIV
(-)</t>
  </si>
  <si>
    <t>4. Test results and Test reason</t>
  </si>
  <si>
    <t>Dx</t>
  </si>
  <si>
    <t>Fu</t>
  </si>
  <si>
    <t>MDR</t>
  </si>
  <si>
    <t>DM</t>
  </si>
  <si>
    <t>Na</t>
  </si>
  <si>
    <t>TB - Trace with RIF- Indeterminate</t>
  </si>
  <si>
    <t>5. TB with Rif-Resistance detected</t>
  </si>
  <si>
    <t>6. Compare with sputum microscopy</t>
  </si>
  <si>
    <t>Xpert Positive</t>
  </si>
  <si>
    <t>Xpert Negative</t>
  </si>
  <si>
    <t>Microscopy AFB (Positive)</t>
  </si>
  <si>
    <t/>
  </si>
  <si>
    <t>Microscopy AFB (Negative)</t>
  </si>
  <si>
    <t>Microscopy AFB (Not Done)</t>
  </si>
  <si>
    <t>7. Compare with CXR abnormalities</t>
  </si>
  <si>
    <t>8. Test kit Balance</t>
  </si>
  <si>
    <t>Amount</t>
  </si>
  <si>
    <t>Expire date</t>
  </si>
  <si>
    <t>Opening balance</t>
  </si>
  <si>
    <t>Received during this month</t>
  </si>
  <si>
    <t>Used</t>
  </si>
  <si>
    <t>Closing balance</t>
  </si>
  <si>
    <t>Remark : Error and Invalid result Cartridge</t>
  </si>
  <si>
    <t xml:space="preserve">                   No Results or Damaged Cartridge</t>
  </si>
  <si>
    <t xml:space="preserve">Sign                      </t>
  </si>
  <si>
    <t xml:space="preserve">Name                  </t>
  </si>
  <si>
    <t xml:space="preserve">Designation       </t>
  </si>
  <si>
    <t xml:space="preserve">Date                      </t>
  </si>
  <si>
    <t>February</t>
  </si>
  <si>
    <t>March</t>
  </si>
  <si>
    <t>Reporting Period</t>
  </si>
  <si>
    <t>1st Quarter</t>
  </si>
  <si>
    <t>April</t>
  </si>
  <si>
    <t>May</t>
  </si>
  <si>
    <t>June</t>
  </si>
  <si>
    <t>2nd Quarter</t>
  </si>
  <si>
    <t>July</t>
  </si>
  <si>
    <t>August</t>
  </si>
  <si>
    <t>September</t>
  </si>
  <si>
    <t>3rd Quarter</t>
  </si>
  <si>
    <t>October</t>
  </si>
  <si>
    <t>November</t>
  </si>
  <si>
    <t>December</t>
  </si>
  <si>
    <t>4th Quarter</t>
  </si>
  <si>
    <t>Annual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</si>
</sst>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d\-mm\-yy"/>
    <numFmt numFmtId="165" formatCode="[$-10455]dd\-mm\-yyyy"/>
  </numFmts>
  <fonts count="9">
    <font>
      <sz val="12.0"/>
      <color theme="1"/>
      <name val="Calibri"/>
      <scheme val="minor"/>
    </font>
    <font>
      <sz val="12.0"/>
      <color theme="1"/>
      <name val="Calibri"/>
    </font>
    <font>
      <b/>
      <sz val="12.0"/>
      <color theme="1"/>
      <name val="Calibri"/>
    </font>
    <font>
      <b/>
      <sz val="14.0"/>
      <color theme="1"/>
      <name val="Calibri"/>
    </font>
    <font>
      <sz val="11.0"/>
      <color theme="1"/>
      <name val="Calibri"/>
    </font>
    <font>
      <b/>
      <sz val="11.0"/>
      <color theme="1"/>
      <name val="Calibri"/>
    </font>
    <font/>
    <font>
      <b/>
      <sz val="11.0"/>
      <color rgb="FFFF0000"/>
      <name val="Calibri"/>
    </font>
    <font>
      <u/>
      <sz val="11.0"/>
      <color theme="1"/>
      <name val="Calibri"/>
    </font>
  </fonts>
  <fills count="5">
    <fill>
      <patternFill patternType="none"/>
    </fill>
    <fill>
      <patternFill patternType="lightGray"/>
    </fill>
    <fill>
      <patternFill patternType="solid">
        <fgColor rgb="FFFEF2CB"/>
        <bgColor rgb="FFFEF2CB"/>
      </patternFill>
    </fill>
    <fill>
      <patternFill patternType="solid">
        <fgColor rgb="FFD8D8D8"/>
        <bgColor rgb="FFD8D8D8"/>
      </patternFill>
    </fill>
    <fill>
      <patternFill patternType="solid">
        <fgColor rgb="FFFFFFFF"/>
        <bgColor rgb="FFFFFFFF"/>
      </patternFill>
    </fill>
  </fills>
  <borders count="15">
    <border/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bottom style="thin">
        <color rgb="FF000000"/>
      </bottom>
    </border>
    <border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6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/>
    </xf>
    <xf borderId="0" fillId="0" fontId="1" numFmtId="0" xfId="0" applyFont="1"/>
    <xf borderId="0" fillId="0" fontId="1" numFmtId="164" xfId="0" applyFont="1" applyNumberFormat="1"/>
    <xf borderId="0" fillId="0" fontId="1" numFmtId="0" xfId="0" applyAlignment="1" applyFont="1">
      <alignment horizontal="center"/>
    </xf>
    <xf borderId="1" fillId="2" fontId="2" numFmtId="0" xfId="0" applyAlignment="1" applyBorder="1" applyFill="1" applyFont="1">
      <alignment horizontal="center" vertical="center"/>
    </xf>
    <xf borderId="2" fillId="2" fontId="2" numFmtId="0" xfId="0" applyAlignment="1" applyBorder="1" applyFont="1">
      <alignment horizontal="center" vertical="center"/>
    </xf>
    <xf borderId="2" fillId="2" fontId="2" numFmtId="0" xfId="0" applyAlignment="1" applyBorder="1" applyFont="1">
      <alignment horizontal="center" shrinkToFit="0" vertical="center" wrapText="1"/>
    </xf>
    <xf borderId="2" fillId="2" fontId="2" numFmtId="164" xfId="0" applyAlignment="1" applyBorder="1" applyFont="1" applyNumberFormat="1">
      <alignment horizontal="center" vertical="center"/>
    </xf>
    <xf borderId="3" fillId="0" fontId="1" numFmtId="0" xfId="0" applyAlignment="1" applyBorder="1" applyFont="1">
      <alignment horizontal="center"/>
    </xf>
    <xf borderId="4" fillId="0" fontId="1" numFmtId="0" xfId="0" applyBorder="1" applyFont="1"/>
    <xf borderId="4" fillId="0" fontId="1" numFmtId="164" xfId="0" applyBorder="1" applyFont="1" applyNumberFormat="1"/>
    <xf borderId="4" fillId="0" fontId="1" numFmtId="1" xfId="0" applyAlignment="1" applyBorder="1" applyFont="1" applyNumberFormat="1">
      <alignment horizontal="center"/>
    </xf>
    <xf borderId="4" fillId="0" fontId="1" numFmtId="1" xfId="0" applyBorder="1" applyFont="1" applyNumberFormat="1"/>
    <xf borderId="0" fillId="0" fontId="3" numFmtId="0" xfId="0" applyAlignment="1" applyFont="1">
      <alignment horizontal="center"/>
    </xf>
    <xf borderId="0" fillId="0" fontId="4" numFmtId="0" xfId="0" applyFont="1"/>
    <xf borderId="5" fillId="3" fontId="4" numFmtId="0" xfId="0" applyAlignment="1" applyBorder="1" applyFill="1" applyFont="1">
      <alignment horizontal="right"/>
    </xf>
    <xf borderId="5" fillId="3" fontId="5" numFmtId="0" xfId="0" applyBorder="1" applyFont="1"/>
    <xf borderId="4" fillId="0" fontId="5" numFmtId="165" xfId="0" applyBorder="1" applyFont="1" applyNumberFormat="1"/>
    <xf borderId="0" fillId="0" fontId="4" numFmtId="16" xfId="0" applyFont="1" applyNumberFormat="1"/>
    <xf borderId="0" fillId="0" fontId="5" numFmtId="0" xfId="0" applyFont="1"/>
    <xf borderId="0" fillId="0" fontId="4" numFmtId="14" xfId="0" applyFont="1" applyNumberFormat="1"/>
    <xf borderId="6" fillId="0" fontId="4" numFmtId="0" xfId="0" applyAlignment="1" applyBorder="1" applyFont="1">
      <alignment horizontal="center"/>
    </xf>
    <xf borderId="7" fillId="0" fontId="4" numFmtId="0" xfId="0" applyAlignment="1" applyBorder="1" applyFont="1">
      <alignment horizontal="center"/>
    </xf>
    <xf borderId="8" fillId="0" fontId="6" numFmtId="0" xfId="0" applyBorder="1" applyFont="1"/>
    <xf borderId="6" fillId="0" fontId="4" numFmtId="0" xfId="0" applyAlignment="1" applyBorder="1" applyFont="1">
      <alignment horizontal="center" vertical="center"/>
    </xf>
    <xf borderId="9" fillId="0" fontId="6" numFmtId="0" xfId="0" applyBorder="1" applyFont="1"/>
    <xf borderId="4" fillId="0" fontId="4" numFmtId="0" xfId="0" applyAlignment="1" applyBorder="1" applyFont="1">
      <alignment horizontal="center" vertical="center"/>
    </xf>
    <xf borderId="4" fillId="0" fontId="4" numFmtId="0" xfId="0" applyBorder="1" applyFont="1"/>
    <xf borderId="4" fillId="0" fontId="4" numFmtId="0" xfId="0" applyAlignment="1" applyBorder="1" applyFont="1">
      <alignment horizontal="center"/>
    </xf>
    <xf borderId="6" fillId="0" fontId="4" numFmtId="0" xfId="0" applyAlignment="1" applyBorder="1" applyFont="1">
      <alignment horizontal="center" shrinkToFit="0" vertical="center" wrapText="1"/>
    </xf>
    <xf borderId="10" fillId="0" fontId="4" numFmtId="0" xfId="0" applyAlignment="1" applyBorder="1" applyFont="1">
      <alignment horizontal="center" shrinkToFit="0" vertical="center" wrapText="1"/>
    </xf>
    <xf borderId="11" fillId="0" fontId="6" numFmtId="0" xfId="0" applyBorder="1" applyFont="1"/>
    <xf borderId="10" fillId="0" fontId="6" numFmtId="0" xfId="0" applyBorder="1" applyFont="1"/>
    <xf borderId="4" fillId="0" fontId="4" numFmtId="0" xfId="0" applyAlignment="1" applyBorder="1" applyFont="1">
      <alignment horizontal="center" shrinkToFit="0" vertical="center" wrapText="1"/>
    </xf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4" fillId="4" fontId="1" numFmtId="0" xfId="0" applyAlignment="1" applyBorder="1" applyFill="1" applyFont="1">
      <alignment vertical="bottom"/>
    </xf>
    <xf borderId="4" fillId="4" fontId="4" numFmtId="0" xfId="0" applyAlignment="1" applyBorder="1" applyFont="1">
      <alignment horizontal="center" shrinkToFit="0" vertical="bottom" wrapText="1"/>
    </xf>
    <xf borderId="4" fillId="4" fontId="4" numFmtId="0" xfId="0" applyAlignment="1" applyBorder="1" applyFont="1">
      <alignment horizontal="center" vertical="bottom"/>
    </xf>
    <xf borderId="5" fillId="4" fontId="1" numFmtId="0" xfId="0" applyAlignment="1" applyBorder="1" applyFont="1">
      <alignment vertical="bottom"/>
    </xf>
    <xf borderId="6" fillId="4" fontId="4" numFmtId="0" xfId="0" applyAlignment="1" applyBorder="1" applyFont="1">
      <alignment horizontal="center" vertical="center"/>
    </xf>
    <xf borderId="4" fillId="4" fontId="4" numFmtId="0" xfId="0" applyAlignment="1" applyBorder="1" applyFont="1">
      <alignment vertical="bottom"/>
    </xf>
    <xf borderId="4" fillId="4" fontId="1" numFmtId="0" xfId="0" applyAlignment="1" applyBorder="1" applyFont="1">
      <alignment horizontal="right" vertical="bottom"/>
    </xf>
    <xf borderId="7" fillId="0" fontId="4" numFmtId="0" xfId="0" applyAlignment="1" applyBorder="1" applyFont="1">
      <alignment horizontal="left"/>
    </xf>
    <xf borderId="8" fillId="0" fontId="4" numFmtId="0" xfId="0" applyAlignment="1" applyBorder="1" applyFont="1">
      <alignment horizontal="left"/>
    </xf>
    <xf borderId="7" fillId="4" fontId="4" numFmtId="0" xfId="0" applyAlignment="1" applyBorder="1" applyFont="1">
      <alignment horizontal="center" vertical="bottom"/>
    </xf>
    <xf borderId="12" fillId="4" fontId="4" numFmtId="0" xfId="0" applyAlignment="1" applyBorder="1" applyFont="1">
      <alignment horizontal="center" vertical="bottom"/>
    </xf>
    <xf borderId="7" fillId="4" fontId="1" numFmtId="0" xfId="0" applyAlignment="1" applyBorder="1" applyFont="1">
      <alignment horizontal="right" vertical="bottom"/>
    </xf>
    <xf borderId="4" fillId="4" fontId="4" numFmtId="0" xfId="0" applyAlignment="1" applyBorder="1" applyFont="1">
      <alignment horizontal="right" vertical="bottom"/>
    </xf>
    <xf borderId="0" fillId="0" fontId="7" numFmtId="0" xfId="0" applyFont="1"/>
    <xf borderId="13" fillId="0" fontId="4" numFmtId="0" xfId="0" applyBorder="1" applyFont="1"/>
    <xf borderId="14" fillId="0" fontId="4" numFmtId="0" xfId="0" applyBorder="1" applyFont="1"/>
    <xf borderId="0" fillId="0" fontId="8" numFmtId="0" xfId="0" applyFont="1"/>
    <xf borderId="0" fillId="0" fontId="4" numFmtId="0" xfId="0" applyAlignment="1" applyFont="1">
      <alignment horizontal="right"/>
    </xf>
    <xf borderId="4" fillId="4" fontId="1" numFmtId="0" xfId="0" applyBorder="1" applyFont="1"/>
    <xf borderId="4" fillId="4" fontId="4" numFmtId="0" xfId="0" applyAlignment="1" applyBorder="1" applyFont="1">
      <alignment horizontal="center" shrinkToFit="0" wrapText="1"/>
    </xf>
    <xf borderId="4" fillId="4" fontId="4" numFmtId="0" xfId="0" applyAlignment="1" applyBorder="1" applyFont="1">
      <alignment horizontal="center"/>
    </xf>
    <xf borderId="5" fillId="4" fontId="1" numFmtId="0" xfId="0" applyBorder="1" applyFont="1"/>
    <xf borderId="4" fillId="4" fontId="4" numFmtId="0" xfId="0" applyBorder="1" applyFont="1"/>
    <xf borderId="7" fillId="4" fontId="4" numFmtId="0" xfId="0" applyAlignment="1" applyBorder="1" applyFont="1">
      <alignment horizontal="center"/>
    </xf>
    <xf borderId="12" fillId="4" fontId="4" numFmtId="0" xfId="0" applyAlignment="1" applyBorder="1" applyFont="1">
      <alignment horizontal="center"/>
    </xf>
    <xf borderId="7" fillId="4" fontId="1" numFmtId="0" xfId="0" applyBorder="1" applyFont="1"/>
    <xf borderId="4" fillId="4" fontId="4" numFmtId="0" xfId="0" applyAlignment="1" applyBorder="1" applyFont="1">
      <alignment horizontal="right"/>
    </xf>
  </cellXfs>
  <cellStyles count="1">
    <cellStyle xfId="0" name="Normal" builtinId="0"/>
  </cellStyles>
  <dxfs count="2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4B083"/>
          <bgColor rgb="FFF4B08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21" Type="http://schemas.openxmlformats.org/officeDocument/2006/relationships/worksheet" Target="worksheets/sheet18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19" Type="http://schemas.openxmlformats.org/officeDocument/2006/relationships/worksheet" Target="worksheets/sheet16.xml"/><Relationship Id="rId6" Type="http://schemas.openxmlformats.org/officeDocument/2006/relationships/worksheet" Target="worksheets/sheet3.xml"/><Relationship Id="rId18" Type="http://schemas.openxmlformats.org/officeDocument/2006/relationships/worksheet" Target="worksheets/sheet15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1.22" defaultRowHeight="15.0"/>
  <cols>
    <col customWidth="1" min="1" max="1" width="6.44"/>
    <col customWidth="1" min="2" max="2" width="21.33"/>
    <col customWidth="1" min="3" max="3" width="20.33"/>
    <col customWidth="1" min="4" max="4" width="24.44"/>
    <col customWidth="1" min="5" max="5" width="16.33"/>
    <col customWidth="1" min="6" max="6" width="12.44"/>
    <col customWidth="1" min="7" max="9" width="14.44"/>
    <col customWidth="1" min="10" max="10" width="13.78"/>
    <col customWidth="1" min="11" max="15" width="14.44"/>
    <col customWidth="1" min="16" max="16" width="16.78"/>
    <col customWidth="1" min="17" max="18" width="14.44"/>
    <col customWidth="1" min="19" max="19" width="53.11"/>
  </cols>
  <sheetData>
    <row r="1">
      <c r="A1" s="1" t="s">
        <v>0</v>
      </c>
      <c r="B1" s="2"/>
      <c r="C1" s="2"/>
      <c r="D1" s="2"/>
      <c r="E1" s="3"/>
      <c r="F1" s="2"/>
      <c r="G1" s="2"/>
      <c r="H1" s="2"/>
      <c r="I1" s="2"/>
      <c r="J1" s="4"/>
      <c r="K1" s="2"/>
      <c r="L1" s="2"/>
      <c r="M1" s="2"/>
      <c r="N1" s="2"/>
      <c r="O1" s="2"/>
      <c r="P1" s="2"/>
      <c r="Q1" s="2"/>
      <c r="R1" s="2"/>
      <c r="S1" s="4"/>
    </row>
    <row r="2">
      <c r="A2" s="5" t="s">
        <v>1</v>
      </c>
      <c r="B2" s="6" t="s">
        <v>2</v>
      </c>
      <c r="C2" s="6" t="s">
        <v>3</v>
      </c>
      <c r="D2" s="7" t="s">
        <v>4</v>
      </c>
      <c r="E2" s="8" t="s">
        <v>5</v>
      </c>
      <c r="F2" s="7" t="s">
        <v>6</v>
      </c>
      <c r="G2" s="7" t="s">
        <v>7</v>
      </c>
      <c r="H2" s="7" t="s">
        <v>8</v>
      </c>
      <c r="I2" s="7" t="s">
        <v>9</v>
      </c>
      <c r="J2" s="6" t="s">
        <v>10</v>
      </c>
      <c r="K2" s="7" t="s">
        <v>11</v>
      </c>
      <c r="L2" s="7" t="s">
        <v>12</v>
      </c>
      <c r="M2" s="7" t="s">
        <v>13</v>
      </c>
      <c r="N2" s="7" t="s">
        <v>14</v>
      </c>
      <c r="O2" s="7" t="s">
        <v>15</v>
      </c>
      <c r="P2" s="7" t="s">
        <v>16</v>
      </c>
      <c r="Q2" s="7" t="s">
        <v>17</v>
      </c>
      <c r="R2" s="7" t="s">
        <v>18</v>
      </c>
      <c r="S2" s="6" t="s">
        <v>19</v>
      </c>
    </row>
    <row r="3" ht="15.0" customHeight="1">
      <c r="A3" s="9" t="s">
        <v>20</v>
      </c>
      <c r="B3" s="10" t="s">
        <v>21</v>
      </c>
      <c r="C3" s="10" t="s">
        <v>22</v>
      </c>
      <c r="D3" s="10" t="s">
        <v>23</v>
      </c>
      <c r="E3" s="11" t="s">
        <v>24</v>
      </c>
      <c r="F3" s="10" t="s">
        <v>25</v>
      </c>
      <c r="G3" s="10" t="s">
        <v>26</v>
      </c>
      <c r="H3" s="10" t="s">
        <v>27</v>
      </c>
      <c r="I3" s="10" t="s">
        <v>28</v>
      </c>
      <c r="J3" s="12" t="s">
        <v>29</v>
      </c>
      <c r="K3" s="10" t="s">
        <v>30</v>
      </c>
      <c r="L3" s="10" t="s">
        <v>31</v>
      </c>
      <c r="M3" s="13" t="s">
        <v>32</v>
      </c>
      <c r="N3" s="13" t="s">
        <v>33</v>
      </c>
      <c r="O3" s="10" t="s">
        <v>34</v>
      </c>
      <c r="P3" s="10" t="str">
        <f>IF(ISNUMBER(SEARCH("cxr", S3)), "CXR", "")</f>
        <v/>
      </c>
      <c r="Q3" s="10" t="s">
        <v>35</v>
      </c>
      <c r="R3" s="10" t="s">
        <v>36</v>
      </c>
      <c r="S3" s="10" t="s">
        <v>37</v>
      </c>
    </row>
    <row r="4">
      <c r="E4" s="3"/>
      <c r="J4" s="4"/>
    </row>
    <row r="5">
      <c r="E5" s="3"/>
      <c r="J5" s="4"/>
    </row>
    <row r="6">
      <c r="E6" s="3"/>
      <c r="J6" s="4"/>
    </row>
    <row r="7">
      <c r="E7" s="3"/>
      <c r="J7" s="4"/>
    </row>
    <row r="8">
      <c r="E8" s="3"/>
      <c r="J8" s="4"/>
    </row>
    <row r="9">
      <c r="E9" s="3"/>
      <c r="J9" s="4"/>
    </row>
    <row r="10">
      <c r="E10" s="3"/>
      <c r="J10" s="4"/>
    </row>
    <row r="11">
      <c r="E11" s="3"/>
      <c r="J11" s="4"/>
    </row>
    <row r="12">
      <c r="E12" s="3"/>
      <c r="J12" s="4"/>
    </row>
    <row r="13">
      <c r="E13" s="3"/>
      <c r="J13" s="4"/>
    </row>
    <row r="14">
      <c r="E14" s="3"/>
      <c r="J14" s="4"/>
    </row>
    <row r="15">
      <c r="E15" s="3"/>
      <c r="J15" s="4"/>
    </row>
    <row r="16">
      <c r="E16" s="3"/>
      <c r="J16" s="4"/>
    </row>
    <row r="17">
      <c r="E17" s="3"/>
      <c r="J17" s="4"/>
    </row>
    <row r="18">
      <c r="E18" s="3"/>
      <c r="J18" s="4"/>
    </row>
    <row r="19">
      <c r="E19" s="3"/>
      <c r="J19" s="4"/>
    </row>
    <row r="20">
      <c r="E20" s="3"/>
      <c r="J20" s="4"/>
    </row>
    <row r="21" ht="15.75" customHeight="1">
      <c r="E21" s="3"/>
      <c r="J21" s="4"/>
    </row>
    <row r="22" ht="15.75" customHeight="1">
      <c r="E22" s="3"/>
      <c r="J22" s="4"/>
    </row>
    <row r="23" ht="15.75" customHeight="1">
      <c r="E23" s="3"/>
      <c r="J23" s="4"/>
    </row>
    <row r="24" ht="15.75" customHeight="1">
      <c r="E24" s="3"/>
      <c r="J24" s="4"/>
    </row>
    <row r="25" ht="15.75" customHeight="1">
      <c r="E25" s="3"/>
      <c r="J25" s="4"/>
    </row>
    <row r="26" ht="15.75" customHeight="1">
      <c r="E26" s="3"/>
      <c r="J26" s="4"/>
    </row>
    <row r="27" ht="15.75" customHeight="1">
      <c r="E27" s="3"/>
      <c r="J27" s="4"/>
    </row>
    <row r="28" ht="15.75" customHeight="1">
      <c r="E28" s="3"/>
      <c r="J28" s="4"/>
    </row>
    <row r="29" ht="15.75" customHeight="1">
      <c r="E29" s="3"/>
      <c r="J29" s="4"/>
    </row>
    <row r="30" ht="15.75" customHeight="1">
      <c r="E30" s="3"/>
      <c r="J30" s="4"/>
    </row>
    <row r="31" ht="15.75" customHeight="1">
      <c r="E31" s="3"/>
      <c r="J31" s="4"/>
    </row>
    <row r="32" ht="15.75" customHeight="1">
      <c r="E32" s="3"/>
      <c r="J32" s="4"/>
    </row>
    <row r="33" ht="15.75" customHeight="1">
      <c r="E33" s="3"/>
      <c r="J33" s="4"/>
    </row>
    <row r="34" ht="15.75" customHeight="1">
      <c r="E34" s="3"/>
      <c r="J34" s="4"/>
    </row>
    <row r="35" ht="15.75" customHeight="1">
      <c r="E35" s="3"/>
      <c r="J35" s="4"/>
    </row>
    <row r="36" ht="15.75" customHeight="1">
      <c r="E36" s="3"/>
      <c r="J36" s="4"/>
    </row>
    <row r="37" ht="15.75" customHeight="1">
      <c r="E37" s="3"/>
      <c r="J37" s="4"/>
    </row>
    <row r="38" ht="15.75" customHeight="1">
      <c r="E38" s="3"/>
      <c r="J38" s="4"/>
    </row>
    <row r="39" ht="15.75" customHeight="1">
      <c r="E39" s="3"/>
      <c r="J39" s="4"/>
    </row>
    <row r="40" ht="15.75" customHeight="1">
      <c r="E40" s="3"/>
      <c r="J40" s="4"/>
    </row>
    <row r="41" ht="15.75" customHeight="1">
      <c r="E41" s="3"/>
      <c r="J41" s="4"/>
    </row>
    <row r="42" ht="15.75" customHeight="1">
      <c r="E42" s="3"/>
      <c r="J42" s="4"/>
    </row>
    <row r="43" ht="15.75" customHeight="1">
      <c r="E43" s="3"/>
      <c r="J43" s="4"/>
    </row>
    <row r="44" ht="15.75" customHeight="1">
      <c r="E44" s="3"/>
      <c r="J44" s="4"/>
    </row>
    <row r="45" ht="15.75" customHeight="1">
      <c r="E45" s="3"/>
      <c r="J45" s="4"/>
    </row>
    <row r="46" ht="15.75" customHeight="1">
      <c r="E46" s="3"/>
      <c r="J46" s="4"/>
    </row>
    <row r="47" ht="15.75" customHeight="1">
      <c r="E47" s="3"/>
      <c r="J47" s="4"/>
    </row>
    <row r="48" ht="15.75" customHeight="1">
      <c r="E48" s="3"/>
      <c r="J48" s="4"/>
    </row>
    <row r="49" ht="15.75" customHeight="1">
      <c r="E49" s="3"/>
      <c r="J49" s="4"/>
    </row>
    <row r="50" ht="15.75" customHeight="1">
      <c r="E50" s="3"/>
      <c r="J50" s="4"/>
    </row>
    <row r="51" ht="15.75" customHeight="1">
      <c r="E51" s="3"/>
      <c r="J51" s="4"/>
    </row>
    <row r="52" ht="15.75" customHeight="1">
      <c r="E52" s="3"/>
      <c r="J52" s="4"/>
    </row>
    <row r="53" ht="15.75" customHeight="1">
      <c r="E53" s="3"/>
      <c r="J53" s="4"/>
    </row>
    <row r="54" ht="15.75" customHeight="1">
      <c r="E54" s="3"/>
      <c r="J54" s="4"/>
    </row>
    <row r="55" ht="15.75" customHeight="1">
      <c r="E55" s="3"/>
      <c r="J55" s="4"/>
    </row>
    <row r="56" ht="15.75" customHeight="1">
      <c r="E56" s="3"/>
      <c r="J56" s="4"/>
    </row>
    <row r="57" ht="15.75" customHeight="1">
      <c r="E57" s="3"/>
      <c r="J57" s="4"/>
    </row>
    <row r="58" ht="15.75" customHeight="1">
      <c r="E58" s="3"/>
      <c r="J58" s="4"/>
    </row>
    <row r="59" ht="15.75" customHeight="1">
      <c r="E59" s="3"/>
      <c r="J59" s="4"/>
    </row>
    <row r="60" ht="15.75" customHeight="1">
      <c r="E60" s="3"/>
      <c r="J60" s="4"/>
    </row>
    <row r="61" ht="15.75" customHeight="1">
      <c r="E61" s="3"/>
      <c r="J61" s="4"/>
    </row>
    <row r="62" ht="15.75" customHeight="1">
      <c r="E62" s="3"/>
      <c r="J62" s="4"/>
    </row>
    <row r="63" ht="15.75" customHeight="1">
      <c r="E63" s="3"/>
      <c r="J63" s="4"/>
    </row>
    <row r="64" ht="15.75" customHeight="1">
      <c r="E64" s="3"/>
      <c r="J64" s="4"/>
    </row>
    <row r="65" ht="15.75" customHeight="1">
      <c r="E65" s="3"/>
      <c r="J65" s="4"/>
    </row>
    <row r="66" ht="15.75" customHeight="1">
      <c r="E66" s="3"/>
      <c r="J66" s="4"/>
    </row>
    <row r="67" ht="15.75" customHeight="1">
      <c r="E67" s="3"/>
      <c r="J67" s="4"/>
    </row>
    <row r="68" ht="15.75" customHeight="1">
      <c r="E68" s="3"/>
      <c r="J68" s="4"/>
    </row>
    <row r="69" ht="15.75" customHeight="1">
      <c r="E69" s="3"/>
      <c r="J69" s="4"/>
    </row>
    <row r="70" ht="15.75" customHeight="1">
      <c r="E70" s="3"/>
      <c r="J70" s="4"/>
    </row>
    <row r="71" ht="15.75" customHeight="1">
      <c r="E71" s="3"/>
      <c r="J71" s="4"/>
    </row>
    <row r="72" ht="15.75" customHeight="1">
      <c r="E72" s="3"/>
      <c r="J72" s="4"/>
    </row>
    <row r="73" ht="15.75" customHeight="1">
      <c r="E73" s="3"/>
      <c r="J73" s="4"/>
    </row>
    <row r="74" ht="15.75" customHeight="1">
      <c r="E74" s="3"/>
      <c r="J74" s="4"/>
    </row>
    <row r="75" ht="15.75" customHeight="1">
      <c r="E75" s="3"/>
      <c r="J75" s="4"/>
    </row>
    <row r="76" ht="15.75" customHeight="1">
      <c r="E76" s="3"/>
      <c r="J76" s="4"/>
    </row>
    <row r="77" ht="15.75" customHeight="1">
      <c r="E77" s="3"/>
      <c r="J77" s="4"/>
    </row>
    <row r="78" ht="15.75" customHeight="1">
      <c r="E78" s="3"/>
      <c r="J78" s="4"/>
    </row>
    <row r="79" ht="15.75" customHeight="1">
      <c r="E79" s="3"/>
      <c r="J79" s="4"/>
    </row>
    <row r="80" ht="15.75" customHeight="1">
      <c r="E80" s="3"/>
      <c r="J80" s="4"/>
    </row>
    <row r="81" ht="15.75" customHeight="1">
      <c r="E81" s="3"/>
      <c r="J81" s="4"/>
    </row>
    <row r="82" ht="15.75" customHeight="1">
      <c r="E82" s="3"/>
      <c r="J82" s="4"/>
    </row>
    <row r="83" ht="15.75" customHeight="1">
      <c r="E83" s="3"/>
      <c r="J83" s="4"/>
    </row>
    <row r="84" ht="15.75" customHeight="1">
      <c r="E84" s="3"/>
      <c r="J84" s="4"/>
    </row>
    <row r="85" ht="15.75" customHeight="1">
      <c r="E85" s="3"/>
      <c r="J85" s="4"/>
    </row>
    <row r="86" ht="15.75" customHeight="1">
      <c r="E86" s="3"/>
      <c r="J86" s="4"/>
    </row>
    <row r="87" ht="15.75" customHeight="1">
      <c r="E87" s="3"/>
      <c r="J87" s="4"/>
    </row>
    <row r="88" ht="15.75" customHeight="1">
      <c r="E88" s="3"/>
      <c r="J88" s="4"/>
    </row>
    <row r="89" ht="15.75" customHeight="1">
      <c r="E89" s="3"/>
      <c r="J89" s="4"/>
    </row>
    <row r="90" ht="15.75" customHeight="1">
      <c r="E90" s="3"/>
      <c r="J90" s="4"/>
    </row>
    <row r="91" ht="15.75" customHeight="1">
      <c r="E91" s="3"/>
      <c r="J91" s="4"/>
    </row>
    <row r="92" ht="15.75" customHeight="1">
      <c r="E92" s="3"/>
      <c r="J92" s="4"/>
    </row>
    <row r="93" ht="15.75" customHeight="1">
      <c r="E93" s="3"/>
      <c r="J93" s="4"/>
    </row>
    <row r="94" ht="15.75" customHeight="1">
      <c r="E94" s="3"/>
      <c r="J94" s="4"/>
    </row>
    <row r="95" ht="15.75" customHeight="1">
      <c r="E95" s="3"/>
      <c r="J95" s="4"/>
    </row>
    <row r="96" ht="15.75" customHeight="1">
      <c r="E96" s="3"/>
      <c r="J96" s="4"/>
    </row>
    <row r="97" ht="15.75" customHeight="1">
      <c r="E97" s="3"/>
      <c r="J97" s="4"/>
    </row>
    <row r="98" ht="15.75" customHeight="1">
      <c r="E98" s="3"/>
      <c r="J98" s="4"/>
    </row>
    <row r="99" ht="15.75" customHeight="1">
      <c r="E99" s="3"/>
      <c r="J99" s="4"/>
    </row>
    <row r="100" ht="15.75" customHeight="1">
      <c r="E100" s="3"/>
      <c r="J100" s="4"/>
    </row>
    <row r="101" ht="15.75" customHeight="1">
      <c r="E101" s="3"/>
      <c r="J101" s="4"/>
    </row>
    <row r="102" ht="15.75" customHeight="1">
      <c r="E102" s="3"/>
      <c r="J102" s="4"/>
    </row>
    <row r="103" ht="15.75" customHeight="1">
      <c r="E103" s="3"/>
      <c r="J103" s="4"/>
    </row>
    <row r="104" ht="15.75" customHeight="1">
      <c r="E104" s="3"/>
      <c r="J104" s="4"/>
    </row>
    <row r="105" ht="15.75" customHeight="1">
      <c r="E105" s="3"/>
      <c r="J105" s="4"/>
    </row>
    <row r="106" ht="15.75" customHeight="1">
      <c r="E106" s="3"/>
      <c r="J106" s="4"/>
    </row>
    <row r="107" ht="15.75" customHeight="1">
      <c r="E107" s="3"/>
      <c r="J107" s="4"/>
    </row>
    <row r="108" ht="15.75" customHeight="1">
      <c r="E108" s="3"/>
      <c r="J108" s="4"/>
    </row>
    <row r="109" ht="15.75" customHeight="1">
      <c r="E109" s="3"/>
      <c r="J109" s="4"/>
    </row>
    <row r="110" ht="15.75" customHeight="1">
      <c r="E110" s="3"/>
      <c r="J110" s="4"/>
    </row>
    <row r="111" ht="15.75" customHeight="1">
      <c r="E111" s="3"/>
      <c r="J111" s="4"/>
    </row>
    <row r="112" ht="15.75" customHeight="1">
      <c r="E112" s="3"/>
      <c r="J112" s="4"/>
    </row>
    <row r="113" ht="15.75" customHeight="1">
      <c r="E113" s="3"/>
      <c r="J113" s="4"/>
    </row>
    <row r="114" ht="15.75" customHeight="1">
      <c r="E114" s="3"/>
      <c r="J114" s="4"/>
    </row>
    <row r="115" ht="15.75" customHeight="1">
      <c r="E115" s="3"/>
      <c r="J115" s="4"/>
    </row>
    <row r="116" ht="15.75" customHeight="1">
      <c r="E116" s="3"/>
      <c r="J116" s="4"/>
    </row>
    <row r="117" ht="15.75" customHeight="1">
      <c r="E117" s="3"/>
      <c r="J117" s="4"/>
    </row>
    <row r="118" ht="15.75" customHeight="1">
      <c r="E118" s="3"/>
      <c r="J118" s="4"/>
    </row>
    <row r="119" ht="15.75" customHeight="1">
      <c r="E119" s="3"/>
      <c r="J119" s="4"/>
    </row>
    <row r="120" ht="15.75" customHeight="1">
      <c r="E120" s="3"/>
      <c r="J120" s="4"/>
    </row>
    <row r="121" ht="15.75" customHeight="1">
      <c r="E121" s="3"/>
      <c r="J121" s="4"/>
    </row>
    <row r="122" ht="15.75" customHeight="1">
      <c r="E122" s="3"/>
      <c r="J122" s="4"/>
    </row>
    <row r="123" ht="15.75" customHeight="1">
      <c r="E123" s="3"/>
      <c r="J123" s="4"/>
    </row>
    <row r="124" ht="15.75" customHeight="1">
      <c r="E124" s="3"/>
      <c r="J124" s="4"/>
    </row>
    <row r="125" ht="15.75" customHeight="1">
      <c r="E125" s="3"/>
      <c r="J125" s="4"/>
    </row>
    <row r="126" ht="15.75" customHeight="1">
      <c r="E126" s="3"/>
      <c r="J126" s="4"/>
    </row>
    <row r="127" ht="15.75" customHeight="1">
      <c r="E127" s="3"/>
      <c r="J127" s="4"/>
    </row>
    <row r="128" ht="15.75" customHeight="1">
      <c r="E128" s="3"/>
      <c r="J128" s="4"/>
    </row>
    <row r="129" ht="15.75" customHeight="1">
      <c r="E129" s="3"/>
      <c r="J129" s="4"/>
    </row>
    <row r="130" ht="15.75" customHeight="1">
      <c r="E130" s="3"/>
      <c r="J130" s="4"/>
    </row>
    <row r="131" ht="15.75" customHeight="1">
      <c r="E131" s="3"/>
      <c r="J131" s="4"/>
    </row>
    <row r="132" ht="15.75" customHeight="1">
      <c r="E132" s="3"/>
      <c r="J132" s="4"/>
    </row>
    <row r="133" ht="15.75" customHeight="1">
      <c r="E133" s="3"/>
      <c r="J133" s="4"/>
    </row>
    <row r="134" ht="15.75" customHeight="1">
      <c r="E134" s="3"/>
      <c r="J134" s="4"/>
    </row>
    <row r="135" ht="15.75" customHeight="1">
      <c r="E135" s="3"/>
      <c r="J135" s="4"/>
    </row>
    <row r="136" ht="15.75" customHeight="1">
      <c r="E136" s="3"/>
      <c r="J136" s="4"/>
    </row>
    <row r="137" ht="15.75" customHeight="1">
      <c r="E137" s="3"/>
      <c r="J137" s="4"/>
    </row>
    <row r="138" ht="15.75" customHeight="1">
      <c r="E138" s="3"/>
      <c r="J138" s="4"/>
    </row>
    <row r="139" ht="15.75" customHeight="1">
      <c r="E139" s="3"/>
      <c r="J139" s="4"/>
    </row>
    <row r="140" ht="15.75" customHeight="1">
      <c r="E140" s="3"/>
      <c r="J140" s="4"/>
    </row>
    <row r="141" ht="15.75" customHeight="1">
      <c r="E141" s="3"/>
      <c r="J141" s="4"/>
    </row>
    <row r="142" ht="15.75" customHeight="1">
      <c r="E142" s="3"/>
      <c r="J142" s="4"/>
    </row>
    <row r="143" ht="15.75" customHeight="1">
      <c r="E143" s="3"/>
      <c r="J143" s="4"/>
    </row>
    <row r="144" ht="15.75" customHeight="1">
      <c r="E144" s="3"/>
      <c r="J144" s="4"/>
    </row>
    <row r="145" ht="15.75" customHeight="1">
      <c r="E145" s="3"/>
      <c r="J145" s="4"/>
    </row>
    <row r="146" ht="15.75" customHeight="1">
      <c r="E146" s="3"/>
      <c r="J146" s="4"/>
    </row>
    <row r="147" ht="15.75" customHeight="1">
      <c r="E147" s="3"/>
      <c r="J147" s="4"/>
    </row>
    <row r="148" ht="15.75" customHeight="1">
      <c r="E148" s="3"/>
      <c r="J148" s="4"/>
    </row>
    <row r="149" ht="15.75" customHeight="1">
      <c r="E149" s="3"/>
      <c r="J149" s="4"/>
    </row>
    <row r="150" ht="15.75" customHeight="1">
      <c r="E150" s="3"/>
      <c r="J150" s="4"/>
    </row>
    <row r="151" ht="15.75" customHeight="1">
      <c r="E151" s="3"/>
      <c r="J151" s="4"/>
    </row>
    <row r="152" ht="15.75" customHeight="1">
      <c r="E152" s="3"/>
      <c r="J152" s="4"/>
    </row>
    <row r="153" ht="15.75" customHeight="1">
      <c r="E153" s="3"/>
      <c r="J153" s="4"/>
    </row>
    <row r="154" ht="15.75" customHeight="1">
      <c r="E154" s="3"/>
      <c r="J154" s="4"/>
    </row>
    <row r="155" ht="15.75" customHeight="1">
      <c r="E155" s="3"/>
      <c r="J155" s="4"/>
    </row>
    <row r="156" ht="15.75" customHeight="1">
      <c r="E156" s="3"/>
      <c r="J156" s="4"/>
    </row>
    <row r="157" ht="15.75" customHeight="1">
      <c r="E157" s="3"/>
      <c r="J157" s="4"/>
    </row>
    <row r="158" ht="15.75" customHeight="1">
      <c r="E158" s="3"/>
      <c r="J158" s="4"/>
    </row>
    <row r="159" ht="15.75" customHeight="1">
      <c r="E159" s="3"/>
      <c r="J159" s="4"/>
    </row>
    <row r="160" ht="15.75" customHeight="1">
      <c r="E160" s="3"/>
      <c r="J160" s="4"/>
    </row>
    <row r="161" ht="15.75" customHeight="1">
      <c r="E161" s="3"/>
      <c r="J161" s="4"/>
    </row>
    <row r="162" ht="15.75" customHeight="1">
      <c r="E162" s="3"/>
      <c r="J162" s="4"/>
    </row>
    <row r="163" ht="15.75" customHeight="1">
      <c r="E163" s="3"/>
      <c r="J163" s="4"/>
    </row>
    <row r="164" ht="15.75" customHeight="1">
      <c r="E164" s="3"/>
      <c r="J164" s="4"/>
    </row>
    <row r="165" ht="15.75" customHeight="1">
      <c r="E165" s="3"/>
      <c r="J165" s="4"/>
    </row>
    <row r="166" ht="15.75" customHeight="1">
      <c r="E166" s="3"/>
      <c r="J166" s="4"/>
    </row>
    <row r="167" ht="15.75" customHeight="1">
      <c r="E167" s="3"/>
      <c r="J167" s="4"/>
    </row>
    <row r="168" ht="15.75" customHeight="1">
      <c r="E168" s="3"/>
      <c r="J168" s="4"/>
    </row>
    <row r="169" ht="15.75" customHeight="1">
      <c r="E169" s="3"/>
      <c r="J169" s="4"/>
    </row>
    <row r="170" ht="15.75" customHeight="1">
      <c r="E170" s="3"/>
      <c r="J170" s="4"/>
    </row>
    <row r="171" ht="15.75" customHeight="1">
      <c r="E171" s="3"/>
      <c r="J171" s="4"/>
    </row>
    <row r="172" ht="15.75" customHeight="1">
      <c r="E172" s="3"/>
      <c r="J172" s="4"/>
    </row>
    <row r="173" ht="15.75" customHeight="1">
      <c r="E173" s="3"/>
      <c r="J173" s="4"/>
    </row>
    <row r="174" ht="15.75" customHeight="1">
      <c r="E174" s="3"/>
      <c r="J174" s="4"/>
    </row>
    <row r="175" ht="15.75" customHeight="1">
      <c r="E175" s="3"/>
      <c r="J175" s="4"/>
    </row>
    <row r="176" ht="15.75" customHeight="1">
      <c r="E176" s="3"/>
      <c r="J176" s="4"/>
    </row>
    <row r="177" ht="15.75" customHeight="1">
      <c r="E177" s="3"/>
      <c r="J177" s="4"/>
    </row>
    <row r="178" ht="15.75" customHeight="1">
      <c r="E178" s="3"/>
      <c r="J178" s="4"/>
    </row>
    <row r="179" ht="15.75" customHeight="1">
      <c r="E179" s="3"/>
      <c r="J179" s="4"/>
    </row>
    <row r="180" ht="15.75" customHeight="1">
      <c r="E180" s="3"/>
      <c r="J180" s="4"/>
    </row>
    <row r="181" ht="15.75" customHeight="1">
      <c r="E181" s="3"/>
      <c r="J181" s="4"/>
    </row>
    <row r="182" ht="15.75" customHeight="1">
      <c r="E182" s="3"/>
      <c r="J182" s="4"/>
    </row>
    <row r="183" ht="15.75" customHeight="1">
      <c r="E183" s="3"/>
      <c r="J183" s="4"/>
    </row>
    <row r="184" ht="15.75" customHeight="1">
      <c r="E184" s="3"/>
      <c r="J184" s="4"/>
    </row>
    <row r="185" ht="15.75" customHeight="1">
      <c r="E185" s="3"/>
      <c r="J185" s="4"/>
    </row>
    <row r="186" ht="15.75" customHeight="1">
      <c r="E186" s="3"/>
      <c r="J186" s="4"/>
    </row>
    <row r="187" ht="15.75" customHeight="1">
      <c r="E187" s="3"/>
      <c r="J187" s="4"/>
    </row>
    <row r="188" ht="15.75" customHeight="1">
      <c r="E188" s="3"/>
      <c r="J188" s="4"/>
    </row>
    <row r="189" ht="15.75" customHeight="1">
      <c r="E189" s="3"/>
      <c r="J189" s="4"/>
    </row>
    <row r="190" ht="15.75" customHeight="1">
      <c r="E190" s="3"/>
      <c r="J190" s="4"/>
    </row>
    <row r="191" ht="15.75" customHeight="1">
      <c r="E191" s="3"/>
      <c r="J191" s="4"/>
    </row>
    <row r="192" ht="15.75" customHeight="1">
      <c r="E192" s="3"/>
      <c r="J192" s="4"/>
    </row>
    <row r="193" ht="15.75" customHeight="1">
      <c r="E193" s="3"/>
      <c r="J193" s="4"/>
    </row>
    <row r="194" ht="15.75" customHeight="1">
      <c r="E194" s="3"/>
      <c r="J194" s="4"/>
    </row>
    <row r="195" ht="15.75" customHeight="1">
      <c r="E195" s="3"/>
      <c r="J195" s="4"/>
    </row>
    <row r="196" ht="15.75" customHeight="1">
      <c r="E196" s="3"/>
      <c r="J196" s="4"/>
    </row>
    <row r="197" ht="15.75" customHeight="1">
      <c r="E197" s="3"/>
      <c r="J197" s="4"/>
    </row>
    <row r="198" ht="15.75" customHeight="1">
      <c r="E198" s="3"/>
      <c r="J198" s="4"/>
    </row>
    <row r="199" ht="15.75" customHeight="1">
      <c r="E199" s="3"/>
      <c r="J199" s="4"/>
    </row>
    <row r="200" ht="15.75" customHeight="1">
      <c r="E200" s="3"/>
      <c r="J200" s="4"/>
    </row>
    <row r="201" ht="15.75" customHeight="1">
      <c r="E201" s="3"/>
      <c r="J201" s="4"/>
    </row>
    <row r="202" ht="15.75" customHeight="1">
      <c r="E202" s="3"/>
      <c r="J202" s="4"/>
    </row>
    <row r="203" ht="15.75" customHeight="1">
      <c r="E203" s="3"/>
      <c r="J203" s="4"/>
    </row>
    <row r="204" ht="15.75" customHeight="1">
      <c r="E204" s="3"/>
      <c r="J204" s="4"/>
    </row>
    <row r="205" ht="15.75" customHeight="1">
      <c r="E205" s="3"/>
      <c r="J205" s="4"/>
    </row>
    <row r="206" ht="15.75" customHeight="1">
      <c r="E206" s="3"/>
      <c r="J206" s="4"/>
    </row>
    <row r="207" ht="15.75" customHeight="1">
      <c r="E207" s="3"/>
      <c r="J207" s="4"/>
    </row>
    <row r="208" ht="15.75" customHeight="1">
      <c r="E208" s="3"/>
      <c r="J208" s="4"/>
    </row>
    <row r="209" ht="15.75" customHeight="1">
      <c r="E209" s="3"/>
      <c r="J209" s="4"/>
    </row>
    <row r="210" ht="15.75" customHeight="1">
      <c r="E210" s="3"/>
      <c r="J210" s="4"/>
    </row>
    <row r="211" ht="15.75" customHeight="1">
      <c r="E211" s="3"/>
      <c r="J211" s="4"/>
    </row>
    <row r="212" ht="15.75" customHeight="1">
      <c r="E212" s="3"/>
      <c r="J212" s="4"/>
    </row>
    <row r="213" ht="15.75" customHeight="1">
      <c r="E213" s="3"/>
      <c r="J213" s="4"/>
    </row>
    <row r="214" ht="15.75" customHeight="1">
      <c r="E214" s="3"/>
      <c r="J214" s="4"/>
    </row>
    <row r="215" ht="15.75" customHeight="1">
      <c r="E215" s="3"/>
      <c r="J215" s="4"/>
    </row>
    <row r="216" ht="15.75" customHeight="1">
      <c r="E216" s="3"/>
      <c r="J216" s="4"/>
    </row>
    <row r="217" ht="15.75" customHeight="1">
      <c r="E217" s="3"/>
      <c r="J217" s="4"/>
    </row>
    <row r="218" ht="15.75" customHeight="1">
      <c r="E218" s="3"/>
      <c r="J218" s="4"/>
    </row>
    <row r="219" ht="15.75" customHeight="1">
      <c r="E219" s="3"/>
      <c r="J219" s="4"/>
    </row>
    <row r="220" ht="15.75" customHeight="1">
      <c r="E220" s="3"/>
      <c r="J220" s="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5" footer="0.0" header="0.0" left="0.7" right="0.5" top="0.5"/>
  <pageSetup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13.78"/>
    <col customWidth="1" min="2" max="2" width="25.0"/>
    <col customWidth="1" min="3" max="3" width="8.0"/>
    <col customWidth="1" min="4" max="4" width="11.33"/>
    <col customWidth="1" min="5" max="5" width="9.33"/>
    <col customWidth="1" min="6" max="6" width="6.0"/>
    <col customWidth="1" min="7" max="7" width="9.44"/>
    <col customWidth="1" min="8" max="8" width="20.33"/>
    <col customWidth="1" min="9" max="9" width="20.44"/>
    <col customWidth="1" min="10" max="10" width="11.0"/>
    <col customWidth="1" min="11" max="12" width="10.78"/>
    <col customWidth="1" min="13" max="26" width="11.0"/>
  </cols>
  <sheetData>
    <row r="1" ht="14.25" customHeight="1">
      <c r="A1" s="14" t="s">
        <v>38</v>
      </c>
      <c r="G1" s="15"/>
      <c r="H1" s="15"/>
      <c r="I1" s="16" t="s">
        <v>39</v>
      </c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14.25" customHeight="1">
      <c r="A2" s="15"/>
      <c r="B2" s="15"/>
      <c r="C2" s="15"/>
      <c r="D2" s="15"/>
      <c r="E2" s="15"/>
      <c r="F2" s="15"/>
      <c r="G2" s="15"/>
      <c r="H2" s="17" t="s">
        <v>40</v>
      </c>
      <c r="I2" s="18" t="str">
        <f>DATE(F3, 1, 1)</f>
        <v>#VALUE!</v>
      </c>
      <c r="J2" s="15"/>
      <c r="K2" s="19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t="14.25" customHeight="1">
      <c r="A3" s="15" t="s">
        <v>41</v>
      </c>
      <c r="B3" s="15"/>
      <c r="C3" s="20" t="s">
        <v>42</v>
      </c>
      <c r="D3" s="15"/>
      <c r="E3" s="15" t="s">
        <v>43</v>
      </c>
      <c r="F3" s="20" t="str">
        <f>YEAR(Results!E3)</f>
        <v>#VALUE!</v>
      </c>
      <c r="G3" s="15"/>
      <c r="H3" s="17" t="s">
        <v>44</v>
      </c>
      <c r="I3" s="18" t="str">
        <f>EOMONTH(I2,0)</f>
        <v>#VALUE!</v>
      </c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t="14.25" customHeight="1">
      <c r="A4" s="15" t="s">
        <v>45</v>
      </c>
      <c r="B4" s="15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t="14.25" customHeight="1">
      <c r="A5" s="15"/>
      <c r="B5" s="15"/>
      <c r="C5" s="15"/>
      <c r="D5" s="15"/>
      <c r="E5" s="15"/>
      <c r="F5" s="15"/>
      <c r="G5" s="15"/>
      <c r="H5" s="15"/>
      <c r="I5" s="15"/>
      <c r="J5" s="15"/>
      <c r="K5" s="15"/>
      <c r="L5" s="15"/>
      <c r="M5" s="15"/>
      <c r="N5" s="15"/>
      <c r="O5" s="21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t="14.25" customHeight="1">
      <c r="A6" s="15" t="s">
        <v>46</v>
      </c>
      <c r="B6" s="15"/>
      <c r="C6" s="15"/>
      <c r="D6" s="15"/>
      <c r="E6" s="15"/>
      <c r="F6" s="15"/>
      <c r="G6" s="15"/>
      <c r="H6" s="15"/>
      <c r="I6" s="20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t="14.25" customHeight="1">
      <c r="A7" s="22"/>
      <c r="B7" s="23" t="s">
        <v>47</v>
      </c>
      <c r="C7" s="24"/>
      <c r="D7" s="23" t="s">
        <v>48</v>
      </c>
      <c r="E7" s="24"/>
      <c r="F7" s="25" t="s">
        <v>49</v>
      </c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t="14.25" customHeight="1">
      <c r="A8" s="26"/>
      <c r="B8" s="27" t="s">
        <v>50</v>
      </c>
      <c r="C8" s="27" t="s">
        <v>51</v>
      </c>
      <c r="D8" s="27" t="s">
        <v>50</v>
      </c>
      <c r="E8" s="27" t="s">
        <v>51</v>
      </c>
      <c r="F8" s="26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t="14.25" customHeight="1">
      <c r="A9" s="28"/>
      <c r="B9" s="28">
        <f>COUNTIFS(Results!$E:$E,"&gt;="&amp;$I$2,Results!$E:$E,"&lt;="&amp;$I$3,Results!$I:$I,"Male",Results!$J:$J,"&lt;15", Results!$F:$F,"*tive")</f>
        <v>0</v>
      </c>
      <c r="C9" s="28">
        <f>COUNTIFS(Results!$E:$E,"&gt;="&amp;$I$2,Results!$E:$E,"&lt;="&amp;$I$3,Results!$I:$I,"Male",Results!$J:$J,"&gt;=15", Results!$F:$F,"*tive")</f>
        <v>0</v>
      </c>
      <c r="D9" s="28">
        <f>COUNTIFS(Results!$E:$E,"&gt;="&amp;$I$2,Results!$E:$E,"&lt;="&amp;$I$3,Results!$I:$I,"Female",Results!$J:$J,"&lt;15", Results!$F:$F,"*tive")</f>
        <v>0</v>
      </c>
      <c r="E9" s="28">
        <f>COUNTIFS(Results!$E:$E,"&gt;="&amp;$I$2,Results!$E:$E,"&lt;="&amp;$I$3,Results!$I:$I,"Female",Results!$J:$J,"&gt;=15", Results!$F:$F,"*tive")</f>
        <v>0</v>
      </c>
      <c r="F9" s="28">
        <f>COUNTIFS(Results!$E:$E,"&gt;="&amp;$I$2,Results!$E:$E,"&lt;="&amp;$I$3, Results!$F:$F,"*tive", Results!$J:$J,"&lt;&gt;Not on Form", Results!$J:$J,"&lt;&gt;N/A", Results!$I:$I,"&lt;&gt;Not on Form", Results!$I:$I,"&lt;&gt;N/A")</f>
        <v>0</v>
      </c>
      <c r="G9" s="15" t="str">
        <f>IF(SUM(B9:E9)=F9,"","Check Total Value &amp; Category")</f>
        <v/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t="14.25" customHeight="1">
      <c r="A10" s="15"/>
      <c r="B10" s="15"/>
      <c r="C10" s="15"/>
      <c r="D10" s="15"/>
      <c r="E10" s="15"/>
      <c r="F10" s="15"/>
      <c r="G10" s="15"/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t="14.25" customHeight="1">
      <c r="A11" s="15" t="s">
        <v>52</v>
      </c>
      <c r="B11" s="15"/>
      <c r="C11" s="15"/>
      <c r="D11" s="15"/>
      <c r="E11" s="15"/>
      <c r="F11" s="15"/>
      <c r="G11" s="15"/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t="14.25" customHeight="1">
      <c r="A12" s="28"/>
      <c r="B12" s="28"/>
      <c r="C12" s="29" t="s">
        <v>53</v>
      </c>
      <c r="D12" s="29" t="s">
        <v>54</v>
      </c>
      <c r="E12" s="29" t="s">
        <v>55</v>
      </c>
      <c r="F12" s="29" t="s">
        <v>49</v>
      </c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t="15.75" customHeight="1">
      <c r="A13" s="30" t="s">
        <v>56</v>
      </c>
      <c r="B13" s="28" t="s">
        <v>57</v>
      </c>
      <c r="C13" s="28">
        <f>COUNTIFS(Results!$E:$E,"&gt;="&amp;$I$2,Results!$E:$E,"&lt;="&amp;$I$3,Results!$L:$L,"Positive",Results!$K:$K,"No", Results!$F:$F,"*tive") + COUNTIFS(Results!$E:$E,"&gt;="&amp;$I$2,Results!$E:$E,"&lt;="&amp;$I$3,Results!$L:$L,"Positive",Results!$K:$K,"On Treatment", Results!$F:$F,"*tive")</f>
        <v>0</v>
      </c>
      <c r="D13" s="28">
        <f>COUNTIFS(Results!$E:$E,"&gt;="&amp;$I$2,Results!$E:$E,"&lt;="&amp;$I$3,Results!$L:$L,"Positive",Results!$K:$K,"Yes", Results!$F:$F,"*tive")</f>
        <v>0</v>
      </c>
      <c r="E13" s="28">
        <f>COUNTIFS(Results!$E:$E,"&gt;="&amp;$I$2,Results!$E:$E,"&lt;="&amp;$I$3,Results!$L:$L,"Positive",Results!$K:$K,"Unknown", Results!$F:$F,"*tive")</f>
        <v>0</v>
      </c>
      <c r="F13" s="28">
        <f>COUNTIFS(Results!$E:$E,"&gt;="&amp;$I$2,Results!$E:$E,"&lt;="&amp;$I$3,Results!$L:$L,"Positive", Results!$F:$F,"*tive", Results!$K:$K,"&lt;&gt;Not on Form", Results!$K:$K,"&lt;&gt;N/A", Results!$L:$L,"&lt;&gt;Not on Form", Results!$L:$L,"&lt;&gt;N/A")</f>
        <v>0</v>
      </c>
      <c r="G13" s="31" t="str">
        <f>IF($F$9=SUM(F13:F15),"","Error! Microscopy result does NOT match, cross check: Missing information in Microscopy Result")</f>
        <v/>
      </c>
      <c r="I13" s="15" t="str">
        <f t="shared" ref="I13:I18" si="1">IF(SUM(C13:E13)=F13,"","Check Total Value &amp; Category")</f>
        <v/>
      </c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t="14.25" customHeight="1">
      <c r="A14" s="32"/>
      <c r="B14" s="28" t="s">
        <v>58</v>
      </c>
      <c r="C14" s="28">
        <f>COUNTIFS(Results!$E:$E,"&gt;="&amp;$I$2,Results!$E:$E,"&lt;="&amp;$I$3,Results!$L:$L,"Negative",Results!$K:$K,"No", Results!$F:$F,"*tive") + COUNTIFS(Results!$E:$E,"&gt;="&amp;$I$2,Results!$E:$E,"&lt;="&amp;$I$3,Results!$L:$L,"Negative",Results!$K:$K,"On Treatment", Results!$F:$F,"*tive")</f>
        <v>0</v>
      </c>
      <c r="D14" s="28">
        <f>COUNTIFS(Results!$E:$E,"&gt;="&amp;$I$2,Results!$E:$E,"&lt;="&amp;$I$3,Results!$L:$L,"Negative",Results!$K:$K,"Yes", Results!$F:$F,"*tive")</f>
        <v>0</v>
      </c>
      <c r="E14" s="28">
        <f>COUNTIFS(Results!$E:$E,"&gt;="&amp;$I$2,Results!$E:$E,"&lt;="&amp;$I$3,Results!$L:$L,"Negative",Results!$K:$K,"Unknown", Results!$F:$F,"*tive")</f>
        <v>0</v>
      </c>
      <c r="F14" s="28">
        <f>COUNTIFS(Results!$E:$E,"&gt;="&amp;$I$2,Results!$E:$E,"&lt;="&amp;$I$3,Results!$L:$L,"Negative", Results!$F:$F,"*tive",Results!$K:$K,"&lt;&gt;Not on Form", Results!$K:$K,"&lt;&gt;N/A", Results!$L:$L,"&lt;&gt;Not on Form", Results!$L:$L,"&lt;&gt;N/A")</f>
        <v>0</v>
      </c>
      <c r="G14" s="33"/>
      <c r="I14" s="15" t="str">
        <f t="shared" si="1"/>
        <v/>
      </c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t="14.25" customHeight="1">
      <c r="A15" s="26"/>
      <c r="B15" s="28" t="s">
        <v>59</v>
      </c>
      <c r="C15" s="28">
        <f>COUNTIFS(Results!$E:$E,"&gt;="&amp;$I$2,Results!$E:$E,"&lt;="&amp;$I$3,Results!$L:$L,"Not Done",Results!$K:$K,"No", Results!$F:$F,"*tive") + COUNTIFS(Results!$E:$E,"&gt;="&amp;$I$2,Results!$E:$E,"&lt;="&amp;$I$3,Results!$L:$L,"Not Done",Results!$K:$K,"On Treatment", Results!$F:$F,"*tive")</f>
        <v>0</v>
      </c>
      <c r="D15" s="28">
        <f>COUNTIFS(Results!$E:$E,"&gt;="&amp;$I$2,Results!$E:$E,"&lt;="&amp;$I$3,Results!$L:$L,"Not Done",Results!$K:$K,"Yes", Results!$F:$F,"*tive")</f>
        <v>0</v>
      </c>
      <c r="E15" s="28">
        <f>COUNTIFS(Results!$E:$E,"&gt;="&amp;$I$2,Results!$E:$E,"&lt;="&amp;$I$3,Results!$L:$L,"Not Done",Results!$K:$K,"Unknown", Results!$F:$F,"*tive")</f>
        <v>0</v>
      </c>
      <c r="F15" s="28">
        <f>COUNTIFS(Results!$E:$E,"&gt;="&amp;$I$2,Results!$E:$E,"&lt;="&amp;$I$3,Results!$L:$L,"Not Done", Results!$F:$F,"*tive", Results!$K:$K,"&lt;&gt;Not on Form", Results!$K:$K,"&lt;&gt;N/A", Results!$L:$L,"&lt;&gt;Not on Form", Results!$L:$L,"&lt;&gt;N/A")</f>
        <v>0</v>
      </c>
      <c r="G15" s="33"/>
      <c r="I15" s="15" t="str">
        <f t="shared" si="1"/>
        <v/>
      </c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t="14.25" customHeight="1">
      <c r="A16" s="25" t="s">
        <v>60</v>
      </c>
      <c r="B16" s="28" t="s">
        <v>61</v>
      </c>
      <c r="C16" s="28">
        <f>COUNTIFS(Results!$E:$E,"&gt;="&amp;$I$2,Results!$E:$E,"&lt;="&amp;$I$3,Results!$F:$F,"Negative",Results!$K:$K,"No") + COUNTIFS(Results!$E:$E,"&gt;="&amp;$I$2,Results!$E:$E,"&lt;="&amp;$I$3,Results!$F:$F,"Negative",Results!$K:$K,"On Treatment")</f>
        <v>0</v>
      </c>
      <c r="D16" s="28">
        <f>COUNTIFS(Results!$E:$E,"&gt;="&amp;$I$2,Results!$E:$E,"&lt;="&amp;$I$3,Results!$F:$F,"Negative",Results!$K:$K,"Yes")</f>
        <v>0</v>
      </c>
      <c r="E16" s="28">
        <f>COUNTIFS(Results!$E:$E,"&gt;="&amp;$I$2,Results!$E:$E,"&lt;="&amp;$I$3,Results!$F:$F,"Negative",Results!$K:$K,"Unknown")</f>
        <v>0</v>
      </c>
      <c r="F16" s="28">
        <f>COUNTIFS(Results!$E:$E,"&gt;="&amp;$I$2,Results!$E:$E,"&lt;="&amp;$I$3,Results!$F:$F,"Negative", Results!$K:$K,"&lt;&gt;Not on Form", Results!$K:$K,"&lt;&gt;N/A")</f>
        <v>0</v>
      </c>
      <c r="G16" s="31" t="str">
        <f>IF($F$9=SUM(F16:F20),"","Error! Cross information between Xpert result and treatment category are not match; possibly there will be Erorr or missing information on MTB result OR RIF result")</f>
        <v/>
      </c>
      <c r="I16" s="15" t="str">
        <f t="shared" si="1"/>
        <v/>
      </c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t="14.25" customHeight="1">
      <c r="A17" s="32"/>
      <c r="B17" s="28" t="s">
        <v>62</v>
      </c>
      <c r="C17" s="28">
        <f>COUNTIFS(Results!$E:$E,"&gt;="&amp;$I$2,Results!$E:$E,"&lt;="&amp;$I$3,Results!$F:$F,"Positive",Results!$G:$G,"Negative",Results!$K:$K,"No") + COUNTIFS(Results!$E:$E,"&gt;="&amp;$I$2,Results!$E:$E,"&lt;="&amp;$I$3,Results!$F:$F,"Positive",Results!$G:$G,"Negative",Results!$K:$K,"On Treatment")</f>
        <v>0</v>
      </c>
      <c r="D17" s="28">
        <f>COUNTIFS(Results!$E:$E,"&gt;="&amp;$I$2,Results!$E:$E,"&lt;="&amp;$I$3,Results!$F:$F,"Positive",Results!$G:$G,"Negative",Results!$K:$K,"Yes")</f>
        <v>0</v>
      </c>
      <c r="E17" s="28">
        <f>COUNTIFS(Results!$E:$E,"&gt;="&amp;$I$2,Results!$E:$E,"&lt;="&amp;$I$3,Results!$F:$F,"Positive",Results!$G:$G,"Negative",Results!$K:$K,"Unknown")</f>
        <v>0</v>
      </c>
      <c r="F17" s="28">
        <f>COUNTIFS(Results!$E:$E,"&gt;="&amp;$I$2,Results!$E:$E,"&lt;="&amp;$I$3,Results!$F:$F,"Positive",Results!$G:$G,"Negative", Results!$K:$K,"&lt;&gt;Not on Form", Results!$K:$K,"&lt;&gt;N/A")</f>
        <v>0</v>
      </c>
      <c r="G17" s="33"/>
      <c r="I17" s="15" t="str">
        <f t="shared" si="1"/>
        <v/>
      </c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t="14.25" customHeight="1">
      <c r="A18" s="32"/>
      <c r="B18" s="28" t="s">
        <v>63</v>
      </c>
      <c r="C18" s="28">
        <f>COUNTIFS(Results!$E:$E,"&gt;="&amp;$I$2,Results!$E:$E,"&lt;="&amp;$I$3,Results!$F:$F,"Positive",Results!$G:$G,"Positive",Results!$K:$K,"No") + COUNTIFS(Results!$E:$E,"&gt;="&amp;$I$2,Results!$E:$E,"&lt;="&amp;$I$3,Results!$F:$F,"Positive",Results!$G:$G,"Positive",Results!$K:$K,"On Treatment")</f>
        <v>0</v>
      </c>
      <c r="D18" s="28">
        <f>COUNTIFS(Results!$E:$E,"&gt;="&amp;$I$2,Results!$E:$E,"&lt;="&amp;$I$3,Results!$F:$F,"Positive",Results!$G:$G,"Positive",Results!$K:$K,"Yes")</f>
        <v>0</v>
      </c>
      <c r="E18" s="28">
        <f>COUNTIFS(Results!$E:$E,"&gt;="&amp;$I$2,Results!$E:$E,"&lt;="&amp;$I$3,Results!$F:$F,"Positive",Results!$G:$G,"Positive",Results!$K:$K,"Unknown")</f>
        <v>0</v>
      </c>
      <c r="F18" s="28">
        <f>COUNTIFS(Results!$E:$E,"&gt;="&amp;$I$2,Results!$E:$E,"&lt;="&amp;$I$3,Results!$F:$F,"Positive",Results!$G:$G,"Positive", Results!$K:$K,"&lt;&gt;Not on Form", Results!$K:$K,"&lt;&gt;N/A")</f>
        <v>0</v>
      </c>
      <c r="G18" s="33"/>
      <c r="I18" s="15" t="str">
        <f t="shared" si="1"/>
        <v/>
      </c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t="14.25" customHeight="1">
      <c r="A19" s="32"/>
      <c r="B19" s="28" t="s">
        <v>64</v>
      </c>
      <c r="C19" s="28">
        <f>COUNTIFS(Results!$E:$E,"&gt;="&amp;$I$2,Results!$E:$E,"&lt;="&amp;$I$3,Results!$F:$F,"Positive",Results!$G:$G,"Indeterminate",Results!$K:$K,"No") + COUNTIFS(Results!$E:$E,"&gt;="&amp;$I$2,Results!$E:$E,"&lt;="&amp;$I$3,Results!$F:$F,"Positive",Results!$G:$G,"Indeterminate",Results!$K:$K,"On Treatment")</f>
        <v>0</v>
      </c>
      <c r="D19" s="28">
        <f>COUNTIFS(Results!$E:$E,"&gt;="&amp;$I$2,Results!$E:$E,"&lt;="&amp;$I$3,Results!$F:$F,"Positive",Results!$G:$G,"Indeterminate",Results!$K:$K,"Yes")</f>
        <v>0</v>
      </c>
      <c r="E19" s="28">
        <f>COUNTIFS(Results!$E:$E,"&gt;="&amp;$I$2,Results!$E:$E,"&lt;="&amp;$I$3,Results!$F:$F,"Positive",Results!$G:$G,"Indeterminate",Results!$K:$K,"Unknown")</f>
        <v>0</v>
      </c>
      <c r="F19" s="28">
        <f>COUNTIFS(Results!$E:$E,"&gt;="&amp;$I$2,Results!$E:$E,"&lt;="&amp;$I$3,Results!$F:$F,"Positive",Results!$G:$G,"Indeterminate", Results!$K:$K,"&lt;&gt;Not on Form", Results!$K:$K,"&lt;&gt;N/A")</f>
        <v>0</v>
      </c>
      <c r="G19" s="33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t="14.25" customHeight="1">
      <c r="A20" s="26"/>
      <c r="B20" s="28" t="s">
        <v>65</v>
      </c>
      <c r="C20" s="28">
        <f>COUNTIFS(Results!$E:$E,"&gt;="&amp;$I$2,Results!$E:$E,"&lt;="&amp;$I$3,Results!$F:$F,"Trace",Results!$G:$G,"Indeterminate",Results!$K:$K,"No") + COUNTIFS(Results!$E:$E,"&gt;="&amp;$I$2,Results!$E:$E,"&lt;="&amp;$I$3,Results!$F:$F,"Trace",Results!$G:$G,"Indeterminate",Results!$K:$K,"On Treatment")</f>
        <v>0</v>
      </c>
      <c r="D20" s="28">
        <f>COUNTIFS(Results!$E:$E,"&gt;="&amp;$I$2,Results!$E:$E,"&lt;="&amp;$I$3,Results!$F:$F,"Trace",Results!$G:$G,"Indeterminate",Results!$K:$K,"Yes")</f>
        <v>0</v>
      </c>
      <c r="E20" s="28">
        <f>COUNTIFS(Results!$E:$E,"&gt;="&amp;$I$2,Results!$E:$E,"&lt;="&amp;$I$3,Results!$F:$F,"Trace",Results!$G:$G,"Indeterminate",Results!$K:$K,"Unknown")</f>
        <v>0</v>
      </c>
      <c r="F20" s="28">
        <f>COUNTIFS(Results!$E:$E,"&gt;="&amp;$I$2,Results!$E:$E,"&lt;="&amp;$I$3,Results!$F:$F,"Trace",Results!$G:$G,"Indeterminate", Results!$K:$K,"&lt;&gt;Not on Form", Results!$K:$K,"&lt;&gt;N/A")</f>
        <v>0</v>
      </c>
      <c r="G20" s="33"/>
      <c r="I20" s="15" t="str">
        <f>IF(SUM(C20:E20)=F20,"","Check Total Value &amp; Category")</f>
        <v/>
      </c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t="14.25" customHeight="1">
      <c r="A21" s="15"/>
      <c r="B21" s="15"/>
      <c r="C21" s="15"/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t="14.25" customHeight="1">
      <c r="A22" s="15" t="s">
        <v>66</v>
      </c>
      <c r="B22" s="15"/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t="14.25" customHeight="1">
      <c r="A23" s="28"/>
      <c r="B23" s="28"/>
      <c r="C23" s="34" t="s">
        <v>67</v>
      </c>
      <c r="D23" s="34" t="s">
        <v>68</v>
      </c>
      <c r="E23" s="27" t="s">
        <v>55</v>
      </c>
      <c r="F23" s="27" t="s">
        <v>49</v>
      </c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t="15.75" hidden="1" customHeight="1">
      <c r="A24" s="30" t="s">
        <v>56</v>
      </c>
      <c r="B24" s="28" t="s">
        <v>57</v>
      </c>
      <c r="C24" s="28">
        <f>COUNTIFS(Results!$E:$E,"&gt;="&amp;$I$2,Results!$E:$E,"&lt;="&amp;$I$3,Results!$L:$L,"Positive",Results!$H:$H,"Positive", Results!$F:$F,"*tive")</f>
        <v>0</v>
      </c>
      <c r="D24" s="28">
        <f>COUNTIFS(Results!$E:$E,"&gt;="&amp;$I$2,Results!$E:$E,"&lt;="&amp;$I$3,Results!$L:$L,"Positive",Results!$H:$H,"Negative", Results!$F:$F,"*tive")</f>
        <v>0</v>
      </c>
      <c r="E24" s="28">
        <f>COUNTIFS(Results!$E:$E,"&gt;="&amp;$I$2,Results!$E:$E,"&lt;="&amp;$I$3,Results!$L:$L,"Positive",Results!$H:$H,"Unknown", Results!$F:$F,"*tive")</f>
        <v>0</v>
      </c>
      <c r="F24" s="28">
        <f>COUNTIFS(Results!$E:$E,"&gt;="&amp;$I$2,Results!$E:$E,"&lt;="&amp;$I$3,Results!$L:$L,"Positive", Results!$F:$F,"*tive", Results!$H:$H,"&lt;&gt;Not on Form", Results!$H:$H,"&lt;&gt;N/A", Results!$L:$L,"&lt;&gt;Not on Form", Results!$L:$L,"&lt;&gt;N/A")</f>
        <v>0</v>
      </c>
      <c r="G24" s="31" t="str">
        <f>IF($F$9=SUM(F24:F26),"","Error! Microscope Result and HIV Status do NOT match; Crosscheck for missing information in Microscope Result OR HIV Status")</f>
        <v/>
      </c>
      <c r="I24" s="15" t="str">
        <f t="shared" ref="I24:I29" si="2">IF(SUM(C24:E24)=F24,"","Check Total Value &amp; Category")</f>
        <v/>
      </c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t="14.25" hidden="1" customHeight="1">
      <c r="A25" s="32"/>
      <c r="B25" s="28" t="s">
        <v>58</v>
      </c>
      <c r="C25" s="28">
        <f>COUNTIFS(Results!$E:$E,"&gt;="&amp;$I$2,Results!$E:$E,"&lt;="&amp;$I$3,Results!$L:$L,"Negative",Results!$H:$H,"Positive", Results!$F:$F,"*tive")</f>
        <v>0</v>
      </c>
      <c r="D25" s="28">
        <f>COUNTIFS(Results!$E:$E,"&gt;="&amp;$I$2,Results!$E:$E,"&lt;="&amp;$I$3,Results!$L:$L,"Negative",Results!$H:$H,"Negative", Results!$F:$F,"*tive")</f>
        <v>0</v>
      </c>
      <c r="E25" s="28">
        <f>COUNTIFS(Results!$E:$E,"&gt;="&amp;$I$2,Results!$E:$E,"&lt;="&amp;$I$3,Results!$L:$L,"Negative",Results!$H:$H,"Unknown", Results!$F:$F,"*tive")</f>
        <v>0</v>
      </c>
      <c r="F25" s="28">
        <f>COUNTIFS(Results!$E:$E,"&gt;="&amp;$I$2,Results!$E:$E,"&lt;="&amp;$I$3,Results!$L:$L,"Negative", Results!$F:$F,"*tive",  Results!$H:$H,"&lt;&gt;Not on Form", Results!$H:$H,"&lt;&gt;N/A", Results!$L:$L,"&lt;&gt;Not on Form", Results!$L:$L,"&lt;&gt;N/A")</f>
        <v>0</v>
      </c>
      <c r="G25" s="33"/>
      <c r="I25" s="15" t="str">
        <f t="shared" si="2"/>
        <v/>
      </c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t="14.25" hidden="1" customHeight="1">
      <c r="A26" s="26"/>
      <c r="B26" s="28" t="s">
        <v>59</v>
      </c>
      <c r="C26" s="28">
        <f>COUNTIFS(Results!$E:$E,"&gt;="&amp;$I$2,Results!$E:$E,"&lt;="&amp;$I$3,Results!$L:$L,"Not Done",Results!$H:$H,"Positive", Results!$F:$F,"*tive")</f>
        <v>0</v>
      </c>
      <c r="D26" s="28">
        <f>COUNTIFS(Results!$E:$E,"&gt;="&amp;$I$2,Results!$E:$E,"&lt;="&amp;$I$3,Results!$L:$L,"Not Done",Results!$H:$H,"Negative", Results!$F:$F,"*tive")</f>
        <v>0</v>
      </c>
      <c r="E26" s="28">
        <f>COUNTIFS(Results!$E:$E,"&gt;="&amp;$I$2,Results!$E:$E,"&lt;="&amp;$I$3,Results!$L:$L,"Not Done",Results!$H:$H,"Unknown", Results!$F:$F,"*tive")</f>
        <v>0</v>
      </c>
      <c r="F26" s="28">
        <f>COUNTIFS(Results!$E:$E,"&gt;="&amp;$I$2,Results!$E:$E,"&lt;="&amp;$I$3,Results!$L:$L,"Not Done",Results!$F:$F,"*tive",  Results!$H:$H,"&lt;&gt;Not on Form", Results!$H:$H,"&lt;&gt;N/A", Results!$L:$L,"&lt;&gt;Not on Form", Results!$L:$L,"&lt;&gt;N/A")</f>
        <v>0</v>
      </c>
      <c r="G26" s="33"/>
      <c r="I26" s="15" t="str">
        <f t="shared" si="2"/>
        <v/>
      </c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t="14.25" customHeight="1">
      <c r="A27" s="25" t="s">
        <v>60</v>
      </c>
      <c r="B27" s="28" t="s">
        <v>61</v>
      </c>
      <c r="C27" s="28">
        <f>COUNTIFS(Results!$E:$E,"&gt;="&amp;$I$2,Results!$E:$E,"&lt;="&amp;$I$3,Results!$F:$F,"Negative",Results!$H:$H,"Positive")</f>
        <v>0</v>
      </c>
      <c r="D27" s="28">
        <f>COUNTIFS(Results!$E:$E,"&gt;="&amp;$I$2,Results!$E:$E,"&lt;="&amp;$I$3,Results!$F:$F,"Negative",Results!$H:$H,"Negative")</f>
        <v>0</v>
      </c>
      <c r="E27" s="28">
        <f>COUNTIFS(Results!$E:$E,"&gt;="&amp;$I$2,Results!$E:$E,"&lt;="&amp;$I$3,Results!$F:$F,"Negative",Results!$H:$H,"Unknown")</f>
        <v>0</v>
      </c>
      <c r="F27" s="28">
        <f>COUNTIFS(Results!$E:$E,"&gt;="&amp;$I$2,Results!$E:$E,"&lt;="&amp;$I$3,Results!$F:$F,"Negative", Results!$H:$H,"&lt;&gt;Not on Form", Results!$H:$H,"&lt;&gt;N/A")</f>
        <v>0</v>
      </c>
      <c r="G27" s="31" t="str">
        <f>IF($F$9=SUM(F27:F31),"","Error! Cross information between Xpert result and HIV Status are not match; possibly there will be Erorr or missing information on MTB result OR HIV Status")</f>
        <v/>
      </c>
      <c r="I27" s="15" t="str">
        <f t="shared" si="2"/>
        <v/>
      </c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t="14.25" customHeight="1">
      <c r="A28" s="32"/>
      <c r="B28" s="28" t="s">
        <v>62</v>
      </c>
      <c r="C28" s="28">
        <f>COUNTIFS(Results!$E:$E,"&gt;="&amp;$I$2,Results!$E:$E,"&lt;="&amp;$I$3,Results!$F:$F,"Positive",Results!$G:$G,"Negative",Results!$H:$H,"Positive")</f>
        <v>0</v>
      </c>
      <c r="D28" s="28">
        <f>COUNTIFS(Results!$E:$E,"&gt;="&amp;$I$2,Results!$E:$E,"&lt;="&amp;$I$3,Results!$F:$F,"Positive",Results!$G:$G,"Negative",Results!$H:$H,"Negative")</f>
        <v>0</v>
      </c>
      <c r="E28" s="28">
        <f>COUNTIFS(Results!$E:$E,"&gt;="&amp;$I$2,Results!$E:$E,"&lt;="&amp;$I$3,Results!$F:$F,"Positive",Results!$G:$G,"Negative",Results!$H:$H,"Unknown")</f>
        <v>0</v>
      </c>
      <c r="F28" s="28">
        <f>COUNTIFS(Results!$E:$E,"&gt;="&amp;$I$2,Results!$E:$E,"&lt;="&amp;$I$3,Results!$F:$F,"Positive",Results!$G:$G,"Negative", Results!$H:$H,"&lt;&gt;Not on Form", Results!$H:$H,"&lt;&gt;N/A")</f>
        <v>0</v>
      </c>
      <c r="G28" s="33"/>
      <c r="I28" s="15" t="str">
        <f t="shared" si="2"/>
        <v/>
      </c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t="14.25" customHeight="1">
      <c r="A29" s="32"/>
      <c r="B29" s="28" t="s">
        <v>63</v>
      </c>
      <c r="C29" s="28">
        <f>COUNTIFS(Results!$E:$E,"&gt;="&amp;$I$2,Results!$E:$E,"&lt;="&amp;$I$3,Results!$F:$F,"Positive",Results!$G:$G,"Positive",Results!$H:$H,"Positive")</f>
        <v>0</v>
      </c>
      <c r="D29" s="28">
        <f>COUNTIFS(Results!$E:$E,"&gt;="&amp;$I$2,Results!$E:$E,"&lt;="&amp;$I$3,Results!$F:$F,"Positive",Results!$G:$G,"Positive",Results!$H:$H,"Negative")</f>
        <v>0</v>
      </c>
      <c r="E29" s="28">
        <f>COUNTIFS(Results!$E:$E,"&gt;="&amp;$I$2,Results!$E:$E,"&lt;="&amp;$I$3,Results!$F:$F,"Positive",Results!$G:$G,"Positive",Results!$H:$H,"Unknown")</f>
        <v>0</v>
      </c>
      <c r="F29" s="28">
        <f>COUNTIFS(Results!$E:$E,"&gt;="&amp;$I$2,Results!$E:$E,"&lt;="&amp;$I$3,Results!$F:$F,"Positive",Results!$G:$G,"Positive", Results!$H:$H,"&lt;&gt;Not on Form", Results!$H:$H,"&lt;&gt;N/A")</f>
        <v>0</v>
      </c>
      <c r="G29" s="33"/>
      <c r="I29" s="15" t="str">
        <f t="shared" si="2"/>
        <v/>
      </c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t="14.25" customHeight="1">
      <c r="A30" s="32"/>
      <c r="B30" s="28" t="s">
        <v>64</v>
      </c>
      <c r="C30" s="28">
        <f>COUNTIFS(Results!$E:$E,"&gt;="&amp;$I$2,Results!$E:$E,"&lt;="&amp;$I$3,Results!$F:$F,"Positive",Results!$G:$G,"Indeterminate",Results!$H:$H,"Positive")</f>
        <v>0</v>
      </c>
      <c r="D30" s="28">
        <f>COUNTIFS(Results!$E:$E,"&gt;="&amp;$I$2,Results!$E:$E,"&lt;="&amp;$I$3,Results!$F:$F,"Positive",Results!$G:$G,"Indeterminate",Results!$H:$H,"Negative")</f>
        <v>0</v>
      </c>
      <c r="E30" s="28">
        <f>COUNTIFS(Results!$E:$E,"&gt;="&amp;$I$2,Results!$E:$E,"&lt;="&amp;$I$3,Results!$F:$F,"Positive",Results!$G:$G,"Indeterminate",Results!$H:$H,"Unknown")</f>
        <v>0</v>
      </c>
      <c r="F30" s="28">
        <f>COUNTIFS(Results!$E:$E,"&gt;="&amp;$I$2,Results!$E:$E,"&lt;="&amp;$I$3,Results!$F:$F,"Positive",Results!$G:$G,"Indeterminate", Results!$H:$H,"&lt;&gt;Not on Form", Results!$H:$H,"&lt;&gt;N/A")</f>
        <v>0</v>
      </c>
      <c r="G30" s="33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t="14.25" customHeight="1">
      <c r="A31" s="26"/>
      <c r="B31" s="28" t="s">
        <v>65</v>
      </c>
      <c r="C31" s="28">
        <f>COUNTIFS(Results!$E:$E,"&gt;="&amp;$I$2,Results!$E:$E,"&lt;="&amp;$I$3,Results!$F:$F,"Trace",Results!$G:$G,"Indeterminate",Results!$H:$H,"Positive")</f>
        <v>0</v>
      </c>
      <c r="D31" s="28">
        <f>COUNTIFS(Results!$E:$E,"&gt;="&amp;$I$2,Results!$E:$E,"&lt;="&amp;$I$3,Results!$F:$F,"Trace",Results!$G:$G,"Indeterminate",Results!$H:$H,"Negative")</f>
        <v>0</v>
      </c>
      <c r="E31" s="28">
        <f>COUNTIFS(Results!$E:$E,"&gt;="&amp;$I$2,Results!$E:$E,"&lt;="&amp;$I$3,Results!$F:$F,"Trace",Results!$G:$G,"Indeterminate",Results!$H:$H,"Unknown")</f>
        <v>0</v>
      </c>
      <c r="F31" s="28">
        <f>COUNTIFS(Results!$E:$E,"&gt;="&amp;$I$2,Results!$E:$E,"&lt;="&amp;$I$3,Results!$F:$F,"Trace",Results!$G:$G,"Indeterminate", Results!$H:$H,"&lt;&gt;Not on Form", Results!$H:$H,"&lt;&gt;N/A")</f>
        <v>0</v>
      </c>
      <c r="G31" s="33"/>
      <c r="I31" s="15" t="str">
        <f>IF(SUM(C31:E31)=F31,"","Check Total Value &amp; Category")</f>
        <v/>
      </c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t="14.25" customHeight="1">
      <c r="A32" s="15"/>
      <c r="B32" s="15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t="14.25" customHeight="1">
      <c r="A33" s="35" t="s">
        <v>69</v>
      </c>
      <c r="B33" s="36"/>
      <c r="C33" s="36"/>
      <c r="D33" s="36"/>
      <c r="E33" s="36"/>
      <c r="F33" s="36"/>
      <c r="G33" s="36"/>
      <c r="H33" s="36"/>
      <c r="I33" s="36"/>
      <c r="J33" s="36"/>
      <c r="K33" s="36"/>
      <c r="L33" s="36"/>
      <c r="M33" s="36"/>
      <c r="N33" s="36"/>
      <c r="O33" s="36"/>
      <c r="P33" s="36"/>
      <c r="Q33" s="36"/>
      <c r="R33" s="36"/>
      <c r="S33" s="36"/>
      <c r="T33" s="36"/>
      <c r="U33" s="36"/>
      <c r="V33" s="36"/>
      <c r="W33" s="36"/>
      <c r="X33" s="36"/>
      <c r="Y33" s="36"/>
      <c r="Z33" s="36"/>
    </row>
    <row r="34" ht="14.25" customHeight="1">
      <c r="A34" s="37"/>
      <c r="B34" s="37"/>
      <c r="C34" s="38" t="s">
        <v>70</v>
      </c>
      <c r="D34" s="38" t="s">
        <v>71</v>
      </c>
      <c r="E34" s="38" t="s">
        <v>72</v>
      </c>
      <c r="F34" s="38" t="s">
        <v>73</v>
      </c>
      <c r="G34" s="38" t="s">
        <v>74</v>
      </c>
      <c r="H34" s="39" t="s">
        <v>49</v>
      </c>
      <c r="I34" s="40"/>
      <c r="J34" s="40"/>
      <c r="K34" s="40"/>
      <c r="L34" s="40"/>
      <c r="M34" s="40"/>
      <c r="N34" s="40"/>
      <c r="O34" s="40"/>
      <c r="P34" s="40"/>
      <c r="Q34" s="40"/>
      <c r="R34" s="40"/>
      <c r="S34" s="40"/>
      <c r="T34" s="40"/>
      <c r="U34" s="40"/>
      <c r="V34" s="40"/>
      <c r="W34" s="40"/>
      <c r="X34" s="40"/>
      <c r="Y34" s="40"/>
      <c r="Z34" s="40"/>
    </row>
    <row r="35" ht="14.25" customHeight="1">
      <c r="A35" s="41" t="s">
        <v>60</v>
      </c>
      <c r="B35" s="42" t="s">
        <v>61</v>
      </c>
      <c r="C35" s="43">
        <f>COUNTIFS(Results!$E:$E,"&gt;="&amp;$I$2,Results!$E:$E,"&lt;="&amp;$I$3,Results!$F:$F,"Negative",Results!$S:$S,"*DX*")</f>
        <v>0</v>
      </c>
      <c r="D35" s="43">
        <f>COUNTIFS(Results!$E:$E,"&gt;="&amp;$I$2,Results!$E:$E,"&lt;="&amp;$I$3,Results!$F:$F,"Negative",Results!$S:$S,"*fu*")</f>
        <v>0</v>
      </c>
      <c r="E35" s="43">
        <f>COUNTIFS(Results!$E:$E,"&gt;="&amp;$I$2,Results!$E:$E,"&lt;="&amp;$I$3,Results!$F:$F,"Negative",Results!$S:$S,"*mdr*")</f>
        <v>0</v>
      </c>
      <c r="F35" s="43">
        <f>COUNTIFS(Results!$E:$E,"&gt;="&amp;$I$2,Results!$E:$E,"&lt;="&amp;$I$3,Results!$F:$F,"Negative",Results!$S:$S,"*dm*")</f>
        <v>0</v>
      </c>
      <c r="G35" s="43">
        <f>COUNTIFS(Results!$E:$E,"&gt;="&amp;$I$2,Results!$E:$E,"&lt;="&amp;$I$3,Results!$F:$F,"Negative",Results!$S:$S,"*na*")</f>
        <v>0</v>
      </c>
      <c r="H35" s="43">
        <f>COUNTIFS(Results!$E:$E,"&gt;="&amp;$I$2,Results!$E:$E,"&lt;="&amp;$I$3,Results!$F:$F,"Negative", Results!$O:$O,"&lt;&gt;Not on Form", Results!$O:$O,"&lt;&gt;N/A")</f>
        <v>0</v>
      </c>
      <c r="I35" s="40"/>
      <c r="J35" s="40"/>
      <c r="K35" s="40"/>
      <c r="L35" s="40"/>
      <c r="M35" s="40"/>
      <c r="N35" s="40"/>
      <c r="O35" s="40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</row>
    <row r="36" ht="14.25" customHeight="1">
      <c r="A36" s="32"/>
      <c r="B36" s="42" t="s">
        <v>62</v>
      </c>
      <c r="C36" s="43">
        <f>COUNTIFS(Results!$E:$E,"&gt;="&amp;$I$2,Results!$E:$E,"&lt;="&amp;$I$3,Results!$F:$F,"Positive",Results!$G:$G,"Negative",Results!$S:$S,"*DX*")</f>
        <v>0</v>
      </c>
      <c r="D36" s="43">
        <f>COUNTIFS(Results!$E:$E,"&gt;="&amp;$I$2,Results!$E:$E,"&lt;="&amp;$I$3,Results!$F:$F,"Positive",Results!$G:$G,"Negative",Results!$S:$S,"*fu*")</f>
        <v>0</v>
      </c>
      <c r="E36" s="43">
        <f>COUNTIFS(Results!$E:$E,"&gt;="&amp;$I$2,Results!$E:$E,"&lt;="&amp;$I$3,Results!$F:$F,"Positive",Results!$G:$G,"Negative",Results!$S:$S,"*mdr*")</f>
        <v>0</v>
      </c>
      <c r="F36" s="43">
        <f>COUNTIFS(Results!$E:$E,"&gt;="&amp;$I$2,Results!$E:$E,"&lt;="&amp;$I$3,Results!$F:$F,"Positive",Results!$G:$G,"Negative",Results!$S:$S,"*Dm*")</f>
        <v>0</v>
      </c>
      <c r="G36" s="43">
        <f>COUNTIFS(Results!$E:$E,"&gt;="&amp;$I$2,Results!$E:$E,"&lt;="&amp;$I$3,Results!$F:$F,"Positive",Results!$G:$G,"Negative",Results!$S:$S,"*na*")</f>
        <v>0</v>
      </c>
      <c r="H36" s="43">
        <f>COUNTIFS(Results!$E:$E,"&gt;="&amp;$I$2,Results!$E:$E,"&lt;="&amp;$I$3,Results!$F:$F,"Positive",Results!$G:$G,"Negative", Results!$O:$O,"&lt;&gt;Not on Form", Results!$O:$O,"&lt;&gt;N/A")</f>
        <v>0</v>
      </c>
      <c r="I36" s="40"/>
      <c r="J36" s="40"/>
      <c r="K36" s="40"/>
      <c r="L36" s="40"/>
      <c r="M36" s="40"/>
      <c r="N36" s="40"/>
      <c r="O36" s="40"/>
      <c r="P36" s="40"/>
      <c r="Q36" s="40"/>
      <c r="R36" s="40"/>
      <c r="S36" s="40"/>
      <c r="T36" s="40"/>
      <c r="U36" s="40"/>
      <c r="V36" s="40"/>
      <c r="W36" s="40"/>
      <c r="X36" s="40"/>
      <c r="Y36" s="40"/>
      <c r="Z36" s="40"/>
    </row>
    <row r="37" ht="14.25" customHeight="1">
      <c r="A37" s="32"/>
      <c r="B37" s="42" t="s">
        <v>63</v>
      </c>
      <c r="C37" s="43">
        <f>COUNTIFS(Results!$E:$E,"&gt;="&amp;$I$2,Results!$E:$E,"&lt;="&amp;$I$3,Results!$F:$F,"Positive",Results!$G:$G,"Positive",Results!$S:$S,"*DX*")</f>
        <v>0</v>
      </c>
      <c r="D37" s="43">
        <f>COUNTIFS(Results!$E:$E,"&gt;="&amp;$I$2,Results!$E:$E,"&lt;="&amp;$I$3,Results!$F:$F,"Positive",Results!$G:$G,"Positive",Results!$S:$S,"*fu*")</f>
        <v>0</v>
      </c>
      <c r="E37" s="43">
        <f>COUNTIFS(Results!$E:$E,"&gt;="&amp;$I$2,Results!$E:$E,"&lt;="&amp;$I$3,Results!$F:$F,"Positive",Results!$G:$G,"Positive",Results!$S:$S,"*mdr*")</f>
        <v>0</v>
      </c>
      <c r="F37" s="43">
        <f>COUNTIFS(Results!$E:$E,"&gt;="&amp;$I$2,Results!$E:$E,"&lt;="&amp;$I$3,Results!$F:$F,"Positive",Results!$G:$G,"Positive",Results!$S:$S,"*dm*")</f>
        <v>0</v>
      </c>
      <c r="G37" s="43">
        <f>COUNTIFS(Results!$E:$E,"&gt;="&amp;$I$2,Results!$E:$E,"&lt;="&amp;$I$3,Results!$F:$F,"Positive",Results!$G:$G,"Positive",Results!$S:$S,"*na*")</f>
        <v>0</v>
      </c>
      <c r="H37" s="43">
        <f>COUNTIFS(Results!$E:$E,"&gt;="&amp;$I$2,Results!$E:$E,"&lt;="&amp;$I$3,Results!$F:$F,"Positive",Results!$G:$G,"Positive", Results!$O:$O,"&lt;&gt;Not on Form", Results!$O:$O,"&lt;&gt;N/A")</f>
        <v>0</v>
      </c>
      <c r="I37" s="40"/>
      <c r="J37" s="40"/>
      <c r="K37" s="40"/>
      <c r="L37" s="40"/>
      <c r="M37" s="40"/>
      <c r="N37" s="40"/>
      <c r="O37" s="40"/>
      <c r="P37" s="40"/>
      <c r="Q37" s="40"/>
      <c r="R37" s="40"/>
      <c r="S37" s="40"/>
      <c r="T37" s="40"/>
      <c r="U37" s="40"/>
      <c r="V37" s="40"/>
      <c r="W37" s="40"/>
      <c r="X37" s="40"/>
      <c r="Y37" s="40"/>
      <c r="Z37" s="40"/>
    </row>
    <row r="38" ht="14.25" customHeight="1">
      <c r="A38" s="32"/>
      <c r="B38" s="42" t="s">
        <v>64</v>
      </c>
      <c r="C38" s="43">
        <f>COUNTIFS(Results!$E:$E,"&gt;="&amp;$I$2,Results!$E:$E,"&lt;="&amp;$I$3,Results!$F:$F,"Positive",Results!$G:$G,"Indeterminate",Results!$S:$S,"*DX*")</f>
        <v>0</v>
      </c>
      <c r="D38" s="43">
        <f>COUNTIFS(Results!$E:$E,"&gt;="&amp;$I$2,Results!$E:$E,"&lt;="&amp;$I$3,Results!$F:$F,"Positive",Results!$G:$G,"Indeterminate",Results!$S:$S,"*fu*")</f>
        <v>0</v>
      </c>
      <c r="E38" s="43">
        <f>COUNTIFS(Results!$E:$E,"&gt;="&amp;$I$2,Results!$E:$E,"&lt;="&amp;$I$3,Results!$F:$F,"Positive",Results!$G:$G,"Indeterminate",Results!$S:$S,"*mdr*")</f>
        <v>0</v>
      </c>
      <c r="F38" s="43">
        <f>COUNTIFS(Results!$E:$E,"&gt;="&amp;$I$2,Results!$E:$E,"&lt;="&amp;$I$3,Results!$F:$F,"Positive",Results!$G:$G,"Indeterminate",Results!$S:$S,"*dm*")</f>
        <v>0</v>
      </c>
      <c r="G38" s="43">
        <f>COUNTIFS(Results!$E:$E,"&gt;="&amp;$I$2,Results!$E:$E,"&lt;="&amp;$I$3,Results!$F:$F,"Positive",Results!$G:$G,"Indeterminate",Results!$S:$S,"*na*")</f>
        <v>0</v>
      </c>
      <c r="H38" s="43">
        <f>COUNTIFS(Results!$E:$E,"&gt;="&amp;$I$2,Results!$E:$E,"&lt;="&amp;$I$3,Results!$F:$F,"Positive",Results!$G:$G,"Indeterminate", Results!$O:$O,"&lt;&gt;Not on Form", Results!$O:$O,"&lt;&gt;N/A")</f>
        <v>0</v>
      </c>
      <c r="I38" s="40"/>
      <c r="J38" s="40"/>
      <c r="K38" s="40"/>
      <c r="L38" s="40"/>
      <c r="M38" s="40"/>
      <c r="N38" s="40"/>
      <c r="O38" s="40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</row>
    <row r="39" ht="14.25" customHeight="1">
      <c r="A39" s="26"/>
      <c r="B39" s="42" t="s">
        <v>75</v>
      </c>
      <c r="C39" s="43">
        <f>COUNTIFS(Results!$E:$E,"&gt;="&amp;$I$2,Results!$E:$E,"&lt;="&amp;$I$3,Results!$F:$F,"Trace",Results!$G:$G,"Indeterminate",Results!$S:$S,"*DX*")</f>
        <v>0</v>
      </c>
      <c r="D39" s="43">
        <f>COUNTIFS(Results!$E:$E,"&gt;="&amp;$I$2,Results!$E:$E,"&lt;="&amp;$I$3,Results!$F:$F,"Trace",Results!$G:$G,"Indeterminate",Results!$S:$S,"*fu*")</f>
        <v>0</v>
      </c>
      <c r="E39" s="43">
        <f>COUNTIFS(Results!$E:$E,"&gt;="&amp;$I$2,Results!$E:$E,"&lt;="&amp;$I$3,Results!$F:$F,"Trace",Results!$G:$G,"Indeterminate",Results!$S:$S,"*mdr*")</f>
        <v>0</v>
      </c>
      <c r="F39" s="43">
        <f>COUNTIFS(Results!$E:$E,"&gt;="&amp;$I$2,Results!$E:$E,"&lt;="&amp;$I$3,Results!$F:$F,"Trace",Results!$G:$G,"Indeterminate",Results!$S:$S,"*dm*")</f>
        <v>0</v>
      </c>
      <c r="G39" s="43">
        <f>COUNTIFS(Results!$E:$E,"&gt;="&amp;$I$2,Results!$E:$E,"&lt;="&amp;$I$3,Results!$F:$F,"Trace",Results!$G:$G,"Indeterminate",Results!$S:$S,"*na*")</f>
        <v>0</v>
      </c>
      <c r="H39" s="43">
        <f>COUNTIFS(Results!$E:$E,"&gt;="&amp;$I$2,Results!$E:$E,"&lt;="&amp;$I$3,Results!$F:$F,"Trace",Results!$G:$G,"Indeterminate", Results!$O:$O,"&lt;&gt;Not on Form", Results!$O:$O,"&lt;&gt;N/A")</f>
        <v>0</v>
      </c>
      <c r="I39" s="40"/>
      <c r="J39" s="40"/>
      <c r="K39" s="40"/>
      <c r="L39" s="40"/>
      <c r="M39" s="40"/>
      <c r="N39" s="40"/>
      <c r="O39" s="40"/>
      <c r="P39" s="40"/>
      <c r="Q39" s="40"/>
      <c r="R39" s="40"/>
      <c r="S39" s="40"/>
      <c r="T39" s="40"/>
      <c r="U39" s="40"/>
      <c r="V39" s="40"/>
      <c r="W39" s="40"/>
      <c r="X39" s="40"/>
      <c r="Y39" s="40"/>
      <c r="Z39" s="40"/>
    </row>
    <row r="40" ht="14.25" customHeight="1">
      <c r="A40" s="15"/>
      <c r="B40" s="15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t="14.25" customHeight="1">
      <c r="A41" s="15"/>
      <c r="B41" s="15"/>
      <c r="C41" s="23" t="s">
        <v>47</v>
      </c>
      <c r="D41" s="24"/>
      <c r="E41" s="23" t="s">
        <v>48</v>
      </c>
      <c r="F41" s="24"/>
      <c r="G41" s="22" t="s">
        <v>49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t="14.25" customHeight="1">
      <c r="A42" s="28" t="s">
        <v>76</v>
      </c>
      <c r="B42" s="28"/>
      <c r="C42" s="23">
        <f>COUNTIFS(Results!$E:$E,"&gt;="&amp;$I$2,Results!$E:$E,"&lt;="&amp;$I$3,Results!$I:$I,"Male",Results!$F:$F,"Positive",Results!$G:$G,"Positive")</f>
        <v>0</v>
      </c>
      <c r="D42" s="24"/>
      <c r="E42" s="23">
        <f>COUNTIFS(Results!$E:$E,"&gt;="&amp;$I$2,Results!$E:$E,"&lt;="&amp;$I$3,Results!$I:$I,"Female",Results!$F:$F,"Positive",Results!$G:$G,"Positive")</f>
        <v>0</v>
      </c>
      <c r="F42" s="24"/>
      <c r="G42" s="28">
        <f>COUNTIFS(Results!$E:$E,"&gt;="&amp;$I$2,Results!$E:$E,"&lt;="&amp;$I$3,Results!$F:$F,"Positive",Results!$G:$G,"Positive", Results!$I:$I,"&lt;&gt;Not on Form", Results!$I:$I,"&lt;&gt;N/A")</f>
        <v>0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t="14.25" customHeight="1">
      <c r="A43" s="15"/>
      <c r="B43" s="15"/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t="14.25" customHeight="1">
      <c r="A44" s="15" t="s">
        <v>77</v>
      </c>
      <c r="B44" s="15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t="14.25" customHeight="1">
      <c r="A45" s="28"/>
      <c r="B45" s="28"/>
      <c r="C45" s="23" t="s">
        <v>78</v>
      </c>
      <c r="D45" s="24"/>
      <c r="E45" s="23" t="s">
        <v>79</v>
      </c>
      <c r="F45" s="24"/>
      <c r="G45" s="28" t="s">
        <v>49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t="14.25" customHeight="1">
      <c r="A46" s="44" t="s">
        <v>80</v>
      </c>
      <c r="B46" s="45"/>
      <c r="C46" s="23">
        <f>COUNTIFS(Results!$E:$E,"&gt;="&amp;$I$2,Results!$E:$E,"&lt;="&amp;$I$3,Results!$F:$F,"Positive",Results!$L:$L,"Positive")</f>
        <v>0</v>
      </c>
      <c r="D46" s="24"/>
      <c r="E46" s="23">
        <f>COUNTIFS(Results!$E:$E,"&gt;="&amp;$I$2,Results!$E:$E,"&lt;="&amp;$I$3,Results!$F:$F,"Negative",Results!$L:$L,"Positive")</f>
        <v>0</v>
      </c>
      <c r="F46" s="24"/>
      <c r="G46" s="28">
        <f>COUNTIFS(Results!$E:$E,"&gt;="&amp;$I$2,Results!$E:$E,"&lt;="&amp;$I$3,Results!$L:$L,"Positive", Results!$F:$F,"*tive", Results!$L:$L,"&lt;&gt;Not on Form", Results!$L:$L,"&lt;&gt;N/A")</f>
        <v>0</v>
      </c>
      <c r="H46" s="31" t="s">
        <v>81</v>
      </c>
      <c r="J46" s="15" t="str">
        <f t="shared" ref="J46:J48" si="3">IF(SUM(C46:F46)=G46,"","Check Total Value &amp; Category")</f>
        <v/>
      </c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t="14.25" customHeight="1">
      <c r="A47" s="44" t="s">
        <v>82</v>
      </c>
      <c r="B47" s="45"/>
      <c r="C47" s="23">
        <f>COUNTIFS(Results!$E:$E,"&gt;="&amp;$I$2,Results!$E:$E,"&lt;="&amp;$I$3,Results!$F:$F,"Positive",Results!$L:$L,"Negative")</f>
        <v>0</v>
      </c>
      <c r="D47" s="24"/>
      <c r="E47" s="23">
        <f>COUNTIFS(Results!$E:$E,"&gt;="&amp;$I$2,Results!$E:$E,"&lt;="&amp;$I$3,Results!$F:$F,"Negative",Results!$L:$L,"Negative")</f>
        <v>0</v>
      </c>
      <c r="F47" s="24"/>
      <c r="G47" s="28">
        <f>COUNTIFS(Results!$E:$E,"&gt;="&amp;$I$2,Results!$E:$E,"&lt;="&amp;$I$3,Results!$L:$L,"Negative", Results!$F:$F,"*tive", Results!$F:$F,"*tive", Results!$L:$L,"&lt;&gt;Not on Form", Results!$L:$L,"&lt;&gt;N/A")</f>
        <v>0</v>
      </c>
      <c r="H47" s="33"/>
      <c r="J47" s="15" t="str">
        <f t="shared" si="3"/>
        <v/>
      </c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t="14.25" customHeight="1">
      <c r="A48" s="44" t="s">
        <v>83</v>
      </c>
      <c r="B48" s="45"/>
      <c r="C48" s="23">
        <f>COUNTIFS(Results!$E:$E,"&gt;="&amp;$I$2,Results!$E:$E,"&lt;="&amp;$I$3,Results!$F:$F,"Positive",Results!$L:$L,"Not Done")</f>
        <v>0</v>
      </c>
      <c r="D48" s="24"/>
      <c r="E48" s="23">
        <f>COUNTIFS(Results!$E:$E,"&gt;="&amp;$I$2,Results!$E:$E,"&lt;="&amp;$I$3,Results!$F:$F,"Negative",Results!$L:$L,"Not Done")</f>
        <v>0</v>
      </c>
      <c r="F48" s="24"/>
      <c r="G48" s="28">
        <f>COUNTIFS(Results!$E:$E,"&gt;="&amp;$I$2,Results!$E:$E,"&lt;="&amp;$I$3,Results!$L:$L,"Not Done", Results!$F:$F,"*tive", Results!$F:$F,"*tive", Results!$L:$L,"&lt;&gt;Not on Form", Results!$L:$L,"&lt;&gt;N/A")</f>
        <v>0</v>
      </c>
      <c r="H48" s="33"/>
      <c r="J48" s="15" t="str">
        <f t="shared" si="3"/>
        <v/>
      </c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t="14.25" customHeight="1">
      <c r="A49" s="15"/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t="14.25" customHeight="1">
      <c r="A50" s="36"/>
      <c r="B50" s="36"/>
      <c r="C50" s="46" t="s">
        <v>78</v>
      </c>
      <c r="D50" s="24"/>
      <c r="E50" s="46" t="s">
        <v>79</v>
      </c>
      <c r="F50" s="24"/>
      <c r="G50" s="47" t="s">
        <v>49</v>
      </c>
      <c r="H50" s="36"/>
      <c r="I50" s="36"/>
      <c r="J50" s="36"/>
      <c r="K50" s="36"/>
      <c r="L50" s="36"/>
      <c r="M50" s="36"/>
      <c r="N50" s="36"/>
      <c r="O50" s="36"/>
      <c r="P50" s="36"/>
      <c r="Q50" s="36"/>
      <c r="R50" s="36"/>
      <c r="S50" s="36"/>
      <c r="T50" s="36"/>
      <c r="U50" s="36"/>
      <c r="V50" s="36"/>
      <c r="W50" s="36"/>
      <c r="X50" s="36"/>
      <c r="Y50" s="36"/>
      <c r="Z50" s="36"/>
    </row>
    <row r="51" ht="14.25" customHeight="1">
      <c r="A51" s="42" t="s">
        <v>84</v>
      </c>
      <c r="B51" s="37"/>
      <c r="C51" s="48">
        <f>COUNTIFS(Results!$E:$E,"&gt;="&amp;$I$2,Results!$E:$E,"&lt;="&amp;$I$3,Results!$F:$F,"Positive",Results!$P:$P,"CXR")</f>
        <v>0</v>
      </c>
      <c r="D51" s="24"/>
      <c r="E51" s="48">
        <f>COUNTIFS(Results!$E:$E,"&gt;="&amp;$I$2,Results!$E:$E,"&lt;="&amp;$I$3,Results!$F:$F,"Negative",Results!$P:$P,"CXR")</f>
        <v>0</v>
      </c>
      <c r="F51" s="24"/>
      <c r="G51" s="49">
        <f>COUNTIFS(Results!$E:$E,"&gt;="&amp;$I$2,Results!$E:$E,"&lt;="&amp;$I$3,Results!$F:$F,"Negative",Results!$P:$P,"CXR")</f>
        <v>0</v>
      </c>
      <c r="H51" s="40"/>
      <c r="I51" s="40"/>
      <c r="J51" s="40"/>
      <c r="K51" s="40"/>
      <c r="L51" s="40"/>
      <c r="M51" s="40"/>
      <c r="N51" s="40"/>
      <c r="O51" s="40"/>
      <c r="P51" s="40"/>
      <c r="Q51" s="40"/>
      <c r="R51" s="40"/>
      <c r="S51" s="40"/>
      <c r="T51" s="40"/>
      <c r="U51" s="40"/>
      <c r="V51" s="40"/>
      <c r="W51" s="40"/>
      <c r="X51" s="40"/>
      <c r="Y51" s="40"/>
      <c r="Z51" s="40"/>
    </row>
    <row r="52" ht="14.25" customHeight="1">
      <c r="A52" s="15"/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t="14.25" customHeight="1">
      <c r="A53" s="15" t="s">
        <v>85</v>
      </c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t="14.25" customHeight="1">
      <c r="A54" s="28"/>
      <c r="B54" s="28"/>
      <c r="C54" s="23" t="s">
        <v>86</v>
      </c>
      <c r="D54" s="24"/>
      <c r="E54" s="23" t="s">
        <v>87</v>
      </c>
      <c r="F54" s="24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t="14.25" customHeight="1">
      <c r="A55" s="44" t="s">
        <v>88</v>
      </c>
      <c r="B55" s="45"/>
      <c r="C55" s="23"/>
      <c r="D55" s="24"/>
      <c r="E55" s="23"/>
      <c r="F55" s="24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t="14.25" customHeight="1">
      <c r="A56" s="44" t="s">
        <v>89</v>
      </c>
      <c r="B56" s="45"/>
      <c r="C56" s="23"/>
      <c r="D56" s="24"/>
      <c r="E56" s="23"/>
      <c r="F56" s="24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t="14.25" customHeight="1">
      <c r="A57" s="44" t="s">
        <v>90</v>
      </c>
      <c r="B57" s="45"/>
      <c r="C57" s="23">
        <f>COUNTIFS(Results!$E:$E,"&gt;="&amp;$I$2,Results!$E:$E,"&lt;="&amp;$I$3)</f>
        <v>0</v>
      </c>
      <c r="D57" s="24"/>
      <c r="E57" s="23"/>
      <c r="F57" s="24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t="14.25" customHeight="1">
      <c r="A58" s="44" t="s">
        <v>91</v>
      </c>
      <c r="B58" s="45"/>
      <c r="C58" s="23">
        <f>C55+C56-C57</f>
        <v>0</v>
      </c>
      <c r="D58" s="24"/>
      <c r="E58" s="23"/>
      <c r="F58" s="24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t="14.25" customHeight="1">
      <c r="A59" s="50" t="s">
        <v>92</v>
      </c>
      <c r="B59" s="50"/>
      <c r="C59" s="50">
        <f>COUNTIFS(Results!$E:$E,"&gt;="&amp;$I$2,Results!$E:$E,"&lt;="&amp;$I$3,Results!$F:$F,"Error")+COUNTIFS(Results!$E:$E,"&gt;="&amp;$I$2,Results!$E:$E,"&lt;="&amp;$I$3,Results!$F:$F,"Invalid")</f>
        <v>0</v>
      </c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t="14.25" customHeight="1">
      <c r="A60" s="50" t="s">
        <v>93</v>
      </c>
      <c r="B60" s="15"/>
      <c r="C60" s="50">
        <f>COUNTIFS(Results!$E:$E,"&gt;="&amp;$I$2,Results!$E:$E,"&lt;="&amp;$I$3,Results!$F:$F,"No Result")</f>
        <v>0</v>
      </c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t="14.25" customHeight="1">
      <c r="A61" s="15"/>
      <c r="B61" s="15"/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t="14.25" customHeight="1">
      <c r="A62" s="15"/>
      <c r="B62" s="15"/>
      <c r="C62" s="15"/>
      <c r="D62" s="15"/>
      <c r="E62" s="15" t="s">
        <v>94</v>
      </c>
      <c r="F62" s="51"/>
      <c r="G62" s="51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t="14.25" customHeight="1">
      <c r="A63" s="15"/>
      <c r="B63" s="15"/>
      <c r="C63" s="15"/>
      <c r="D63" s="15"/>
      <c r="E63" s="15" t="s">
        <v>95</v>
      </c>
      <c r="F63" s="52"/>
      <c r="G63" s="52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t="14.25" customHeight="1">
      <c r="A64" s="15"/>
      <c r="B64" s="15"/>
      <c r="C64" s="15"/>
      <c r="D64" s="15"/>
      <c r="E64" s="15" t="s">
        <v>96</v>
      </c>
      <c r="F64" s="52"/>
      <c r="G64" s="52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t="14.25" customHeight="1">
      <c r="A65" s="15"/>
      <c r="B65" s="15"/>
      <c r="C65" s="15"/>
      <c r="D65" s="15"/>
      <c r="E65" s="15" t="s">
        <v>97</v>
      </c>
      <c r="F65" s="52"/>
      <c r="G65" s="52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t="14.25" customHeight="1">
      <c r="A66" s="15"/>
      <c r="B66" s="15"/>
      <c r="C66" s="15"/>
      <c r="D66" s="15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t="14.25" customHeight="1">
      <c r="A67" s="15"/>
      <c r="B67" s="15"/>
      <c r="C67" s="15"/>
      <c r="D67" s="15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t="14.25" customHeight="1">
      <c r="A68" s="15"/>
      <c r="B68" s="15"/>
      <c r="C68" s="15"/>
      <c r="D68" s="15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t="14.25" customHeight="1">
      <c r="A69" s="15"/>
      <c r="B69" s="15"/>
      <c r="C69" s="15"/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t="14.25" customHeight="1">
      <c r="A70" s="15"/>
      <c r="B70" s="15"/>
      <c r="C70" s="15"/>
      <c r="D70" s="15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t="14.25" customHeight="1">
      <c r="A71" s="15"/>
      <c r="B71" s="15"/>
      <c r="C71" s="15"/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t="14.25" customHeight="1">
      <c r="A72" s="15"/>
      <c r="B72" s="15"/>
      <c r="C72" s="15"/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t="14.25" customHeight="1">
      <c r="A73" s="15"/>
      <c r="B73" s="15"/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t="14.25" customHeight="1">
      <c r="A74" s="15"/>
      <c r="B74" s="15"/>
      <c r="C74" s="15"/>
      <c r="D74" s="15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t="14.25" customHeight="1">
      <c r="A75" s="15"/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t="14.25" customHeight="1">
      <c r="A76" s="15"/>
      <c r="B76" s="15"/>
      <c r="C76" s="15"/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t="14.25" customHeight="1">
      <c r="A77" s="15"/>
      <c r="B77" s="15"/>
      <c r="C77" s="15"/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t="14.25" customHeight="1">
      <c r="A78" s="15"/>
      <c r="B78" s="15"/>
      <c r="C78" s="15"/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t="14.25" customHeight="1">
      <c r="A79" s="15"/>
      <c r="B79" s="15"/>
      <c r="C79" s="15"/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t="14.25" customHeight="1">
      <c r="A80" s="15"/>
      <c r="B80" s="15"/>
      <c r="C80" s="15"/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t="14.25" customHeight="1">
      <c r="A81" s="15"/>
      <c r="B81" s="15"/>
      <c r="C81" s="15"/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t="14.25" customHeight="1">
      <c r="A82" s="15"/>
      <c r="B82" s="15"/>
      <c r="C82" s="15"/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t="14.25" customHeight="1">
      <c r="A83" s="15"/>
      <c r="B83" s="15"/>
      <c r="C83" s="15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t="14.25" customHeight="1">
      <c r="A84" s="15"/>
      <c r="B84" s="15"/>
      <c r="C84" s="15"/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t="14.25" customHeight="1">
      <c r="A85" s="15"/>
      <c r="B85" s="15"/>
      <c r="C85" s="15"/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t="14.25" customHeight="1">
      <c r="A86" s="15"/>
      <c r="B86" s="15"/>
      <c r="C86" s="15"/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t="14.25" customHeight="1">
      <c r="A87" s="15"/>
      <c r="B87" s="15"/>
      <c r="C87" s="15"/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t="14.25" customHeight="1">
      <c r="A88" s="15"/>
      <c r="B88" s="15"/>
      <c r="C88" s="15"/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t="14.25" customHeight="1">
      <c r="A89" s="15"/>
      <c r="B89" s="15"/>
      <c r="C89" s="15"/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t="14.25" customHeight="1">
      <c r="A90" s="15"/>
      <c r="B90" s="15"/>
      <c r="C90" s="15"/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t="14.25" customHeight="1">
      <c r="A91" s="15"/>
      <c r="B91" s="15"/>
      <c r="C91" s="15"/>
      <c r="D91" s="15"/>
      <c r="E91" s="15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t="14.25" customHeight="1">
      <c r="A92" s="15"/>
      <c r="B92" s="15"/>
      <c r="C92" s="15"/>
      <c r="D92" s="15"/>
      <c r="E92" s="15"/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t="14.25" customHeight="1">
      <c r="A93" s="15"/>
      <c r="B93" s="15"/>
      <c r="C93" s="15"/>
      <c r="D93" s="15"/>
      <c r="E93" s="15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t="14.25" customHeight="1">
      <c r="A94" s="15"/>
      <c r="B94" s="15"/>
      <c r="C94" s="15"/>
      <c r="D94" s="15"/>
      <c r="E94" s="15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t="14.25" customHeight="1">
      <c r="A95" s="15"/>
      <c r="B95" s="15"/>
      <c r="C95" s="15"/>
      <c r="D95" s="15"/>
      <c r="E95" s="15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t="14.25" customHeight="1">
      <c r="A96" s="15"/>
      <c r="B96" s="15"/>
      <c r="C96" s="15"/>
      <c r="D96" s="15"/>
      <c r="E96" s="15"/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t="14.25" customHeight="1">
      <c r="A97" s="15"/>
      <c r="B97" s="15"/>
      <c r="C97" s="15"/>
      <c r="D97" s="15"/>
      <c r="E97" s="15"/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t="14.25" customHeight="1">
      <c r="A98" s="15"/>
      <c r="B98" s="15"/>
      <c r="C98" s="15"/>
      <c r="D98" s="15"/>
      <c r="E98" s="15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t="14.25" customHeight="1">
      <c r="A99" s="15"/>
      <c r="B99" s="15"/>
      <c r="C99" s="15"/>
      <c r="D99" s="15"/>
      <c r="E99" s="15"/>
      <c r="F99" s="15"/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t="14.25" customHeight="1">
      <c r="A100" s="15"/>
      <c r="B100" s="15"/>
      <c r="C100" s="15"/>
      <c r="D100" s="15"/>
      <c r="E100" s="15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t="14.25" customHeight="1">
      <c r="A101" s="15"/>
      <c r="B101" s="15"/>
      <c r="C101" s="15"/>
      <c r="D101" s="15"/>
      <c r="E101" s="15"/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t="14.25" customHeight="1">
      <c r="A102" s="15"/>
      <c r="B102" s="15"/>
      <c r="C102" s="15"/>
      <c r="D102" s="15"/>
      <c r="E102" s="15"/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t="14.25" customHeight="1">
      <c r="A103" s="15"/>
      <c r="B103" s="15"/>
      <c r="C103" s="15"/>
      <c r="D103" s="15"/>
      <c r="E103" s="15"/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t="14.25" customHeight="1">
      <c r="A104" s="15"/>
      <c r="B104" s="15"/>
      <c r="C104" s="15"/>
      <c r="D104" s="15"/>
      <c r="E104" s="15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t="14.25" customHeight="1">
      <c r="A105" s="15"/>
      <c r="B105" s="15"/>
      <c r="C105" s="15"/>
      <c r="D105" s="15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t="14.25" customHeight="1">
      <c r="A106" s="15"/>
      <c r="B106" s="15"/>
      <c r="C106" s="15"/>
      <c r="D106" s="15"/>
      <c r="E106" s="15"/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t="14.25" customHeight="1">
      <c r="A107" s="15"/>
      <c r="B107" s="15"/>
      <c r="C107" s="15"/>
      <c r="D107" s="15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t="14.25" customHeight="1">
      <c r="A108" s="15"/>
      <c r="B108" s="15"/>
      <c r="C108" s="15"/>
      <c r="D108" s="15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t="14.25" customHeight="1">
      <c r="A109" s="15"/>
      <c r="B109" s="15"/>
      <c r="C109" s="15"/>
      <c r="D109" s="15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t="14.25" customHeight="1">
      <c r="A110" s="15"/>
      <c r="B110" s="15"/>
      <c r="C110" s="15"/>
      <c r="D110" s="15"/>
      <c r="E110" s="15"/>
      <c r="F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t="14.25" customHeight="1">
      <c r="A111" s="15"/>
      <c r="B111" s="15"/>
      <c r="C111" s="15"/>
      <c r="D111" s="15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t="14.25" customHeight="1">
      <c r="A112" s="15"/>
      <c r="B112" s="15"/>
      <c r="C112" s="15"/>
      <c r="D112" s="15"/>
      <c r="E112" s="15"/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t="14.25" customHeight="1">
      <c r="A113" s="15"/>
      <c r="B113" s="15"/>
      <c r="C113" s="15"/>
      <c r="D113" s="15"/>
      <c r="E113" s="15"/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t="14.25" customHeight="1">
      <c r="A114" s="15"/>
      <c r="B114" s="15"/>
      <c r="C114" s="15"/>
      <c r="D114" s="15"/>
      <c r="E114" s="15"/>
      <c r="F114" s="15"/>
      <c r="G114" s="15"/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t="14.25" customHeight="1">
      <c r="A115" s="15"/>
      <c r="B115" s="15"/>
      <c r="C115" s="15"/>
      <c r="D115" s="15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t="14.25" customHeight="1">
      <c r="A116" s="15"/>
      <c r="B116" s="15"/>
      <c r="C116" s="15"/>
      <c r="D116" s="15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t="14.25" customHeight="1">
      <c r="A117" s="15"/>
      <c r="B117" s="15"/>
      <c r="C117" s="15"/>
      <c r="D117" s="15"/>
      <c r="E117" s="15"/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t="14.25" customHeight="1">
      <c r="A118" s="15"/>
      <c r="B118" s="15"/>
      <c r="C118" s="15"/>
      <c r="D118" s="15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t="14.25" customHeight="1">
      <c r="A119" s="15"/>
      <c r="B119" s="15"/>
      <c r="C119" s="15"/>
      <c r="D119" s="15"/>
      <c r="E119" s="15"/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t="14.25" customHeight="1">
      <c r="A120" s="15"/>
      <c r="B120" s="15"/>
      <c r="C120" s="15"/>
      <c r="D120" s="15"/>
      <c r="E120" s="15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t="14.25" customHeight="1">
      <c r="A121" s="15"/>
      <c r="B121" s="15"/>
      <c r="C121" s="15"/>
      <c r="D121" s="15"/>
      <c r="E121" s="15"/>
      <c r="F121" s="15"/>
      <c r="G121" s="15"/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t="14.25" customHeight="1">
      <c r="A122" s="15"/>
      <c r="B122" s="15"/>
      <c r="C122" s="15"/>
      <c r="D122" s="15"/>
      <c r="E122" s="15"/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t="14.25" customHeight="1">
      <c r="A123" s="15"/>
      <c r="B123" s="15"/>
      <c r="C123" s="15"/>
      <c r="D123" s="15"/>
      <c r="E123" s="15"/>
      <c r="F123" s="15"/>
      <c r="G123" s="15"/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t="14.25" customHeight="1">
      <c r="A124" s="15"/>
      <c r="B124" s="15"/>
      <c r="C124" s="15"/>
      <c r="D124" s="15"/>
      <c r="E124" s="15"/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t="14.25" customHeight="1">
      <c r="A125" s="15"/>
      <c r="B125" s="15"/>
      <c r="C125" s="15"/>
      <c r="D125" s="15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t="14.25" customHeight="1">
      <c r="A126" s="15"/>
      <c r="B126" s="15"/>
      <c r="C126" s="15"/>
      <c r="D126" s="15"/>
      <c r="E126" s="15"/>
      <c r="F126" s="15"/>
      <c r="G126" s="15"/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t="14.25" customHeight="1">
      <c r="A127" s="15"/>
      <c r="B127" s="15"/>
      <c r="C127" s="15"/>
      <c r="D127" s="15"/>
      <c r="E127" s="15"/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t="14.25" customHeight="1">
      <c r="A128" s="15"/>
      <c r="B128" s="15"/>
      <c r="C128" s="15"/>
      <c r="D128" s="15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t="14.25" customHeight="1">
      <c r="A129" s="15"/>
      <c r="B129" s="15"/>
      <c r="C129" s="15"/>
      <c r="D129" s="15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t="14.25" customHeight="1">
      <c r="A130" s="15"/>
      <c r="B130" s="15"/>
      <c r="C130" s="15"/>
      <c r="D130" s="15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t="14.25" customHeight="1">
      <c r="A131" s="15"/>
      <c r="B131" s="15"/>
      <c r="C131" s="15"/>
      <c r="D131" s="15"/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t="14.25" customHeight="1">
      <c r="A132" s="15"/>
      <c r="B132" s="15"/>
      <c r="C132" s="15"/>
      <c r="D132" s="15"/>
      <c r="E132" s="15"/>
      <c r="F132" s="15"/>
      <c r="G132" s="15"/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t="14.25" customHeight="1">
      <c r="A133" s="15"/>
      <c r="B133" s="15"/>
      <c r="C133" s="15"/>
      <c r="D133" s="15"/>
      <c r="E133" s="15"/>
      <c r="F133" s="15"/>
      <c r="G133" s="15"/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t="14.25" customHeight="1">
      <c r="A134" s="15"/>
      <c r="B134" s="15"/>
      <c r="C134" s="15"/>
      <c r="D134" s="15"/>
      <c r="E134" s="15"/>
      <c r="F134" s="15"/>
      <c r="G134" s="15"/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t="14.25" customHeight="1">
      <c r="A135" s="15"/>
      <c r="B135" s="15"/>
      <c r="C135" s="15"/>
      <c r="D135" s="15"/>
      <c r="E135" s="15"/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t="14.25" customHeight="1">
      <c r="A136" s="15"/>
      <c r="B136" s="15"/>
      <c r="C136" s="15"/>
      <c r="D136" s="15"/>
      <c r="E136" s="15"/>
      <c r="F136" s="15"/>
      <c r="G136" s="15"/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t="14.25" customHeight="1">
      <c r="A137" s="15"/>
      <c r="B137" s="15"/>
      <c r="C137" s="15"/>
      <c r="D137" s="15"/>
      <c r="E137" s="15"/>
      <c r="F137" s="15"/>
      <c r="G137" s="15"/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t="14.25" customHeight="1">
      <c r="A138" s="15"/>
      <c r="B138" s="15"/>
      <c r="C138" s="15"/>
      <c r="D138" s="15"/>
      <c r="E138" s="15"/>
      <c r="F138" s="15"/>
      <c r="G138" s="15"/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t="14.25" customHeight="1">
      <c r="A139" s="15"/>
      <c r="B139" s="15"/>
      <c r="C139" s="15"/>
      <c r="D139" s="15"/>
      <c r="E139" s="15"/>
      <c r="F139" s="15"/>
      <c r="G139" s="15"/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t="14.25" customHeight="1">
      <c r="A140" s="15"/>
      <c r="B140" s="15"/>
      <c r="C140" s="15"/>
      <c r="D140" s="15"/>
      <c r="E140" s="15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t="14.25" customHeight="1">
      <c r="A141" s="15"/>
      <c r="B141" s="15"/>
      <c r="C141" s="15"/>
      <c r="D141" s="15"/>
      <c r="E141" s="15"/>
      <c r="F141" s="15"/>
      <c r="G141" s="15"/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t="14.25" customHeight="1">
      <c r="A142" s="15"/>
      <c r="B142" s="15"/>
      <c r="C142" s="15"/>
      <c r="D142" s="15"/>
      <c r="E142" s="15"/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t="14.25" customHeight="1">
      <c r="A143" s="15"/>
      <c r="B143" s="15"/>
      <c r="C143" s="15"/>
      <c r="D143" s="15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t="14.25" customHeight="1">
      <c r="A144" s="15"/>
      <c r="B144" s="15"/>
      <c r="C144" s="15"/>
      <c r="D144" s="15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t="14.25" customHeight="1">
      <c r="A145" s="15"/>
      <c r="B145" s="15"/>
      <c r="C145" s="15"/>
      <c r="D145" s="15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t="14.25" customHeight="1">
      <c r="A146" s="15"/>
      <c r="B146" s="15"/>
      <c r="C146" s="15"/>
      <c r="D146" s="15"/>
      <c r="E146" s="15"/>
      <c r="F146" s="15"/>
      <c r="G146" s="15"/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t="14.25" customHeight="1">
      <c r="A147" s="15"/>
      <c r="B147" s="15"/>
      <c r="C147" s="15"/>
      <c r="D147" s="15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t="14.25" customHeight="1">
      <c r="A148" s="15"/>
      <c r="B148" s="15"/>
      <c r="C148" s="15"/>
      <c r="D148" s="15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t="14.25" customHeight="1">
      <c r="A149" s="15"/>
      <c r="B149" s="15"/>
      <c r="C149" s="15"/>
      <c r="D149" s="15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t="14.25" customHeight="1">
      <c r="A150" s="15"/>
      <c r="B150" s="15"/>
      <c r="C150" s="15"/>
      <c r="D150" s="15"/>
      <c r="E150" s="15"/>
      <c r="F150" s="15"/>
      <c r="G150" s="15"/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t="14.25" customHeight="1">
      <c r="A151" s="15"/>
      <c r="B151" s="15"/>
      <c r="C151" s="15"/>
      <c r="D151" s="15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t="14.25" customHeight="1">
      <c r="A152" s="15"/>
      <c r="B152" s="15"/>
      <c r="C152" s="15"/>
      <c r="D152" s="15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t="14.25" customHeight="1">
      <c r="A153" s="15"/>
      <c r="B153" s="15"/>
      <c r="C153" s="15"/>
      <c r="D153" s="15"/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t="14.25" customHeight="1">
      <c r="A154" s="15"/>
      <c r="B154" s="15"/>
      <c r="C154" s="15"/>
      <c r="D154" s="15"/>
      <c r="E154" s="15"/>
      <c r="F154" s="15"/>
      <c r="G154" s="15"/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t="14.25" customHeight="1">
      <c r="A155" s="15"/>
      <c r="B155" s="15"/>
      <c r="C155" s="15"/>
      <c r="D155" s="15"/>
      <c r="E155" s="15"/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t="14.25" customHeight="1">
      <c r="A156" s="15"/>
      <c r="B156" s="15"/>
      <c r="C156" s="15"/>
      <c r="D156" s="15"/>
      <c r="E156" s="15"/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t="14.25" customHeight="1">
      <c r="A157" s="15"/>
      <c r="B157" s="15"/>
      <c r="C157" s="15"/>
      <c r="D157" s="15"/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t="14.25" customHeight="1">
      <c r="A158" s="15"/>
      <c r="B158" s="15"/>
      <c r="C158" s="15"/>
      <c r="D158" s="15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t="14.25" customHeight="1">
      <c r="A159" s="15"/>
      <c r="B159" s="15"/>
      <c r="C159" s="15"/>
      <c r="D159" s="15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t="14.25" customHeight="1">
      <c r="A160" s="15"/>
      <c r="B160" s="15"/>
      <c r="C160" s="15"/>
      <c r="D160" s="15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t="14.25" customHeight="1">
      <c r="A161" s="15"/>
      <c r="B161" s="15"/>
      <c r="C161" s="15"/>
      <c r="D161" s="15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t="14.25" customHeight="1">
      <c r="A162" s="15"/>
      <c r="B162" s="15"/>
      <c r="C162" s="15"/>
      <c r="D162" s="15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t="14.25" customHeight="1">
      <c r="A163" s="15"/>
      <c r="B163" s="15"/>
      <c r="C163" s="15"/>
      <c r="D163" s="15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t="14.25" customHeight="1">
      <c r="A164" s="15"/>
      <c r="B164" s="15"/>
      <c r="C164" s="15"/>
      <c r="D164" s="15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t="14.25" customHeight="1">
      <c r="A165" s="15"/>
      <c r="B165" s="15"/>
      <c r="C165" s="15"/>
      <c r="D165" s="15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t="14.25" customHeight="1">
      <c r="A166" s="15"/>
      <c r="B166" s="15"/>
      <c r="C166" s="15"/>
      <c r="D166" s="15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t="14.25" customHeight="1">
      <c r="A167" s="15"/>
      <c r="B167" s="15"/>
      <c r="C167" s="15"/>
      <c r="D167" s="15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t="14.25" customHeight="1">
      <c r="A168" s="15"/>
      <c r="B168" s="15"/>
      <c r="C168" s="15"/>
      <c r="D168" s="15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t="14.25" customHeight="1">
      <c r="A169" s="15"/>
      <c r="B169" s="15"/>
      <c r="C169" s="15"/>
      <c r="D169" s="15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t="14.25" customHeight="1">
      <c r="A170" s="15"/>
      <c r="B170" s="15"/>
      <c r="C170" s="15"/>
      <c r="D170" s="15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t="14.25" customHeight="1">
      <c r="A171" s="15"/>
      <c r="B171" s="15"/>
      <c r="C171" s="15"/>
      <c r="D171" s="15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t="14.25" customHeight="1">
      <c r="A172" s="15"/>
      <c r="B172" s="15"/>
      <c r="C172" s="15"/>
      <c r="D172" s="15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t="14.25" customHeight="1">
      <c r="A173" s="15"/>
      <c r="B173" s="15"/>
      <c r="C173" s="15"/>
      <c r="D173" s="15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t="14.25" customHeight="1">
      <c r="A174" s="15"/>
      <c r="B174" s="15"/>
      <c r="C174" s="15"/>
      <c r="D174" s="15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t="14.25" customHeight="1">
      <c r="A175" s="15"/>
      <c r="B175" s="15"/>
      <c r="C175" s="15"/>
      <c r="D175" s="15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t="14.25" customHeight="1">
      <c r="A176" s="15"/>
      <c r="B176" s="15"/>
      <c r="C176" s="15"/>
      <c r="D176" s="15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t="14.25" customHeight="1">
      <c r="A177" s="15"/>
      <c r="B177" s="15"/>
      <c r="C177" s="15"/>
      <c r="D177" s="15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t="14.25" customHeight="1">
      <c r="A178" s="15"/>
      <c r="B178" s="15"/>
      <c r="C178" s="15"/>
      <c r="D178" s="15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t="14.25" customHeight="1">
      <c r="A179" s="15"/>
      <c r="B179" s="15"/>
      <c r="C179" s="15"/>
      <c r="D179" s="15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t="14.25" customHeight="1">
      <c r="A180" s="15"/>
      <c r="B180" s="15"/>
      <c r="C180" s="15"/>
      <c r="D180" s="15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t="14.25" customHeight="1">
      <c r="A181" s="15"/>
      <c r="B181" s="15"/>
      <c r="C181" s="15"/>
      <c r="D181" s="15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t="14.25" customHeight="1">
      <c r="A182" s="15"/>
      <c r="B182" s="15"/>
      <c r="C182" s="15"/>
      <c r="D182" s="15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t="14.25" customHeight="1">
      <c r="A183" s="15"/>
      <c r="B183" s="15"/>
      <c r="C183" s="15"/>
      <c r="D183" s="15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t="14.25" customHeight="1">
      <c r="A184" s="15"/>
      <c r="B184" s="15"/>
      <c r="C184" s="15"/>
      <c r="D184" s="15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t="14.25" customHeight="1">
      <c r="A185" s="15"/>
      <c r="B185" s="15"/>
      <c r="C185" s="15"/>
      <c r="D185" s="15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t="14.25" customHeight="1">
      <c r="A186" s="15"/>
      <c r="B186" s="15"/>
      <c r="C186" s="15"/>
      <c r="D186" s="15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t="14.25" customHeight="1">
      <c r="A187" s="15"/>
      <c r="B187" s="15"/>
      <c r="C187" s="15"/>
      <c r="D187" s="15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t="14.25" customHeight="1">
      <c r="A188" s="15"/>
      <c r="B188" s="15"/>
      <c r="C188" s="15"/>
      <c r="D188" s="15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t="14.25" customHeight="1">
      <c r="A189" s="15"/>
      <c r="B189" s="15"/>
      <c r="C189" s="15"/>
      <c r="D189" s="15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t="14.25" customHeight="1">
      <c r="A190" s="15"/>
      <c r="B190" s="15"/>
      <c r="C190" s="15"/>
      <c r="D190" s="15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t="14.25" customHeight="1">
      <c r="A191" s="15"/>
      <c r="B191" s="15"/>
      <c r="C191" s="15"/>
      <c r="D191" s="15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t="14.25" customHeight="1">
      <c r="A192" s="15"/>
      <c r="B192" s="15"/>
      <c r="C192" s="15"/>
      <c r="D192" s="15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t="14.25" customHeight="1">
      <c r="A193" s="15"/>
      <c r="B193" s="15"/>
      <c r="C193" s="15"/>
      <c r="D193" s="15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t="14.25" customHeight="1">
      <c r="A194" s="15"/>
      <c r="B194" s="15"/>
      <c r="C194" s="15"/>
      <c r="D194" s="15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t="14.25" customHeight="1">
      <c r="A195" s="15"/>
      <c r="B195" s="15"/>
      <c r="C195" s="15"/>
      <c r="D195" s="15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t="14.25" customHeight="1">
      <c r="A196" s="15"/>
      <c r="B196" s="15"/>
      <c r="C196" s="15"/>
      <c r="D196" s="15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t="14.25" customHeight="1">
      <c r="A197" s="15"/>
      <c r="B197" s="15"/>
      <c r="C197" s="15"/>
      <c r="D197" s="15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t="14.25" customHeight="1">
      <c r="A198" s="15"/>
      <c r="B198" s="15"/>
      <c r="C198" s="15"/>
      <c r="D198" s="15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t="14.25" customHeight="1">
      <c r="A199" s="15"/>
      <c r="B199" s="15"/>
      <c r="C199" s="15"/>
      <c r="D199" s="15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t="14.25" customHeight="1">
      <c r="A200" s="15"/>
      <c r="B200" s="15"/>
      <c r="C200" s="15"/>
      <c r="D200" s="15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t="14.25" customHeight="1">
      <c r="A201" s="15"/>
      <c r="B201" s="15"/>
      <c r="C201" s="15"/>
      <c r="D201" s="15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t="14.25" customHeight="1">
      <c r="A202" s="15"/>
      <c r="B202" s="15"/>
      <c r="C202" s="15"/>
      <c r="D202" s="15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t="14.25" customHeight="1">
      <c r="A203" s="15"/>
      <c r="B203" s="15"/>
      <c r="C203" s="15"/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t="14.25" customHeight="1">
      <c r="A204" s="15"/>
      <c r="B204" s="15"/>
      <c r="C204" s="15"/>
      <c r="D204" s="15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t="14.25" customHeight="1">
      <c r="A205" s="15"/>
      <c r="B205" s="15"/>
      <c r="C205" s="15"/>
      <c r="D205" s="15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t="14.25" customHeight="1">
      <c r="A206" s="15"/>
      <c r="B206" s="15"/>
      <c r="C206" s="15"/>
      <c r="D206" s="15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t="14.25" customHeight="1">
      <c r="A207" s="15"/>
      <c r="B207" s="15"/>
      <c r="C207" s="15"/>
      <c r="D207" s="15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t="14.25" customHeight="1">
      <c r="A208" s="15"/>
      <c r="B208" s="15"/>
      <c r="C208" s="15"/>
      <c r="D208" s="15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t="14.25" customHeight="1">
      <c r="A209" s="15"/>
      <c r="B209" s="15"/>
      <c r="C209" s="15"/>
      <c r="D209" s="15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t="14.25" customHeight="1">
      <c r="A210" s="15"/>
      <c r="B210" s="15"/>
      <c r="C210" s="15"/>
      <c r="D210" s="15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t="14.25" customHeight="1">
      <c r="A211" s="15"/>
      <c r="B211" s="15"/>
      <c r="C211" s="15"/>
      <c r="D211" s="15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t="14.25" customHeight="1">
      <c r="A212" s="15"/>
      <c r="B212" s="15"/>
      <c r="C212" s="15"/>
      <c r="D212" s="15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t="14.25" customHeight="1">
      <c r="A213" s="15"/>
      <c r="B213" s="15"/>
      <c r="C213" s="15"/>
      <c r="D213" s="15"/>
      <c r="E213" s="15"/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t="14.25" customHeight="1">
      <c r="A214" s="15"/>
      <c r="B214" s="15"/>
      <c r="C214" s="15"/>
      <c r="D214" s="15"/>
      <c r="E214" s="15"/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t="14.25" customHeight="1">
      <c r="A215" s="15"/>
      <c r="B215" s="15"/>
      <c r="C215" s="15"/>
      <c r="D215" s="15"/>
      <c r="E215" s="15"/>
      <c r="F215" s="15"/>
      <c r="G215" s="15"/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t="14.25" customHeight="1">
      <c r="A216" s="15"/>
      <c r="B216" s="15"/>
      <c r="C216" s="15"/>
      <c r="D216" s="15"/>
      <c r="E216" s="15"/>
      <c r="F216" s="15"/>
      <c r="G216" s="15"/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t="14.25" customHeight="1">
      <c r="A217" s="15"/>
      <c r="B217" s="15"/>
      <c r="C217" s="15"/>
      <c r="D217" s="15"/>
      <c r="E217" s="15"/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t="14.25" customHeight="1">
      <c r="A218" s="15"/>
      <c r="B218" s="15"/>
      <c r="C218" s="15"/>
      <c r="D218" s="15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t="14.25" customHeight="1">
      <c r="A219" s="15"/>
      <c r="B219" s="15"/>
      <c r="C219" s="15"/>
      <c r="D219" s="15"/>
      <c r="E219" s="15"/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t="14.25" customHeight="1">
      <c r="A220" s="15"/>
      <c r="B220" s="15"/>
      <c r="C220" s="15"/>
      <c r="D220" s="15"/>
      <c r="E220" s="15"/>
      <c r="F220" s="15"/>
      <c r="G220" s="15"/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t="14.25" customHeight="1">
      <c r="A221" s="15"/>
      <c r="B221" s="15"/>
      <c r="C221" s="15"/>
      <c r="D221" s="15"/>
      <c r="E221" s="15"/>
      <c r="F221" s="15"/>
      <c r="G221" s="15"/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t="14.25" customHeight="1">
      <c r="A222" s="15"/>
      <c r="B222" s="15"/>
      <c r="C222" s="15"/>
      <c r="D222" s="15"/>
      <c r="E222" s="15"/>
      <c r="F222" s="15"/>
      <c r="G222" s="15"/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t="14.25" customHeight="1">
      <c r="A223" s="15"/>
      <c r="B223" s="15"/>
      <c r="C223" s="15"/>
      <c r="D223" s="15"/>
      <c r="E223" s="15"/>
      <c r="F223" s="15"/>
      <c r="G223" s="15"/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t="14.25" customHeight="1">
      <c r="A224" s="15"/>
      <c r="B224" s="15"/>
      <c r="C224" s="15"/>
      <c r="D224" s="15"/>
      <c r="E224" s="15"/>
      <c r="F224" s="15"/>
      <c r="G224" s="15"/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t="14.25" customHeight="1">
      <c r="A225" s="15"/>
      <c r="B225" s="15"/>
      <c r="C225" s="15"/>
      <c r="D225" s="15"/>
      <c r="E225" s="15"/>
      <c r="F225" s="15"/>
      <c r="G225" s="15"/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t="14.25" customHeight="1">
      <c r="A226" s="15"/>
      <c r="B226" s="15"/>
      <c r="C226" s="15"/>
      <c r="D226" s="15"/>
      <c r="E226" s="15"/>
      <c r="F226" s="15"/>
      <c r="G226" s="15"/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t="14.25" customHeight="1">
      <c r="A227" s="15"/>
      <c r="B227" s="15"/>
      <c r="C227" s="15"/>
      <c r="D227" s="15"/>
      <c r="E227" s="15"/>
      <c r="F227" s="15"/>
      <c r="G227" s="15"/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t="14.25" customHeight="1">
      <c r="A228" s="15"/>
      <c r="B228" s="15"/>
      <c r="C228" s="15"/>
      <c r="D228" s="15"/>
      <c r="E228" s="15"/>
      <c r="F228" s="15"/>
      <c r="G228" s="15"/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t="14.25" customHeight="1">
      <c r="A229" s="15"/>
      <c r="B229" s="15"/>
      <c r="C229" s="15"/>
      <c r="D229" s="15"/>
      <c r="E229" s="15"/>
      <c r="F229" s="15"/>
      <c r="G229" s="15"/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t="14.25" customHeight="1">
      <c r="A230" s="15"/>
      <c r="B230" s="15"/>
      <c r="C230" s="15"/>
      <c r="D230" s="15"/>
      <c r="E230" s="15"/>
      <c r="F230" s="15"/>
      <c r="G230" s="15"/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t="14.25" customHeight="1">
      <c r="A231" s="15"/>
      <c r="B231" s="15"/>
      <c r="C231" s="15"/>
      <c r="D231" s="15"/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t="14.25" customHeight="1">
      <c r="A232" s="15"/>
      <c r="B232" s="15"/>
      <c r="C232" s="15"/>
      <c r="D232" s="15"/>
      <c r="E232" s="15"/>
      <c r="F232" s="15"/>
      <c r="G232" s="15"/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t="14.25" customHeight="1">
      <c r="A233" s="15"/>
      <c r="B233" s="15"/>
      <c r="C233" s="15"/>
      <c r="D233" s="15"/>
      <c r="E233" s="15"/>
      <c r="F233" s="15"/>
      <c r="G233" s="15"/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t="14.25" customHeight="1">
      <c r="A234" s="15"/>
      <c r="B234" s="15"/>
      <c r="C234" s="15"/>
      <c r="D234" s="15"/>
      <c r="E234" s="15"/>
      <c r="F234" s="15"/>
      <c r="G234" s="15"/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t="14.25" customHeight="1">
      <c r="A235" s="15"/>
      <c r="B235" s="15"/>
      <c r="C235" s="15"/>
      <c r="D235" s="15"/>
      <c r="E235" s="15"/>
      <c r="F235" s="15"/>
      <c r="G235" s="15"/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t="14.25" customHeight="1">
      <c r="A236" s="15"/>
      <c r="B236" s="15"/>
      <c r="C236" s="15"/>
      <c r="D236" s="15"/>
      <c r="E236" s="15"/>
      <c r="F236" s="15"/>
      <c r="G236" s="15"/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t="14.25" customHeight="1">
      <c r="A237" s="15"/>
      <c r="B237" s="15"/>
      <c r="C237" s="15"/>
      <c r="D237" s="15"/>
      <c r="E237" s="15"/>
      <c r="F237" s="15"/>
      <c r="G237" s="15"/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t="14.25" customHeight="1">
      <c r="A238" s="15"/>
      <c r="B238" s="15"/>
      <c r="C238" s="15"/>
      <c r="D238" s="15"/>
      <c r="E238" s="15"/>
      <c r="F238" s="15"/>
      <c r="G238" s="15"/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t="14.25" customHeight="1">
      <c r="A239" s="15"/>
      <c r="B239" s="15"/>
      <c r="C239" s="15"/>
      <c r="D239" s="15"/>
      <c r="E239" s="15"/>
      <c r="F239" s="15"/>
      <c r="G239" s="15"/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t="14.25" customHeight="1">
      <c r="A240" s="15"/>
      <c r="B240" s="15"/>
      <c r="C240" s="15"/>
      <c r="D240" s="15"/>
      <c r="E240" s="15"/>
      <c r="F240" s="15"/>
      <c r="G240" s="15"/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t="14.25" customHeight="1">
      <c r="A241" s="15"/>
      <c r="B241" s="15"/>
      <c r="C241" s="15"/>
      <c r="D241" s="15"/>
      <c r="E241" s="15"/>
      <c r="F241" s="15"/>
      <c r="G241" s="15"/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t="14.25" customHeight="1">
      <c r="A242" s="15"/>
      <c r="B242" s="15"/>
      <c r="C242" s="15"/>
      <c r="D242" s="15"/>
      <c r="E242" s="15"/>
      <c r="F242" s="15"/>
      <c r="G242" s="15"/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t="14.25" customHeight="1">
      <c r="A243" s="15"/>
      <c r="B243" s="15"/>
      <c r="C243" s="15"/>
      <c r="D243" s="15"/>
      <c r="E243" s="15"/>
      <c r="F243" s="15"/>
      <c r="G243" s="15"/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t="14.25" customHeight="1">
      <c r="A244" s="15"/>
      <c r="B244" s="15"/>
      <c r="C244" s="15"/>
      <c r="D244" s="15"/>
      <c r="E244" s="15"/>
      <c r="F244" s="15"/>
      <c r="G244" s="15"/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t="14.25" customHeight="1">
      <c r="A245" s="15"/>
      <c r="B245" s="15"/>
      <c r="C245" s="15"/>
      <c r="D245" s="15"/>
      <c r="E245" s="15"/>
      <c r="F245" s="15"/>
      <c r="G245" s="15"/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t="14.25" customHeight="1">
      <c r="A246" s="15"/>
      <c r="B246" s="15"/>
      <c r="C246" s="15"/>
      <c r="D246" s="15"/>
      <c r="E246" s="15"/>
      <c r="F246" s="15"/>
      <c r="G246" s="15"/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t="14.25" customHeight="1">
      <c r="A247" s="15"/>
      <c r="B247" s="15"/>
      <c r="C247" s="15"/>
      <c r="D247" s="15"/>
      <c r="E247" s="15"/>
      <c r="F247" s="15"/>
      <c r="G247" s="15"/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t="14.25" customHeight="1">
      <c r="A248" s="15"/>
      <c r="B248" s="15"/>
      <c r="C248" s="15"/>
      <c r="D248" s="15"/>
      <c r="E248" s="15"/>
      <c r="F248" s="15"/>
      <c r="G248" s="15"/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t="14.25" customHeight="1">
      <c r="A249" s="15"/>
      <c r="B249" s="15"/>
      <c r="C249" s="15"/>
      <c r="D249" s="15"/>
      <c r="E249" s="15"/>
      <c r="F249" s="15"/>
      <c r="G249" s="15"/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t="14.25" customHeight="1">
      <c r="A250" s="15"/>
      <c r="B250" s="15"/>
      <c r="C250" s="15"/>
      <c r="D250" s="15"/>
      <c r="E250" s="15"/>
      <c r="F250" s="15"/>
      <c r="G250" s="15"/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t="14.25" customHeight="1">
      <c r="A251" s="15"/>
      <c r="B251" s="15"/>
      <c r="C251" s="15"/>
      <c r="D251" s="15"/>
      <c r="E251" s="15"/>
      <c r="F251" s="15"/>
      <c r="G251" s="15"/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t="14.25" customHeight="1">
      <c r="A252" s="15"/>
      <c r="B252" s="15"/>
      <c r="C252" s="15"/>
      <c r="D252" s="15"/>
      <c r="E252" s="15"/>
      <c r="F252" s="15"/>
      <c r="G252" s="15"/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t="14.25" customHeight="1">
      <c r="A253" s="15"/>
      <c r="B253" s="15"/>
      <c r="C253" s="15"/>
      <c r="D253" s="15"/>
      <c r="E253" s="15"/>
      <c r="F253" s="15"/>
      <c r="G253" s="15"/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t="14.25" customHeight="1">
      <c r="A254" s="15"/>
      <c r="B254" s="15"/>
      <c r="C254" s="15"/>
      <c r="D254" s="15"/>
      <c r="E254" s="15"/>
      <c r="F254" s="15"/>
      <c r="G254" s="15"/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t="14.25" customHeight="1">
      <c r="A255" s="15"/>
      <c r="B255" s="15"/>
      <c r="C255" s="15"/>
      <c r="D255" s="15"/>
      <c r="E255" s="15"/>
      <c r="F255" s="15"/>
      <c r="G255" s="15"/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t="14.25" customHeight="1">
      <c r="A256" s="15"/>
      <c r="B256" s="15"/>
      <c r="C256" s="15"/>
      <c r="D256" s="15"/>
      <c r="E256" s="15"/>
      <c r="F256" s="15"/>
      <c r="G256" s="15"/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t="14.25" customHeight="1">
      <c r="A257" s="15"/>
      <c r="B257" s="15"/>
      <c r="C257" s="15"/>
      <c r="D257" s="15"/>
      <c r="E257" s="15"/>
      <c r="F257" s="15"/>
      <c r="G257" s="15"/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t="14.25" customHeight="1">
      <c r="A258" s="15"/>
      <c r="B258" s="15"/>
      <c r="C258" s="15"/>
      <c r="D258" s="15"/>
      <c r="E258" s="15"/>
      <c r="F258" s="15"/>
      <c r="G258" s="15"/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t="14.25" customHeight="1">
      <c r="A259" s="15"/>
      <c r="B259" s="15"/>
      <c r="C259" s="15"/>
      <c r="D259" s="15"/>
      <c r="E259" s="15"/>
      <c r="F259" s="15"/>
      <c r="G259" s="15"/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t="14.25" customHeight="1">
      <c r="A260" s="15"/>
      <c r="B260" s="15"/>
      <c r="C260" s="15"/>
      <c r="D260" s="15"/>
      <c r="E260" s="15"/>
      <c r="F260" s="15"/>
      <c r="G260" s="15"/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t="14.25" customHeight="1">
      <c r="A261" s="15"/>
      <c r="B261" s="15"/>
      <c r="C261" s="15"/>
      <c r="D261" s="15"/>
      <c r="E261" s="15"/>
      <c r="F261" s="15"/>
      <c r="G261" s="15"/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t="14.25" customHeight="1">
      <c r="A262" s="15"/>
      <c r="B262" s="15"/>
      <c r="C262" s="15"/>
      <c r="D262" s="15"/>
      <c r="E262" s="15"/>
      <c r="F262" s="15"/>
      <c r="G262" s="15"/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t="14.25" customHeight="1">
      <c r="A263" s="15"/>
      <c r="B263" s="15"/>
      <c r="C263" s="15"/>
      <c r="D263" s="15"/>
      <c r="E263" s="15"/>
      <c r="F263" s="15"/>
      <c r="G263" s="15"/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t="14.25" customHeight="1">
      <c r="A264" s="15"/>
      <c r="B264" s="15"/>
      <c r="C264" s="15"/>
      <c r="D264" s="15"/>
      <c r="E264" s="15"/>
      <c r="F264" s="15"/>
      <c r="G264" s="15"/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t="14.25" customHeight="1">
      <c r="A265" s="15"/>
      <c r="B265" s="15"/>
      <c r="C265" s="15"/>
      <c r="D265" s="15"/>
      <c r="E265" s="15"/>
      <c r="F265" s="15"/>
      <c r="G265" s="15"/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1">
    <mergeCell ref="G13:H15"/>
    <mergeCell ref="G16:H20"/>
    <mergeCell ref="G24:H26"/>
    <mergeCell ref="G27:H31"/>
    <mergeCell ref="A1:F1"/>
    <mergeCell ref="A7:A8"/>
    <mergeCell ref="B7:C7"/>
    <mergeCell ref="D7:E7"/>
    <mergeCell ref="F7:F8"/>
    <mergeCell ref="A13:A15"/>
    <mergeCell ref="A16:A20"/>
    <mergeCell ref="A24:A26"/>
    <mergeCell ref="A27:A31"/>
    <mergeCell ref="C41:D41"/>
    <mergeCell ref="E41:F41"/>
    <mergeCell ref="C42:D42"/>
    <mergeCell ref="E42:F42"/>
    <mergeCell ref="A35:A39"/>
    <mergeCell ref="C45:D45"/>
    <mergeCell ref="E45:F45"/>
    <mergeCell ref="C46:D46"/>
    <mergeCell ref="E46:F46"/>
    <mergeCell ref="H46:I48"/>
    <mergeCell ref="C47:D47"/>
    <mergeCell ref="E47:F47"/>
    <mergeCell ref="C54:D54"/>
    <mergeCell ref="C55:D55"/>
    <mergeCell ref="C56:D56"/>
    <mergeCell ref="C57:D57"/>
    <mergeCell ref="C58:D58"/>
    <mergeCell ref="E55:F55"/>
    <mergeCell ref="E56:F56"/>
    <mergeCell ref="E57:F57"/>
    <mergeCell ref="E58:F58"/>
    <mergeCell ref="C48:D48"/>
    <mergeCell ref="E48:F48"/>
    <mergeCell ref="E54:F54"/>
    <mergeCell ref="C50:D50"/>
    <mergeCell ref="E50:F50"/>
    <mergeCell ref="C51:D51"/>
    <mergeCell ref="E51:F51"/>
  </mergeCells>
  <conditionalFormatting sqref="G9">
    <cfRule type="notContainsBlanks" dxfId="0" priority="1">
      <formula>LEN(TRIM(G9))&gt;0</formula>
    </cfRule>
  </conditionalFormatting>
  <conditionalFormatting sqref="G13">
    <cfRule type="notContainsBlanks" dxfId="1" priority="2">
      <formula>LEN(TRIM(G13))&gt;0</formula>
    </cfRule>
  </conditionalFormatting>
  <conditionalFormatting sqref="G16">
    <cfRule type="notContainsBlanks" dxfId="1" priority="3">
      <formula>LEN(TRIM(G16))&gt;0</formula>
    </cfRule>
  </conditionalFormatting>
  <conditionalFormatting sqref="G24">
    <cfRule type="notContainsBlanks" dxfId="1" priority="4">
      <formula>LEN(TRIM(G24))&gt;0</formula>
    </cfRule>
  </conditionalFormatting>
  <conditionalFormatting sqref="G27">
    <cfRule type="notContainsBlanks" dxfId="1" priority="5">
      <formula>LEN(TRIM(G27))&gt;0</formula>
    </cfRule>
  </conditionalFormatting>
  <conditionalFormatting sqref="H46">
    <cfRule type="notContainsBlanks" dxfId="1" priority="6">
      <formula>LEN(TRIM(H46))&gt;0</formula>
    </cfRule>
  </conditionalFormatting>
  <conditionalFormatting sqref="I13:I20">
    <cfRule type="notContainsBlanks" dxfId="0" priority="7">
      <formula>LEN(TRIM(I13))&gt;0</formula>
    </cfRule>
  </conditionalFormatting>
  <conditionalFormatting sqref="I24:I31">
    <cfRule type="notContainsBlanks" dxfId="0" priority="8">
      <formula>LEN(TRIM(I24))&gt;0</formula>
    </cfRule>
  </conditionalFormatting>
  <conditionalFormatting sqref="J46:J48">
    <cfRule type="notContainsBlanks" dxfId="0" priority="9">
      <formula>LEN(TRIM(J46))&gt;0</formula>
    </cfRule>
  </conditionalFormatting>
  <printOptions/>
  <pageMargins bottom="0.75" footer="0.0" header="0.0" left="0.7" right="0.7" top="0.75"/>
  <pageSetup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13.78"/>
    <col customWidth="1" min="2" max="2" width="25.0"/>
    <col customWidth="1" min="3" max="3" width="8.0"/>
    <col customWidth="1" min="4" max="4" width="11.33"/>
    <col customWidth="1" min="5" max="5" width="9.33"/>
    <col customWidth="1" min="6" max="6" width="6.0"/>
    <col customWidth="1" min="7" max="7" width="9.44"/>
    <col customWidth="1" min="8" max="8" width="20.33"/>
    <col customWidth="1" min="9" max="9" width="20.44"/>
    <col customWidth="1" min="10" max="10" width="11.0"/>
    <col customWidth="1" min="11" max="12" width="10.78"/>
    <col customWidth="1" min="13" max="26" width="11.0"/>
  </cols>
  <sheetData>
    <row r="1" ht="14.25" customHeight="1">
      <c r="A1" s="14" t="s">
        <v>38</v>
      </c>
      <c r="G1" s="15"/>
      <c r="H1" s="15"/>
      <c r="I1" s="16" t="s">
        <v>39</v>
      </c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14.25" customHeight="1">
      <c r="A2" s="15"/>
      <c r="B2" s="15"/>
      <c r="C2" s="15"/>
      <c r="D2" s="15"/>
      <c r="E2" s="15"/>
      <c r="F2" s="15"/>
      <c r="G2" s="15"/>
      <c r="H2" s="17" t="s">
        <v>40</v>
      </c>
      <c r="I2" s="18" t="str">
        <f>DATE(F3, 2, 1)</f>
        <v>#VALUE!</v>
      </c>
      <c r="J2" s="15"/>
      <c r="K2" s="19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t="14.25" customHeight="1">
      <c r="A3" s="15" t="s">
        <v>41</v>
      </c>
      <c r="B3" s="15"/>
      <c r="C3" s="20" t="s">
        <v>98</v>
      </c>
      <c r="D3" s="15"/>
      <c r="E3" s="15" t="s">
        <v>43</v>
      </c>
      <c r="F3" s="20" t="str">
        <f>YEAR(Results!E3)</f>
        <v>#VALUE!</v>
      </c>
      <c r="G3" s="15"/>
      <c r="H3" s="17" t="s">
        <v>44</v>
      </c>
      <c r="I3" s="18" t="str">
        <f>EOMONTH(I2,0)</f>
        <v>#VALUE!</v>
      </c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t="14.25" customHeight="1">
      <c r="A4" s="15" t="s">
        <v>45</v>
      </c>
      <c r="B4" s="15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t="14.25" customHeight="1">
      <c r="A5" s="15"/>
      <c r="B5" s="15"/>
      <c r="C5" s="15"/>
      <c r="D5" s="15"/>
      <c r="E5" s="15"/>
      <c r="F5" s="15"/>
      <c r="G5" s="15"/>
      <c r="H5" s="15"/>
      <c r="I5" s="15"/>
      <c r="J5" s="15"/>
      <c r="K5" s="15"/>
      <c r="L5" s="15"/>
      <c r="M5" s="15"/>
      <c r="N5" s="15"/>
      <c r="O5" s="21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t="14.25" customHeight="1">
      <c r="A6" s="15" t="s">
        <v>46</v>
      </c>
      <c r="B6" s="15"/>
      <c r="C6" s="15"/>
      <c r="D6" s="15"/>
      <c r="E6" s="15"/>
      <c r="F6" s="15"/>
      <c r="G6" s="15"/>
      <c r="H6" s="15"/>
      <c r="I6" s="20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t="14.25" customHeight="1">
      <c r="A7" s="22"/>
      <c r="B7" s="23" t="s">
        <v>47</v>
      </c>
      <c r="C7" s="24"/>
      <c r="D7" s="23" t="s">
        <v>48</v>
      </c>
      <c r="E7" s="24"/>
      <c r="F7" s="25" t="s">
        <v>49</v>
      </c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t="14.25" customHeight="1">
      <c r="A8" s="26"/>
      <c r="B8" s="27" t="s">
        <v>50</v>
      </c>
      <c r="C8" s="27" t="s">
        <v>51</v>
      </c>
      <c r="D8" s="27" t="s">
        <v>50</v>
      </c>
      <c r="E8" s="27" t="s">
        <v>51</v>
      </c>
      <c r="F8" s="26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t="14.25" customHeight="1">
      <c r="A9" s="28"/>
      <c r="B9" s="28">
        <f>COUNTIFS(Results!$E:$E,"&gt;="&amp;$I$2,Results!$E:$E,"&lt;="&amp;$I$3,Results!$I:$I,"Male",Results!$J:$J,"&lt;15", Results!$F:$F,"*tive")</f>
        <v>0</v>
      </c>
      <c r="C9" s="28">
        <f>COUNTIFS(Results!$E:$E,"&gt;="&amp;$I$2,Results!$E:$E,"&lt;="&amp;$I$3,Results!$I:$I,"Male",Results!$J:$J,"&gt;=15", Results!$F:$F,"*tive")</f>
        <v>0</v>
      </c>
      <c r="D9" s="28">
        <f>COUNTIFS(Results!$E:$E,"&gt;="&amp;$I$2,Results!$E:$E,"&lt;="&amp;$I$3,Results!$I:$I,"Female",Results!$J:$J,"&lt;15", Results!$F:$F,"*tive")</f>
        <v>0</v>
      </c>
      <c r="E9" s="28">
        <f>COUNTIFS(Results!$E:$E,"&gt;="&amp;$I$2,Results!$E:$E,"&lt;="&amp;$I$3,Results!$I:$I,"Female",Results!$J:$J,"&gt;=15", Results!$F:$F,"*tive")</f>
        <v>0</v>
      </c>
      <c r="F9" s="28">
        <f>COUNTIFS(Results!$E:$E,"&gt;="&amp;$I$2,Results!$E:$E,"&lt;="&amp;$I$3, Results!$F:$F,"*tive", Results!$J:$J,"&lt;&gt;Not on Form", Results!$J:$J,"&lt;&gt;N/A", Results!$I:$I,"&lt;&gt;Not on Form", Results!$I:$I,"&lt;&gt;N/A")</f>
        <v>0</v>
      </c>
      <c r="G9" s="15" t="str">
        <f>IF(SUM(B9:E9)=F9,"","Check Total Value &amp; Category")</f>
        <v/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t="14.25" customHeight="1">
      <c r="A10" s="15"/>
      <c r="B10" s="15"/>
      <c r="C10" s="15"/>
      <c r="D10" s="15"/>
      <c r="E10" s="15"/>
      <c r="F10" s="15"/>
      <c r="G10" s="15"/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t="14.25" customHeight="1">
      <c r="A11" s="15" t="s">
        <v>52</v>
      </c>
      <c r="B11" s="15"/>
      <c r="C11" s="15"/>
      <c r="D11" s="15"/>
      <c r="E11" s="15"/>
      <c r="F11" s="15"/>
      <c r="G11" s="15"/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t="14.25" customHeight="1">
      <c r="A12" s="28"/>
      <c r="B12" s="28"/>
      <c r="C12" s="29" t="s">
        <v>53</v>
      </c>
      <c r="D12" s="29" t="s">
        <v>54</v>
      </c>
      <c r="E12" s="29" t="s">
        <v>55</v>
      </c>
      <c r="F12" s="29" t="s">
        <v>49</v>
      </c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t="15.75" customHeight="1">
      <c r="A13" s="30" t="s">
        <v>56</v>
      </c>
      <c r="B13" s="28" t="s">
        <v>57</v>
      </c>
      <c r="C13" s="28">
        <f>COUNTIFS(Results!$E:$E,"&gt;="&amp;$I$2,Results!$E:$E,"&lt;="&amp;$I$3,Results!$L:$L,"Positive",Results!$K:$K,"No", Results!$F:$F,"*tive") + COUNTIFS(Results!$E:$E,"&gt;="&amp;$I$2,Results!$E:$E,"&lt;="&amp;$I$3,Results!$L:$L,"Positive",Results!$K:$K,"On Treatment", Results!$F:$F,"*tive")</f>
        <v>0</v>
      </c>
      <c r="D13" s="28">
        <f>COUNTIFS(Results!$E:$E,"&gt;="&amp;$I$2,Results!$E:$E,"&lt;="&amp;$I$3,Results!$L:$L,"Positive",Results!$K:$K,"Yes", Results!$F:$F,"*tive")</f>
        <v>0</v>
      </c>
      <c r="E13" s="28">
        <f>COUNTIFS(Results!$E:$E,"&gt;="&amp;$I$2,Results!$E:$E,"&lt;="&amp;$I$3,Results!$L:$L,"Positive",Results!$K:$K,"Unknown", Results!$F:$F,"*tive")</f>
        <v>0</v>
      </c>
      <c r="F13" s="28">
        <f>COUNTIFS(Results!$E:$E,"&gt;="&amp;$I$2,Results!$E:$E,"&lt;="&amp;$I$3,Results!$L:$L,"Positive", Results!$F:$F,"*tive", Results!$K:$K,"&lt;&gt;Not on Form", Results!$K:$K,"&lt;&gt;N/A", Results!$L:$L,"&lt;&gt;Not on Form", Results!$L:$L,"&lt;&gt;N/A")</f>
        <v>0</v>
      </c>
      <c r="G13" s="31" t="str">
        <f>IF($F$9=SUM(F13:F15),"","Error! Microscopy result does NOT match, cross check: Missing information in Microscopy Result")</f>
        <v/>
      </c>
      <c r="I13" s="15" t="str">
        <f t="shared" ref="I13:I18" si="1">IF(SUM(C13:E13)=F13,"","Check Total Value &amp; Category")</f>
        <v/>
      </c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t="14.25" customHeight="1">
      <c r="A14" s="32"/>
      <c r="B14" s="28" t="s">
        <v>58</v>
      </c>
      <c r="C14" s="28">
        <f>COUNTIFS(Results!$E:$E,"&gt;="&amp;$I$2,Results!$E:$E,"&lt;="&amp;$I$3,Results!$L:$L,"Negative",Results!$K:$K,"No", Results!$F:$F,"*tive") + COUNTIFS(Results!$E:$E,"&gt;="&amp;$I$2,Results!$E:$E,"&lt;="&amp;$I$3,Results!$L:$L,"Negative",Results!$K:$K,"On Treatment", Results!$F:$F,"*tive")</f>
        <v>0</v>
      </c>
      <c r="D14" s="28">
        <f>COUNTIFS(Results!$E:$E,"&gt;="&amp;$I$2,Results!$E:$E,"&lt;="&amp;$I$3,Results!$L:$L,"Negative",Results!$K:$K,"Yes", Results!$F:$F,"*tive")</f>
        <v>0</v>
      </c>
      <c r="E14" s="28">
        <f>COUNTIFS(Results!$E:$E,"&gt;="&amp;$I$2,Results!$E:$E,"&lt;="&amp;$I$3,Results!$L:$L,"Negative",Results!$K:$K,"Unknown", Results!$F:$F,"*tive")</f>
        <v>0</v>
      </c>
      <c r="F14" s="28">
        <f>COUNTIFS(Results!$E:$E,"&gt;="&amp;$I$2,Results!$E:$E,"&lt;="&amp;$I$3,Results!$L:$L,"Negative", Results!$F:$F,"*tive",Results!$K:$K,"&lt;&gt;Not on Form", Results!$K:$K,"&lt;&gt;N/A", Results!$L:$L,"&lt;&gt;Not on Form", Results!$L:$L,"&lt;&gt;N/A")</f>
        <v>0</v>
      </c>
      <c r="G14" s="33"/>
      <c r="I14" s="15" t="str">
        <f t="shared" si="1"/>
        <v/>
      </c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t="14.25" customHeight="1">
      <c r="A15" s="26"/>
      <c r="B15" s="28" t="s">
        <v>59</v>
      </c>
      <c r="C15" s="28">
        <f>COUNTIFS(Results!$E:$E,"&gt;="&amp;$I$2,Results!$E:$E,"&lt;="&amp;$I$3,Results!$L:$L,"Not Done",Results!$K:$K,"No", Results!$F:$F,"*tive") + COUNTIFS(Results!$E:$E,"&gt;="&amp;$I$2,Results!$E:$E,"&lt;="&amp;$I$3,Results!$L:$L,"Not Done",Results!$K:$K,"On Treatment", Results!$F:$F,"*tive")</f>
        <v>0</v>
      </c>
      <c r="D15" s="28">
        <f>COUNTIFS(Results!$E:$E,"&gt;="&amp;$I$2,Results!$E:$E,"&lt;="&amp;$I$3,Results!$L:$L,"Not Done",Results!$K:$K,"Yes", Results!$F:$F,"*tive")</f>
        <v>0</v>
      </c>
      <c r="E15" s="28">
        <f>COUNTIFS(Results!$E:$E,"&gt;="&amp;$I$2,Results!$E:$E,"&lt;="&amp;$I$3,Results!$L:$L,"Not Done",Results!$K:$K,"Unknown", Results!$F:$F,"*tive")</f>
        <v>0</v>
      </c>
      <c r="F15" s="28">
        <f>COUNTIFS(Results!$E:$E,"&gt;="&amp;$I$2,Results!$E:$E,"&lt;="&amp;$I$3,Results!$L:$L,"Not Done", Results!$F:$F,"*tive", Results!$K:$K,"&lt;&gt;Not on Form", Results!$K:$K,"&lt;&gt;N/A", Results!$L:$L,"&lt;&gt;Not on Form", Results!$L:$L,"&lt;&gt;N/A")</f>
        <v>0</v>
      </c>
      <c r="G15" s="33"/>
      <c r="I15" s="15" t="str">
        <f t="shared" si="1"/>
        <v/>
      </c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t="14.25" customHeight="1">
      <c r="A16" s="25" t="s">
        <v>60</v>
      </c>
      <c r="B16" s="28" t="s">
        <v>61</v>
      </c>
      <c r="C16" s="28">
        <f>COUNTIFS(Results!$E:$E,"&gt;="&amp;$I$2,Results!$E:$E,"&lt;="&amp;$I$3,Results!$F:$F,"Negative",Results!$K:$K,"No") + COUNTIFS(Results!$E:$E,"&gt;="&amp;$I$2,Results!$E:$E,"&lt;="&amp;$I$3,Results!$F:$F,"Negative",Results!$K:$K,"On Treatment")</f>
        <v>0</v>
      </c>
      <c r="D16" s="28">
        <f>COUNTIFS(Results!$E:$E,"&gt;="&amp;$I$2,Results!$E:$E,"&lt;="&amp;$I$3,Results!$F:$F,"Negative",Results!$K:$K,"Yes")</f>
        <v>0</v>
      </c>
      <c r="E16" s="28">
        <f>COUNTIFS(Results!$E:$E,"&gt;="&amp;$I$2,Results!$E:$E,"&lt;="&amp;$I$3,Results!$F:$F,"Negative",Results!$K:$K,"Unknown")</f>
        <v>0</v>
      </c>
      <c r="F16" s="28">
        <f>COUNTIFS(Results!$E:$E,"&gt;="&amp;$I$2,Results!$E:$E,"&lt;="&amp;$I$3,Results!$F:$F,"Negative", Results!$K:$K,"&lt;&gt;Not on Form", Results!$K:$K,"&lt;&gt;N/A")</f>
        <v>0</v>
      </c>
      <c r="G16" s="31" t="str">
        <f>IF($F$9=SUM(F16:F20),"","Error! Cross information between Xpert result and treatment category are not match; possibly there will be Erorr or missing information on MTB result OR RIF result")</f>
        <v/>
      </c>
      <c r="I16" s="15" t="str">
        <f t="shared" si="1"/>
        <v/>
      </c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t="14.25" customHeight="1">
      <c r="A17" s="32"/>
      <c r="B17" s="28" t="s">
        <v>62</v>
      </c>
      <c r="C17" s="28">
        <f>COUNTIFS(Results!$E:$E,"&gt;="&amp;$I$2,Results!$E:$E,"&lt;="&amp;$I$3,Results!$F:$F,"Positive",Results!$G:$G,"Negative",Results!$K:$K,"No") + COUNTIFS(Results!$E:$E,"&gt;="&amp;$I$2,Results!$E:$E,"&lt;="&amp;$I$3,Results!$F:$F,"Positive",Results!$G:$G,"Negative",Results!$K:$K,"On Treatment")</f>
        <v>0</v>
      </c>
      <c r="D17" s="28">
        <f>COUNTIFS(Results!$E:$E,"&gt;="&amp;$I$2,Results!$E:$E,"&lt;="&amp;$I$3,Results!$F:$F,"Positive",Results!$G:$G,"Negative",Results!$K:$K,"Yes")</f>
        <v>0</v>
      </c>
      <c r="E17" s="28">
        <f>COUNTIFS(Results!$E:$E,"&gt;="&amp;$I$2,Results!$E:$E,"&lt;="&amp;$I$3,Results!$F:$F,"Positive",Results!$G:$G,"Negative",Results!$K:$K,"Unknown")</f>
        <v>0</v>
      </c>
      <c r="F17" s="28">
        <f>COUNTIFS(Results!$E:$E,"&gt;="&amp;$I$2,Results!$E:$E,"&lt;="&amp;$I$3,Results!$F:$F,"Positive",Results!$G:$G,"Negative", Results!$K:$K,"&lt;&gt;Not on Form", Results!$K:$K,"&lt;&gt;N/A")</f>
        <v>0</v>
      </c>
      <c r="G17" s="33"/>
      <c r="I17" s="15" t="str">
        <f t="shared" si="1"/>
        <v/>
      </c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t="14.25" customHeight="1">
      <c r="A18" s="32"/>
      <c r="B18" s="28" t="s">
        <v>63</v>
      </c>
      <c r="C18" s="28">
        <f>COUNTIFS(Results!$E:$E,"&gt;="&amp;$I$2,Results!$E:$E,"&lt;="&amp;$I$3,Results!$F:$F,"Positive",Results!$G:$G,"Positive",Results!$K:$K,"No") + COUNTIFS(Results!$E:$E,"&gt;="&amp;$I$2,Results!$E:$E,"&lt;="&amp;$I$3,Results!$F:$F,"Positive",Results!$G:$G,"Positive",Results!$K:$K,"On Treatment")</f>
        <v>0</v>
      </c>
      <c r="D18" s="28">
        <f>COUNTIFS(Results!$E:$E,"&gt;="&amp;$I$2,Results!$E:$E,"&lt;="&amp;$I$3,Results!$F:$F,"Positive",Results!$G:$G,"Positive",Results!$K:$K,"Yes")</f>
        <v>0</v>
      </c>
      <c r="E18" s="28">
        <f>COUNTIFS(Results!$E:$E,"&gt;="&amp;$I$2,Results!$E:$E,"&lt;="&amp;$I$3,Results!$F:$F,"Positive",Results!$G:$G,"Positive",Results!$K:$K,"Unknown")</f>
        <v>0</v>
      </c>
      <c r="F18" s="28">
        <f>COUNTIFS(Results!$E:$E,"&gt;="&amp;$I$2,Results!$E:$E,"&lt;="&amp;$I$3,Results!$F:$F,"Positive",Results!$G:$G,"Positive", Results!$K:$K,"&lt;&gt;Not on Form", Results!$K:$K,"&lt;&gt;N/A")</f>
        <v>0</v>
      </c>
      <c r="G18" s="33"/>
      <c r="I18" s="15" t="str">
        <f t="shared" si="1"/>
        <v/>
      </c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t="14.25" customHeight="1">
      <c r="A19" s="32"/>
      <c r="B19" s="28" t="s">
        <v>64</v>
      </c>
      <c r="C19" s="28">
        <f>COUNTIFS(Results!$E:$E,"&gt;="&amp;$I$2,Results!$E:$E,"&lt;="&amp;$I$3,Results!$F:$F,"Positive",Results!$G:$G,"Indeterminate",Results!$K:$K,"No") + COUNTIFS(Results!$E:$E,"&gt;="&amp;$I$2,Results!$E:$E,"&lt;="&amp;$I$3,Results!$F:$F,"Positive",Results!$G:$G,"Indeterminate",Results!$K:$K,"On Treatment")</f>
        <v>0</v>
      </c>
      <c r="D19" s="28">
        <f>COUNTIFS(Results!$E:$E,"&gt;="&amp;$I$2,Results!$E:$E,"&lt;="&amp;$I$3,Results!$F:$F,"Positive",Results!$G:$G,"Indeterminate",Results!$K:$K,"Yes")</f>
        <v>0</v>
      </c>
      <c r="E19" s="28">
        <f>COUNTIFS(Results!$E:$E,"&gt;="&amp;$I$2,Results!$E:$E,"&lt;="&amp;$I$3,Results!$F:$F,"Positive",Results!$G:$G,"Indeterminate",Results!$K:$K,"Unknown")</f>
        <v>0</v>
      </c>
      <c r="F19" s="28">
        <f>COUNTIFS(Results!$E:$E,"&gt;="&amp;$I$2,Results!$E:$E,"&lt;="&amp;$I$3,Results!$F:$F,"Positive",Results!$G:$G,"Indeterminate", Results!$K:$K,"&lt;&gt;Not on Form", Results!$K:$K,"&lt;&gt;N/A")</f>
        <v>0</v>
      </c>
      <c r="G19" s="33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t="14.25" customHeight="1">
      <c r="A20" s="26"/>
      <c r="B20" s="28" t="s">
        <v>65</v>
      </c>
      <c r="C20" s="28">
        <f>COUNTIFS(Results!$E:$E,"&gt;="&amp;$I$2,Results!$E:$E,"&lt;="&amp;$I$3,Results!$F:$F,"Trace",Results!$G:$G,"Indeterminate",Results!$K:$K,"No") + COUNTIFS(Results!$E:$E,"&gt;="&amp;$I$2,Results!$E:$E,"&lt;="&amp;$I$3,Results!$F:$F,"Trace",Results!$G:$G,"Indeterminate",Results!$K:$K,"On Treatment")</f>
        <v>0</v>
      </c>
      <c r="D20" s="28">
        <f>COUNTIFS(Results!$E:$E,"&gt;="&amp;$I$2,Results!$E:$E,"&lt;="&amp;$I$3,Results!$F:$F,"Trace",Results!$G:$G,"Indeterminate",Results!$K:$K,"Yes")</f>
        <v>0</v>
      </c>
      <c r="E20" s="28">
        <f>COUNTIFS(Results!$E:$E,"&gt;="&amp;$I$2,Results!$E:$E,"&lt;="&amp;$I$3,Results!$F:$F,"Trace",Results!$G:$G,"Indeterminate",Results!$K:$K,"Unknown")</f>
        <v>0</v>
      </c>
      <c r="F20" s="28">
        <f>COUNTIFS(Results!$E:$E,"&gt;="&amp;$I$2,Results!$E:$E,"&lt;="&amp;$I$3,Results!$F:$F,"Trace",Results!$G:$G,"Indeterminate", Results!$K:$K,"&lt;&gt;Not on Form", Results!$K:$K,"&lt;&gt;N/A")</f>
        <v>0</v>
      </c>
      <c r="G20" s="33"/>
      <c r="I20" s="15" t="str">
        <f>IF(SUM(C20:E20)=F20,"","Check Total Value &amp; Category")</f>
        <v/>
      </c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t="14.25" customHeight="1">
      <c r="A21" s="15"/>
      <c r="B21" s="15"/>
      <c r="C21" s="15"/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t="14.25" customHeight="1">
      <c r="A22" s="15" t="s">
        <v>66</v>
      </c>
      <c r="B22" s="15"/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t="14.25" customHeight="1">
      <c r="A23" s="28"/>
      <c r="B23" s="28"/>
      <c r="C23" s="34" t="s">
        <v>67</v>
      </c>
      <c r="D23" s="34" t="s">
        <v>68</v>
      </c>
      <c r="E23" s="27" t="s">
        <v>55</v>
      </c>
      <c r="F23" s="27" t="s">
        <v>49</v>
      </c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t="15.75" hidden="1" customHeight="1">
      <c r="A24" s="30" t="s">
        <v>56</v>
      </c>
      <c r="B24" s="28" t="s">
        <v>57</v>
      </c>
      <c r="C24" s="28">
        <f>COUNTIFS(Results!$E:$E,"&gt;="&amp;$I$2,Results!$E:$E,"&lt;="&amp;$I$3,Results!$L:$L,"Positive",Results!$H:$H,"Positive", Results!$F:$F,"*tive")</f>
        <v>0</v>
      </c>
      <c r="D24" s="28">
        <f>COUNTIFS(Results!$E:$E,"&gt;="&amp;$I$2,Results!$E:$E,"&lt;="&amp;$I$3,Results!$L:$L,"Positive",Results!$H:$H,"Negative", Results!$F:$F,"*tive")</f>
        <v>0</v>
      </c>
      <c r="E24" s="28">
        <f>COUNTIFS(Results!$E:$E,"&gt;="&amp;$I$2,Results!$E:$E,"&lt;="&amp;$I$3,Results!$L:$L,"Positive",Results!$H:$H,"Unknown", Results!$F:$F,"*tive")</f>
        <v>0</v>
      </c>
      <c r="F24" s="28">
        <f>COUNTIFS(Results!$E:$E,"&gt;="&amp;$I$2,Results!$E:$E,"&lt;="&amp;$I$3,Results!$L:$L,"Positive", Results!$F:$F,"*tive", Results!$H:$H,"&lt;&gt;Not on Form", Results!$H:$H,"&lt;&gt;N/A", Results!$L:$L,"&lt;&gt;Not on Form", Results!$L:$L,"&lt;&gt;N/A")</f>
        <v>0</v>
      </c>
      <c r="G24" s="31" t="str">
        <f>IF($F$9=SUM(F24:F26),"","Error! Microscope Result and HIV Status do NOT match; Crosscheck for missing information in Microscope Result OR HIV Status")</f>
        <v/>
      </c>
      <c r="I24" s="15" t="str">
        <f t="shared" ref="I24:I29" si="2">IF(SUM(C24:E24)=F24,"","Check Total Value &amp; Category")</f>
        <v/>
      </c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t="14.25" hidden="1" customHeight="1">
      <c r="A25" s="32"/>
      <c r="B25" s="28" t="s">
        <v>58</v>
      </c>
      <c r="C25" s="28">
        <f>COUNTIFS(Results!$E:$E,"&gt;="&amp;$I$2,Results!$E:$E,"&lt;="&amp;$I$3,Results!$L:$L,"Negative",Results!$H:$H,"Positive", Results!$F:$F,"*tive")</f>
        <v>0</v>
      </c>
      <c r="D25" s="28">
        <f>COUNTIFS(Results!$E:$E,"&gt;="&amp;$I$2,Results!$E:$E,"&lt;="&amp;$I$3,Results!$L:$L,"Negative",Results!$H:$H,"Negative", Results!$F:$F,"*tive")</f>
        <v>0</v>
      </c>
      <c r="E25" s="28">
        <f>COUNTIFS(Results!$E:$E,"&gt;="&amp;$I$2,Results!$E:$E,"&lt;="&amp;$I$3,Results!$L:$L,"Negative",Results!$H:$H,"Unknown", Results!$F:$F,"*tive")</f>
        <v>0</v>
      </c>
      <c r="F25" s="28">
        <f>COUNTIFS(Results!$E:$E,"&gt;="&amp;$I$2,Results!$E:$E,"&lt;="&amp;$I$3,Results!$L:$L,"Negative", Results!$F:$F,"*tive",  Results!$H:$H,"&lt;&gt;Not on Form", Results!$H:$H,"&lt;&gt;N/A", Results!$L:$L,"&lt;&gt;Not on Form", Results!$L:$L,"&lt;&gt;N/A")</f>
        <v>0</v>
      </c>
      <c r="G25" s="33"/>
      <c r="I25" s="15" t="str">
        <f t="shared" si="2"/>
        <v/>
      </c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t="14.25" hidden="1" customHeight="1">
      <c r="A26" s="26"/>
      <c r="B26" s="28" t="s">
        <v>59</v>
      </c>
      <c r="C26" s="28">
        <f>COUNTIFS(Results!$E:$E,"&gt;="&amp;$I$2,Results!$E:$E,"&lt;="&amp;$I$3,Results!$L:$L,"Not Done",Results!$H:$H,"Positive", Results!$F:$F,"*tive")</f>
        <v>0</v>
      </c>
      <c r="D26" s="28">
        <f>COUNTIFS(Results!$E:$E,"&gt;="&amp;$I$2,Results!$E:$E,"&lt;="&amp;$I$3,Results!$L:$L,"Not Done",Results!$H:$H,"Negative", Results!$F:$F,"*tive")</f>
        <v>0</v>
      </c>
      <c r="E26" s="28">
        <f>COUNTIFS(Results!$E:$E,"&gt;="&amp;$I$2,Results!$E:$E,"&lt;="&amp;$I$3,Results!$L:$L,"Not Done",Results!$H:$H,"Unknown", Results!$F:$F,"*tive")</f>
        <v>0</v>
      </c>
      <c r="F26" s="28">
        <f>COUNTIFS(Results!$E:$E,"&gt;="&amp;$I$2,Results!$E:$E,"&lt;="&amp;$I$3,Results!$L:$L,"Not Done",Results!$F:$F,"*tive",  Results!$H:$H,"&lt;&gt;Not on Form", Results!$H:$H,"&lt;&gt;N/A", Results!$L:$L,"&lt;&gt;Not on Form", Results!$L:$L,"&lt;&gt;N/A")</f>
        <v>0</v>
      </c>
      <c r="G26" s="33"/>
      <c r="I26" s="15" t="str">
        <f t="shared" si="2"/>
        <v/>
      </c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t="14.25" customHeight="1">
      <c r="A27" s="25" t="s">
        <v>60</v>
      </c>
      <c r="B27" s="28" t="s">
        <v>61</v>
      </c>
      <c r="C27" s="28">
        <f>COUNTIFS(Results!$E:$E,"&gt;="&amp;$I$2,Results!$E:$E,"&lt;="&amp;$I$3,Results!$F:$F,"Negative",Results!$H:$H,"Positive")</f>
        <v>0</v>
      </c>
      <c r="D27" s="28">
        <f>COUNTIFS(Results!$E:$E,"&gt;="&amp;$I$2,Results!$E:$E,"&lt;="&amp;$I$3,Results!$F:$F,"Negative",Results!$H:$H,"Negative")</f>
        <v>0</v>
      </c>
      <c r="E27" s="28">
        <f>COUNTIFS(Results!$E:$E,"&gt;="&amp;$I$2,Results!$E:$E,"&lt;="&amp;$I$3,Results!$F:$F,"Negative",Results!$H:$H,"Unknown")</f>
        <v>0</v>
      </c>
      <c r="F27" s="28">
        <f>COUNTIFS(Results!$E:$E,"&gt;="&amp;$I$2,Results!$E:$E,"&lt;="&amp;$I$3,Results!$F:$F,"Negative", Results!$H:$H,"&lt;&gt;Not on Form", Results!$H:$H,"&lt;&gt;N/A")</f>
        <v>0</v>
      </c>
      <c r="G27" s="31" t="str">
        <f>IF($F$9=SUM(F27:F31),"","Error! Cross information between Xpert result and HIV Status are not match; possibly there will be Erorr or missing information on MTB result OR HIV Status")</f>
        <v/>
      </c>
      <c r="I27" s="15" t="str">
        <f t="shared" si="2"/>
        <v/>
      </c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t="14.25" customHeight="1">
      <c r="A28" s="32"/>
      <c r="B28" s="28" t="s">
        <v>62</v>
      </c>
      <c r="C28" s="28">
        <f>COUNTIFS(Results!$E:$E,"&gt;="&amp;$I$2,Results!$E:$E,"&lt;="&amp;$I$3,Results!$F:$F,"Positive",Results!$G:$G,"Negative",Results!$H:$H,"Positive")</f>
        <v>0</v>
      </c>
      <c r="D28" s="28">
        <f>COUNTIFS(Results!$E:$E,"&gt;="&amp;$I$2,Results!$E:$E,"&lt;="&amp;$I$3,Results!$F:$F,"Positive",Results!$G:$G,"Negative",Results!$H:$H,"Negative")</f>
        <v>0</v>
      </c>
      <c r="E28" s="28">
        <f>COUNTIFS(Results!$E:$E,"&gt;="&amp;$I$2,Results!$E:$E,"&lt;="&amp;$I$3,Results!$F:$F,"Positive",Results!$G:$G,"Negative",Results!$H:$H,"Unknown")</f>
        <v>0</v>
      </c>
      <c r="F28" s="28">
        <f>COUNTIFS(Results!$E:$E,"&gt;="&amp;$I$2,Results!$E:$E,"&lt;="&amp;$I$3,Results!$F:$F,"Positive",Results!$G:$G,"Negative", Results!$H:$H,"&lt;&gt;Not on Form", Results!$H:$H,"&lt;&gt;N/A")</f>
        <v>0</v>
      </c>
      <c r="G28" s="33"/>
      <c r="I28" s="15" t="str">
        <f t="shared" si="2"/>
        <v/>
      </c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t="14.25" customHeight="1">
      <c r="A29" s="32"/>
      <c r="B29" s="28" t="s">
        <v>63</v>
      </c>
      <c r="C29" s="28">
        <f>COUNTIFS(Results!$E:$E,"&gt;="&amp;$I$2,Results!$E:$E,"&lt;="&amp;$I$3,Results!$F:$F,"Positive",Results!$G:$G,"Positive",Results!$H:$H,"Positive")</f>
        <v>0</v>
      </c>
      <c r="D29" s="28">
        <f>COUNTIFS(Results!$E:$E,"&gt;="&amp;$I$2,Results!$E:$E,"&lt;="&amp;$I$3,Results!$F:$F,"Positive",Results!$G:$G,"Positive",Results!$H:$H,"Negative")</f>
        <v>0</v>
      </c>
      <c r="E29" s="28">
        <f>COUNTIFS(Results!$E:$E,"&gt;="&amp;$I$2,Results!$E:$E,"&lt;="&amp;$I$3,Results!$F:$F,"Positive",Results!$G:$G,"Positive",Results!$H:$H,"Unknown")</f>
        <v>0</v>
      </c>
      <c r="F29" s="28">
        <f>COUNTIFS(Results!$E:$E,"&gt;="&amp;$I$2,Results!$E:$E,"&lt;="&amp;$I$3,Results!$F:$F,"Positive",Results!$G:$G,"Positive", Results!$H:$H,"&lt;&gt;Not on Form", Results!$H:$H,"&lt;&gt;N/A")</f>
        <v>0</v>
      </c>
      <c r="G29" s="33"/>
      <c r="I29" s="15" t="str">
        <f t="shared" si="2"/>
        <v/>
      </c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t="14.25" customHeight="1">
      <c r="A30" s="32"/>
      <c r="B30" s="28" t="s">
        <v>64</v>
      </c>
      <c r="C30" s="28">
        <f>COUNTIFS(Results!$E:$E,"&gt;="&amp;$I$2,Results!$E:$E,"&lt;="&amp;$I$3,Results!$F:$F,"Positive",Results!$G:$G,"Indeterminate",Results!$H:$H,"Positive")</f>
        <v>0</v>
      </c>
      <c r="D30" s="28">
        <f>COUNTIFS(Results!$E:$E,"&gt;="&amp;$I$2,Results!$E:$E,"&lt;="&amp;$I$3,Results!$F:$F,"Positive",Results!$G:$G,"Indeterminate",Results!$H:$H,"Negative")</f>
        <v>0</v>
      </c>
      <c r="E30" s="28">
        <f>COUNTIFS(Results!$E:$E,"&gt;="&amp;$I$2,Results!$E:$E,"&lt;="&amp;$I$3,Results!$F:$F,"Positive",Results!$G:$G,"Indeterminate",Results!$H:$H,"Unknown")</f>
        <v>0</v>
      </c>
      <c r="F30" s="28">
        <f>COUNTIFS(Results!$E:$E,"&gt;="&amp;$I$2,Results!$E:$E,"&lt;="&amp;$I$3,Results!$F:$F,"Positive",Results!$G:$G,"Indeterminate", Results!$H:$H,"&lt;&gt;Not on Form", Results!$H:$H,"&lt;&gt;N/A")</f>
        <v>0</v>
      </c>
      <c r="G30" s="33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t="14.25" customHeight="1">
      <c r="A31" s="26"/>
      <c r="B31" s="28" t="s">
        <v>65</v>
      </c>
      <c r="C31" s="28">
        <f>COUNTIFS(Results!$E:$E,"&gt;="&amp;$I$2,Results!$E:$E,"&lt;="&amp;$I$3,Results!$F:$F,"Trace",Results!$G:$G,"Indeterminate",Results!$H:$H,"Positive")</f>
        <v>0</v>
      </c>
      <c r="D31" s="28">
        <f>COUNTIFS(Results!$E:$E,"&gt;="&amp;$I$2,Results!$E:$E,"&lt;="&amp;$I$3,Results!$F:$F,"Trace",Results!$G:$G,"Indeterminate",Results!$H:$H,"Negative")</f>
        <v>0</v>
      </c>
      <c r="E31" s="28">
        <f>COUNTIFS(Results!$E:$E,"&gt;="&amp;$I$2,Results!$E:$E,"&lt;="&amp;$I$3,Results!$F:$F,"Trace",Results!$G:$G,"Indeterminate",Results!$H:$H,"Unknown")</f>
        <v>0</v>
      </c>
      <c r="F31" s="28">
        <f>COUNTIFS(Results!$E:$E,"&gt;="&amp;$I$2,Results!$E:$E,"&lt;="&amp;$I$3,Results!$F:$F,"Trace",Results!$G:$G,"Indeterminate", Results!$H:$H,"&lt;&gt;Not on Form", Results!$H:$H,"&lt;&gt;N/A")</f>
        <v>0</v>
      </c>
      <c r="G31" s="33"/>
      <c r="I31" s="15" t="str">
        <f>IF(SUM(C31:E31)=F31,"","Check Total Value &amp; Category")</f>
        <v/>
      </c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t="14.25" customHeight="1">
      <c r="A32" s="15"/>
      <c r="B32" s="15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t="14.25" customHeight="1">
      <c r="A33" s="35" t="s">
        <v>69</v>
      </c>
      <c r="B33" s="36"/>
      <c r="C33" s="36"/>
      <c r="D33" s="36"/>
      <c r="E33" s="36"/>
      <c r="F33" s="36"/>
      <c r="G33" s="36"/>
      <c r="H33" s="36"/>
      <c r="I33" s="36"/>
      <c r="J33" s="36"/>
      <c r="K33" s="36"/>
      <c r="L33" s="36"/>
      <c r="M33" s="36"/>
      <c r="N33" s="36"/>
      <c r="O33" s="36"/>
      <c r="P33" s="36"/>
      <c r="Q33" s="36"/>
      <c r="R33" s="36"/>
      <c r="S33" s="36"/>
      <c r="T33" s="36"/>
      <c r="U33" s="36"/>
      <c r="V33" s="36"/>
      <c r="W33" s="36"/>
      <c r="X33" s="36"/>
      <c r="Y33" s="36"/>
      <c r="Z33" s="36"/>
    </row>
    <row r="34" ht="14.25" customHeight="1">
      <c r="A34" s="37"/>
      <c r="B34" s="37"/>
      <c r="C34" s="38" t="s">
        <v>70</v>
      </c>
      <c r="D34" s="38" t="s">
        <v>71</v>
      </c>
      <c r="E34" s="38" t="s">
        <v>72</v>
      </c>
      <c r="F34" s="38" t="s">
        <v>73</v>
      </c>
      <c r="G34" s="38" t="s">
        <v>74</v>
      </c>
      <c r="H34" s="39" t="s">
        <v>49</v>
      </c>
      <c r="I34" s="40"/>
      <c r="J34" s="40"/>
      <c r="K34" s="40"/>
      <c r="L34" s="40"/>
      <c r="M34" s="40"/>
      <c r="N34" s="40"/>
      <c r="O34" s="40"/>
      <c r="P34" s="40"/>
      <c r="Q34" s="40"/>
      <c r="R34" s="40"/>
      <c r="S34" s="40"/>
      <c r="T34" s="40"/>
      <c r="U34" s="40"/>
      <c r="V34" s="40"/>
      <c r="W34" s="40"/>
      <c r="X34" s="40"/>
      <c r="Y34" s="40"/>
      <c r="Z34" s="40"/>
    </row>
    <row r="35" ht="14.25" customHeight="1">
      <c r="A35" s="41" t="s">
        <v>60</v>
      </c>
      <c r="B35" s="42" t="s">
        <v>61</v>
      </c>
      <c r="C35" s="43">
        <f>COUNTIFS(Results!$E:$E,"&gt;="&amp;$I$2,Results!$E:$E,"&lt;="&amp;$I$3,Results!$F:$F,"Negative",Results!$S:$S,"*DX*")</f>
        <v>0</v>
      </c>
      <c r="D35" s="43">
        <f>COUNTIFS(Results!$E:$E,"&gt;="&amp;$I$2,Results!$E:$E,"&lt;="&amp;$I$3,Results!$F:$F,"Negative",Results!$S:$S,"*fu*")</f>
        <v>0</v>
      </c>
      <c r="E35" s="43">
        <f>COUNTIFS(Results!$E:$E,"&gt;="&amp;$I$2,Results!$E:$E,"&lt;="&amp;$I$3,Results!$F:$F,"Negative",Results!$S:$S,"*mdr*")</f>
        <v>0</v>
      </c>
      <c r="F35" s="43">
        <f>COUNTIFS(Results!$E:$E,"&gt;="&amp;$I$2,Results!$E:$E,"&lt;="&amp;$I$3,Results!$F:$F,"Negative",Results!$S:$S,"*dm*")</f>
        <v>0</v>
      </c>
      <c r="G35" s="43">
        <f>COUNTIFS(Results!$E:$E,"&gt;="&amp;$I$2,Results!$E:$E,"&lt;="&amp;$I$3,Results!$F:$F,"Negative",Results!$S:$S,"*na*")</f>
        <v>0</v>
      </c>
      <c r="H35" s="43">
        <f>COUNTIFS(Results!$E:$E,"&gt;="&amp;$I$2,Results!$E:$E,"&lt;="&amp;$I$3,Results!$F:$F,"Negative", Results!$O:$O,"&lt;&gt;Not on Form", Results!$O:$O,"&lt;&gt;N/A")</f>
        <v>0</v>
      </c>
      <c r="I35" s="40"/>
      <c r="J35" s="40"/>
      <c r="K35" s="40"/>
      <c r="L35" s="40"/>
      <c r="M35" s="40"/>
      <c r="N35" s="40"/>
      <c r="O35" s="40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</row>
    <row r="36" ht="14.25" customHeight="1">
      <c r="A36" s="32"/>
      <c r="B36" s="42" t="s">
        <v>62</v>
      </c>
      <c r="C36" s="43">
        <f>COUNTIFS(Results!$E:$E,"&gt;="&amp;$I$2,Results!$E:$E,"&lt;="&amp;$I$3,Results!$F:$F,"Positive",Results!$G:$G,"Negative",Results!$S:$S,"*DX*")</f>
        <v>0</v>
      </c>
      <c r="D36" s="43">
        <f>COUNTIFS(Results!$E:$E,"&gt;="&amp;$I$2,Results!$E:$E,"&lt;="&amp;$I$3,Results!$F:$F,"Positive",Results!$G:$G,"Negative",Results!$S:$S,"*fu*")</f>
        <v>0</v>
      </c>
      <c r="E36" s="43">
        <f>COUNTIFS(Results!$E:$E,"&gt;="&amp;$I$2,Results!$E:$E,"&lt;="&amp;$I$3,Results!$F:$F,"Positive",Results!$G:$G,"Negative",Results!$S:$S,"*mdr*")</f>
        <v>0</v>
      </c>
      <c r="F36" s="43">
        <f>COUNTIFS(Results!$E:$E,"&gt;="&amp;$I$2,Results!$E:$E,"&lt;="&amp;$I$3,Results!$F:$F,"Positive",Results!$G:$G,"Negative",Results!$S:$S,"*Dm*")</f>
        <v>0</v>
      </c>
      <c r="G36" s="43">
        <f>COUNTIFS(Results!$E:$E,"&gt;="&amp;$I$2,Results!$E:$E,"&lt;="&amp;$I$3,Results!$F:$F,"Positive",Results!$G:$G,"Negative",Results!$S:$S,"*na*")</f>
        <v>0</v>
      </c>
      <c r="H36" s="43">
        <f>COUNTIFS(Results!$E:$E,"&gt;="&amp;$I$2,Results!$E:$E,"&lt;="&amp;$I$3,Results!$F:$F,"Positive",Results!$G:$G,"Negative", Results!$O:$O,"&lt;&gt;Not on Form", Results!$O:$O,"&lt;&gt;N/A")</f>
        <v>0</v>
      </c>
      <c r="I36" s="40"/>
      <c r="J36" s="40"/>
      <c r="K36" s="40"/>
      <c r="L36" s="40"/>
      <c r="M36" s="40"/>
      <c r="N36" s="40"/>
      <c r="O36" s="40"/>
      <c r="P36" s="40"/>
      <c r="Q36" s="40"/>
      <c r="R36" s="40"/>
      <c r="S36" s="40"/>
      <c r="T36" s="40"/>
      <c r="U36" s="40"/>
      <c r="V36" s="40"/>
      <c r="W36" s="40"/>
      <c r="X36" s="40"/>
      <c r="Y36" s="40"/>
      <c r="Z36" s="40"/>
    </row>
    <row r="37" ht="14.25" customHeight="1">
      <c r="A37" s="32"/>
      <c r="B37" s="42" t="s">
        <v>63</v>
      </c>
      <c r="C37" s="43">
        <f>COUNTIFS(Results!$E:$E,"&gt;="&amp;$I$2,Results!$E:$E,"&lt;="&amp;$I$3,Results!$F:$F,"Positive",Results!$G:$G,"Positive",Results!$S:$S,"*DX*")</f>
        <v>0</v>
      </c>
      <c r="D37" s="43">
        <f>COUNTIFS(Results!$E:$E,"&gt;="&amp;$I$2,Results!$E:$E,"&lt;="&amp;$I$3,Results!$F:$F,"Positive",Results!$G:$G,"Positive",Results!$S:$S,"*fu*")</f>
        <v>0</v>
      </c>
      <c r="E37" s="43">
        <f>COUNTIFS(Results!$E:$E,"&gt;="&amp;$I$2,Results!$E:$E,"&lt;="&amp;$I$3,Results!$F:$F,"Positive",Results!$G:$G,"Positive",Results!$S:$S,"*mdr*")</f>
        <v>0</v>
      </c>
      <c r="F37" s="43">
        <f>COUNTIFS(Results!$E:$E,"&gt;="&amp;$I$2,Results!$E:$E,"&lt;="&amp;$I$3,Results!$F:$F,"Positive",Results!$G:$G,"Positive",Results!$S:$S,"*dm*")</f>
        <v>0</v>
      </c>
      <c r="G37" s="43">
        <f>COUNTIFS(Results!$E:$E,"&gt;="&amp;$I$2,Results!$E:$E,"&lt;="&amp;$I$3,Results!$F:$F,"Positive",Results!$G:$G,"Positive",Results!$S:$S,"*na*")</f>
        <v>0</v>
      </c>
      <c r="H37" s="43">
        <f>COUNTIFS(Results!$E:$E,"&gt;="&amp;$I$2,Results!$E:$E,"&lt;="&amp;$I$3,Results!$F:$F,"Positive",Results!$G:$G,"Positive", Results!$O:$O,"&lt;&gt;Not on Form", Results!$O:$O,"&lt;&gt;N/A")</f>
        <v>0</v>
      </c>
      <c r="I37" s="40"/>
      <c r="J37" s="40"/>
      <c r="K37" s="40"/>
      <c r="L37" s="40"/>
      <c r="M37" s="40"/>
      <c r="N37" s="40"/>
      <c r="O37" s="40"/>
      <c r="P37" s="40"/>
      <c r="Q37" s="40"/>
      <c r="R37" s="40"/>
      <c r="S37" s="40"/>
      <c r="T37" s="40"/>
      <c r="U37" s="40"/>
      <c r="V37" s="40"/>
      <c r="W37" s="40"/>
      <c r="X37" s="40"/>
      <c r="Y37" s="40"/>
      <c r="Z37" s="40"/>
    </row>
    <row r="38" ht="14.25" customHeight="1">
      <c r="A38" s="32"/>
      <c r="B38" s="42" t="s">
        <v>64</v>
      </c>
      <c r="C38" s="43">
        <f>COUNTIFS(Results!$E:$E,"&gt;="&amp;$I$2,Results!$E:$E,"&lt;="&amp;$I$3,Results!$F:$F,"Positive",Results!$G:$G,"Indeterminate",Results!$S:$S,"*DX*")</f>
        <v>0</v>
      </c>
      <c r="D38" s="43">
        <f>COUNTIFS(Results!$E:$E,"&gt;="&amp;$I$2,Results!$E:$E,"&lt;="&amp;$I$3,Results!$F:$F,"Positive",Results!$G:$G,"Indeterminate",Results!$S:$S,"*fu*")</f>
        <v>0</v>
      </c>
      <c r="E38" s="43">
        <f>COUNTIFS(Results!$E:$E,"&gt;="&amp;$I$2,Results!$E:$E,"&lt;="&amp;$I$3,Results!$F:$F,"Positive",Results!$G:$G,"Indeterminate",Results!$S:$S,"*mdr*")</f>
        <v>0</v>
      </c>
      <c r="F38" s="43">
        <f>COUNTIFS(Results!$E:$E,"&gt;="&amp;$I$2,Results!$E:$E,"&lt;="&amp;$I$3,Results!$F:$F,"Positive",Results!$G:$G,"Indeterminate",Results!$S:$S,"*dm*")</f>
        <v>0</v>
      </c>
      <c r="G38" s="43">
        <f>COUNTIFS(Results!$E:$E,"&gt;="&amp;$I$2,Results!$E:$E,"&lt;="&amp;$I$3,Results!$F:$F,"Positive",Results!$G:$G,"Indeterminate",Results!$S:$S,"*na*")</f>
        <v>0</v>
      </c>
      <c r="H38" s="43">
        <f>COUNTIFS(Results!$E:$E,"&gt;="&amp;$I$2,Results!$E:$E,"&lt;="&amp;$I$3,Results!$F:$F,"Positive",Results!$G:$G,"Indeterminate", Results!$O:$O,"&lt;&gt;Not on Form", Results!$O:$O,"&lt;&gt;N/A")</f>
        <v>0</v>
      </c>
      <c r="I38" s="40"/>
      <c r="J38" s="40"/>
      <c r="K38" s="40"/>
      <c r="L38" s="40"/>
      <c r="M38" s="40"/>
      <c r="N38" s="40"/>
      <c r="O38" s="40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</row>
    <row r="39" ht="14.25" customHeight="1">
      <c r="A39" s="26"/>
      <c r="B39" s="42" t="s">
        <v>75</v>
      </c>
      <c r="C39" s="43">
        <f>COUNTIFS(Results!$E:$E,"&gt;="&amp;$I$2,Results!$E:$E,"&lt;="&amp;$I$3,Results!$F:$F,"Trace",Results!$G:$G,"Indeterminate",Results!$S:$S,"*DX*")</f>
        <v>0</v>
      </c>
      <c r="D39" s="43">
        <f>COUNTIFS(Results!$E:$E,"&gt;="&amp;$I$2,Results!$E:$E,"&lt;="&amp;$I$3,Results!$F:$F,"Trace",Results!$G:$G,"Indeterminate",Results!$S:$S,"*fu*")</f>
        <v>0</v>
      </c>
      <c r="E39" s="43">
        <f>COUNTIFS(Results!$E:$E,"&gt;="&amp;$I$2,Results!$E:$E,"&lt;="&amp;$I$3,Results!$F:$F,"Trace",Results!$G:$G,"Indeterminate",Results!$S:$S,"*mdr*")</f>
        <v>0</v>
      </c>
      <c r="F39" s="43">
        <f>COUNTIFS(Results!$E:$E,"&gt;="&amp;$I$2,Results!$E:$E,"&lt;="&amp;$I$3,Results!$F:$F,"Trace",Results!$G:$G,"Indeterminate",Results!$S:$S,"*dm*")</f>
        <v>0</v>
      </c>
      <c r="G39" s="43">
        <f>COUNTIFS(Results!$E:$E,"&gt;="&amp;$I$2,Results!$E:$E,"&lt;="&amp;$I$3,Results!$F:$F,"Trace",Results!$G:$G,"Indeterminate",Results!$S:$S,"*na*")</f>
        <v>0</v>
      </c>
      <c r="H39" s="43">
        <f>COUNTIFS(Results!$E:$E,"&gt;="&amp;$I$2,Results!$E:$E,"&lt;="&amp;$I$3,Results!$F:$F,"Trace",Results!$G:$G,"Indeterminate", Results!$O:$O,"&lt;&gt;Not on Form", Results!$O:$O,"&lt;&gt;N/A")</f>
        <v>0</v>
      </c>
      <c r="I39" s="40"/>
      <c r="J39" s="40"/>
      <c r="K39" s="40"/>
      <c r="L39" s="40"/>
      <c r="M39" s="40"/>
      <c r="N39" s="40"/>
      <c r="O39" s="40"/>
      <c r="P39" s="40"/>
      <c r="Q39" s="40"/>
      <c r="R39" s="40"/>
      <c r="S39" s="40"/>
      <c r="T39" s="40"/>
      <c r="U39" s="40"/>
      <c r="V39" s="40"/>
      <c r="W39" s="40"/>
      <c r="X39" s="40"/>
      <c r="Y39" s="40"/>
      <c r="Z39" s="40"/>
    </row>
    <row r="40" ht="14.25" customHeight="1">
      <c r="A40" s="15"/>
      <c r="B40" s="15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t="14.25" customHeight="1">
      <c r="A41" s="15"/>
      <c r="B41" s="15"/>
      <c r="C41" s="23" t="s">
        <v>47</v>
      </c>
      <c r="D41" s="24"/>
      <c r="E41" s="23" t="s">
        <v>48</v>
      </c>
      <c r="F41" s="24"/>
      <c r="G41" s="22" t="s">
        <v>49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t="14.25" customHeight="1">
      <c r="A42" s="28" t="s">
        <v>76</v>
      </c>
      <c r="B42" s="28"/>
      <c r="C42" s="23">
        <f>COUNTIFS(Results!$E:$E,"&gt;="&amp;$I$2,Results!$E:$E,"&lt;="&amp;$I$3,Results!$I:$I,"Male",Results!$F:$F,"Positive",Results!$G:$G,"Positive")</f>
        <v>0</v>
      </c>
      <c r="D42" s="24"/>
      <c r="E42" s="23">
        <f>COUNTIFS(Results!$E:$E,"&gt;="&amp;$I$2,Results!$E:$E,"&lt;="&amp;$I$3,Results!$I:$I,"Female",Results!$F:$F,"Positive",Results!$G:$G,"Positive")</f>
        <v>0</v>
      </c>
      <c r="F42" s="24"/>
      <c r="G42" s="28">
        <f>COUNTIFS(Results!$E:$E,"&gt;="&amp;$I$2,Results!$E:$E,"&lt;="&amp;$I$3,Results!$F:$F,"Positive",Results!$G:$G,"Positive", Results!$I:$I,"&lt;&gt;Not on Form", Results!$I:$I,"&lt;&gt;N/A")</f>
        <v>0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t="14.25" customHeight="1">
      <c r="A43" s="15"/>
      <c r="B43" s="15"/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t="14.25" customHeight="1">
      <c r="A44" s="15" t="s">
        <v>77</v>
      </c>
      <c r="B44" s="15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t="14.25" customHeight="1">
      <c r="A45" s="28"/>
      <c r="B45" s="28"/>
      <c r="C45" s="23" t="s">
        <v>78</v>
      </c>
      <c r="D45" s="24"/>
      <c r="E45" s="23" t="s">
        <v>79</v>
      </c>
      <c r="F45" s="24"/>
      <c r="G45" s="28" t="s">
        <v>49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t="14.25" customHeight="1">
      <c r="A46" s="44" t="s">
        <v>80</v>
      </c>
      <c r="B46" s="45"/>
      <c r="C46" s="23">
        <f>COUNTIFS(Results!$E:$E,"&gt;="&amp;$I$2,Results!$E:$E,"&lt;="&amp;$I$3,Results!$F:$F,"Positive",Results!$L:$L,"Positive")</f>
        <v>0</v>
      </c>
      <c r="D46" s="24"/>
      <c r="E46" s="23">
        <f>COUNTIFS(Results!$E:$E,"&gt;="&amp;$I$2,Results!$E:$E,"&lt;="&amp;$I$3,Results!$F:$F,"Negative",Results!$L:$L,"Positive")</f>
        <v>0</v>
      </c>
      <c r="F46" s="24"/>
      <c r="G46" s="28">
        <f>COUNTIFS(Results!$E:$E,"&gt;="&amp;$I$2,Results!$E:$E,"&lt;="&amp;$I$3,Results!$L:$L,"Positive", Results!$F:$F,"*tive", Results!$L:$L,"&lt;&gt;Not on Form", Results!$L:$L,"&lt;&gt;N/A")</f>
        <v>0</v>
      </c>
      <c r="H46" s="31" t="s">
        <v>81</v>
      </c>
      <c r="J46" s="15" t="str">
        <f t="shared" ref="J46:J48" si="3">IF(SUM(C46:F46)=G46,"","Check Total Value &amp; Category")</f>
        <v/>
      </c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t="14.25" customHeight="1">
      <c r="A47" s="44" t="s">
        <v>82</v>
      </c>
      <c r="B47" s="45"/>
      <c r="C47" s="23">
        <f>COUNTIFS(Results!$E:$E,"&gt;="&amp;$I$2,Results!$E:$E,"&lt;="&amp;$I$3,Results!$F:$F,"Positive",Results!$L:$L,"Negative")</f>
        <v>0</v>
      </c>
      <c r="D47" s="24"/>
      <c r="E47" s="23">
        <f>COUNTIFS(Results!$E:$E,"&gt;="&amp;$I$2,Results!$E:$E,"&lt;="&amp;$I$3,Results!$F:$F,"Negative",Results!$L:$L,"Negative")</f>
        <v>0</v>
      </c>
      <c r="F47" s="24"/>
      <c r="G47" s="28">
        <f>COUNTIFS(Results!$E:$E,"&gt;="&amp;$I$2,Results!$E:$E,"&lt;="&amp;$I$3,Results!$L:$L,"Negative", Results!$F:$F,"*tive", Results!$F:$F,"*tive", Results!$L:$L,"&lt;&gt;Not on Form", Results!$L:$L,"&lt;&gt;N/A")</f>
        <v>0</v>
      </c>
      <c r="H47" s="33"/>
      <c r="J47" s="15" t="str">
        <f t="shared" si="3"/>
        <v/>
      </c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t="14.25" customHeight="1">
      <c r="A48" s="44" t="s">
        <v>83</v>
      </c>
      <c r="B48" s="45"/>
      <c r="C48" s="23">
        <f>COUNTIFS(Results!$E:$E,"&gt;="&amp;$I$2,Results!$E:$E,"&lt;="&amp;$I$3,Results!$F:$F,"Positive",Results!$L:$L,"Not Done")</f>
        <v>0</v>
      </c>
      <c r="D48" s="24"/>
      <c r="E48" s="23">
        <f>COUNTIFS(Results!$E:$E,"&gt;="&amp;$I$2,Results!$E:$E,"&lt;="&amp;$I$3,Results!$F:$F,"Negative",Results!$L:$L,"Not Done")</f>
        <v>0</v>
      </c>
      <c r="F48" s="24"/>
      <c r="G48" s="28">
        <f>COUNTIFS(Results!$E:$E,"&gt;="&amp;$I$2,Results!$E:$E,"&lt;="&amp;$I$3,Results!$L:$L,"Not Done", Results!$F:$F,"*tive", Results!$F:$F,"*tive", Results!$L:$L,"&lt;&gt;Not on Form", Results!$L:$L,"&lt;&gt;N/A")</f>
        <v>0</v>
      </c>
      <c r="H48" s="33"/>
      <c r="J48" s="15" t="str">
        <f t="shared" si="3"/>
        <v/>
      </c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t="14.25" customHeight="1">
      <c r="A49" s="15"/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t="14.25" customHeight="1">
      <c r="A50" s="36"/>
      <c r="B50" s="36"/>
      <c r="C50" s="46" t="s">
        <v>78</v>
      </c>
      <c r="D50" s="24"/>
      <c r="E50" s="46" t="s">
        <v>79</v>
      </c>
      <c r="F50" s="24"/>
      <c r="G50" s="47" t="s">
        <v>49</v>
      </c>
      <c r="H50" s="36"/>
      <c r="I50" s="36"/>
      <c r="J50" s="36"/>
      <c r="K50" s="36"/>
      <c r="L50" s="36"/>
      <c r="M50" s="36"/>
      <c r="N50" s="36"/>
      <c r="O50" s="36"/>
      <c r="P50" s="36"/>
      <c r="Q50" s="36"/>
      <c r="R50" s="36"/>
      <c r="S50" s="36"/>
      <c r="T50" s="36"/>
      <c r="U50" s="36"/>
      <c r="V50" s="36"/>
      <c r="W50" s="36"/>
      <c r="X50" s="36"/>
      <c r="Y50" s="36"/>
      <c r="Z50" s="36"/>
    </row>
    <row r="51" ht="14.25" customHeight="1">
      <c r="A51" s="42" t="s">
        <v>84</v>
      </c>
      <c r="B51" s="37"/>
      <c r="C51" s="48">
        <f>COUNTIFS(Results!$E:$E,"&gt;="&amp;$I$2,Results!$E:$E,"&lt;="&amp;$I$3,Results!$F:$F,"Positive",Results!$P:$P,"CXR")</f>
        <v>0</v>
      </c>
      <c r="D51" s="24"/>
      <c r="E51" s="48">
        <f>COUNTIFS(Results!$E:$E,"&gt;="&amp;$I$2,Results!$E:$E,"&lt;="&amp;$I$3,Results!$F:$F,"Negative",Results!$P:$P,"CXR")</f>
        <v>0</v>
      </c>
      <c r="F51" s="24"/>
      <c r="G51" s="49">
        <f>COUNTIFS(Results!$E:$E,"&gt;="&amp;$I$2,Results!$E:$E,"&lt;="&amp;$I$3,Results!$F:$F,"Negative",Results!$P:$P,"CXR")</f>
        <v>0</v>
      </c>
      <c r="H51" s="40"/>
      <c r="I51" s="40"/>
      <c r="J51" s="40"/>
      <c r="K51" s="40"/>
      <c r="L51" s="40"/>
      <c r="M51" s="40"/>
      <c r="N51" s="40"/>
      <c r="O51" s="40"/>
      <c r="P51" s="40"/>
      <c r="Q51" s="40"/>
      <c r="R51" s="40"/>
      <c r="S51" s="40"/>
      <c r="T51" s="40"/>
      <c r="U51" s="40"/>
      <c r="V51" s="40"/>
      <c r="W51" s="40"/>
      <c r="X51" s="40"/>
      <c r="Y51" s="40"/>
      <c r="Z51" s="40"/>
    </row>
    <row r="52" ht="14.25" customHeight="1">
      <c r="A52" s="15"/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t="14.25" customHeight="1">
      <c r="A53" s="15" t="s">
        <v>85</v>
      </c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t="14.25" customHeight="1">
      <c r="A54" s="28"/>
      <c r="B54" s="28"/>
      <c r="C54" s="23" t="s">
        <v>86</v>
      </c>
      <c r="D54" s="24"/>
      <c r="E54" s="23" t="s">
        <v>87</v>
      </c>
      <c r="F54" s="24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t="14.25" customHeight="1">
      <c r="A55" s="44" t="s">
        <v>88</v>
      </c>
      <c r="B55" s="45"/>
      <c r="C55" s="23"/>
      <c r="D55" s="24"/>
      <c r="E55" s="23"/>
      <c r="F55" s="24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t="14.25" customHeight="1">
      <c r="A56" s="44" t="s">
        <v>89</v>
      </c>
      <c r="B56" s="45"/>
      <c r="C56" s="23"/>
      <c r="D56" s="24"/>
      <c r="E56" s="23"/>
      <c r="F56" s="24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t="14.25" customHeight="1">
      <c r="A57" s="44" t="s">
        <v>90</v>
      </c>
      <c r="B57" s="45"/>
      <c r="C57" s="23">
        <f>COUNTIFS(Results!$E:$E,"&gt;="&amp;$I$2,Results!$E:$E,"&lt;="&amp;$I$3)</f>
        <v>0</v>
      </c>
      <c r="D57" s="24"/>
      <c r="E57" s="23"/>
      <c r="F57" s="24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t="14.25" customHeight="1">
      <c r="A58" s="44" t="s">
        <v>91</v>
      </c>
      <c r="B58" s="45"/>
      <c r="C58" s="23">
        <f>C55+C56-C57</f>
        <v>0</v>
      </c>
      <c r="D58" s="24"/>
      <c r="E58" s="23"/>
      <c r="F58" s="24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t="14.25" customHeight="1">
      <c r="A59" s="50" t="s">
        <v>92</v>
      </c>
      <c r="B59" s="50"/>
      <c r="C59" s="50">
        <f>COUNTIFS(Results!$E:$E,"&gt;="&amp;$I$2,Results!$E:$E,"&lt;="&amp;$I$3,Results!$F:$F,"Error")+COUNTIFS(Results!$E:$E,"&gt;="&amp;$I$2,Results!$E:$E,"&lt;="&amp;$I$3,Results!$F:$F,"Invalid")</f>
        <v>0</v>
      </c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t="14.25" customHeight="1">
      <c r="A60" s="50" t="s">
        <v>93</v>
      </c>
      <c r="B60" s="15"/>
      <c r="C60" s="50">
        <f>COUNTIFS(Results!$E:$E,"&gt;="&amp;$I$2,Results!$E:$E,"&lt;="&amp;$I$3,Results!$F:$F,"No Result")</f>
        <v>0</v>
      </c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t="14.25" customHeight="1">
      <c r="A61" s="15"/>
      <c r="B61" s="15"/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t="14.25" customHeight="1">
      <c r="A62" s="15"/>
      <c r="B62" s="15"/>
      <c r="C62" s="15"/>
      <c r="D62" s="15"/>
      <c r="E62" s="15" t="s">
        <v>94</v>
      </c>
      <c r="F62" s="51"/>
      <c r="G62" s="51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t="14.25" customHeight="1">
      <c r="A63" s="15"/>
      <c r="B63" s="15"/>
      <c r="C63" s="15"/>
      <c r="D63" s="15"/>
      <c r="E63" s="15" t="s">
        <v>95</v>
      </c>
      <c r="F63" s="52"/>
      <c r="G63" s="52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t="14.25" customHeight="1">
      <c r="A64" s="15"/>
      <c r="B64" s="15"/>
      <c r="C64" s="15"/>
      <c r="D64" s="15"/>
      <c r="E64" s="15" t="s">
        <v>96</v>
      </c>
      <c r="F64" s="52"/>
      <c r="G64" s="52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t="14.25" customHeight="1">
      <c r="A65" s="15"/>
      <c r="B65" s="15"/>
      <c r="C65" s="15"/>
      <c r="D65" s="15"/>
      <c r="E65" s="15" t="s">
        <v>97</v>
      </c>
      <c r="F65" s="52"/>
      <c r="G65" s="52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t="14.25" customHeight="1">
      <c r="A66" s="15"/>
      <c r="B66" s="15"/>
      <c r="C66" s="15"/>
      <c r="D66" s="15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t="14.25" customHeight="1">
      <c r="A67" s="15"/>
      <c r="B67" s="15"/>
      <c r="C67" s="15"/>
      <c r="D67" s="15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t="14.25" customHeight="1">
      <c r="A68" s="15"/>
      <c r="B68" s="15"/>
      <c r="C68" s="15"/>
      <c r="D68" s="15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t="14.25" customHeight="1">
      <c r="A69" s="15"/>
      <c r="B69" s="15"/>
      <c r="C69" s="15"/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t="14.25" customHeight="1">
      <c r="A70" s="15"/>
      <c r="B70" s="15"/>
      <c r="C70" s="15"/>
      <c r="D70" s="15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t="14.25" customHeight="1">
      <c r="A71" s="15"/>
      <c r="B71" s="15"/>
      <c r="C71" s="15"/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t="14.25" customHeight="1">
      <c r="A72" s="15"/>
      <c r="B72" s="15"/>
      <c r="C72" s="15"/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t="14.25" customHeight="1">
      <c r="A73" s="15"/>
      <c r="B73" s="15"/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t="14.25" customHeight="1">
      <c r="A74" s="15"/>
      <c r="B74" s="15"/>
      <c r="C74" s="15"/>
      <c r="D74" s="15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t="14.25" customHeight="1">
      <c r="A75" s="15"/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t="14.25" customHeight="1">
      <c r="A76" s="15"/>
      <c r="B76" s="15"/>
      <c r="C76" s="15"/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t="14.25" customHeight="1">
      <c r="A77" s="15"/>
      <c r="B77" s="15"/>
      <c r="C77" s="15"/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t="14.25" customHeight="1">
      <c r="A78" s="15"/>
      <c r="B78" s="15"/>
      <c r="C78" s="15"/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t="14.25" customHeight="1">
      <c r="A79" s="15"/>
      <c r="B79" s="15"/>
      <c r="C79" s="15"/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t="14.25" customHeight="1">
      <c r="A80" s="15"/>
      <c r="B80" s="15"/>
      <c r="C80" s="15"/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t="14.25" customHeight="1">
      <c r="A81" s="15"/>
      <c r="B81" s="15"/>
      <c r="C81" s="15"/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t="14.25" customHeight="1">
      <c r="A82" s="15"/>
      <c r="B82" s="15"/>
      <c r="C82" s="15"/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t="14.25" customHeight="1">
      <c r="A83" s="15"/>
      <c r="B83" s="15"/>
      <c r="C83" s="15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t="14.25" customHeight="1">
      <c r="A84" s="15"/>
      <c r="B84" s="15"/>
      <c r="C84" s="15"/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t="14.25" customHeight="1">
      <c r="A85" s="15"/>
      <c r="B85" s="15"/>
      <c r="C85" s="15"/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t="14.25" customHeight="1">
      <c r="A86" s="15"/>
      <c r="B86" s="15"/>
      <c r="C86" s="15"/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t="14.25" customHeight="1">
      <c r="A87" s="15"/>
      <c r="B87" s="15"/>
      <c r="C87" s="15"/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t="14.25" customHeight="1">
      <c r="A88" s="15"/>
      <c r="B88" s="15"/>
      <c r="C88" s="15"/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t="14.25" customHeight="1">
      <c r="A89" s="15"/>
      <c r="B89" s="15"/>
      <c r="C89" s="15"/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t="14.25" customHeight="1">
      <c r="A90" s="15"/>
      <c r="B90" s="15"/>
      <c r="C90" s="15"/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t="14.25" customHeight="1">
      <c r="A91" s="15"/>
      <c r="B91" s="15"/>
      <c r="C91" s="15"/>
      <c r="D91" s="15"/>
      <c r="E91" s="15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t="14.25" customHeight="1">
      <c r="A92" s="15"/>
      <c r="B92" s="15"/>
      <c r="C92" s="15"/>
      <c r="D92" s="15"/>
      <c r="E92" s="15"/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t="14.25" customHeight="1">
      <c r="A93" s="15"/>
      <c r="B93" s="15"/>
      <c r="C93" s="15"/>
      <c r="D93" s="15"/>
      <c r="E93" s="15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t="14.25" customHeight="1">
      <c r="A94" s="15"/>
      <c r="B94" s="15"/>
      <c r="C94" s="15"/>
      <c r="D94" s="15"/>
      <c r="E94" s="15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t="14.25" customHeight="1">
      <c r="A95" s="15"/>
      <c r="B95" s="15"/>
      <c r="C95" s="15"/>
      <c r="D95" s="15"/>
      <c r="E95" s="15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t="14.25" customHeight="1">
      <c r="A96" s="15"/>
      <c r="B96" s="15"/>
      <c r="C96" s="15"/>
      <c r="D96" s="15"/>
      <c r="E96" s="15"/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t="14.25" customHeight="1">
      <c r="A97" s="15"/>
      <c r="B97" s="15"/>
      <c r="C97" s="15"/>
      <c r="D97" s="15"/>
      <c r="E97" s="15"/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t="14.25" customHeight="1">
      <c r="A98" s="15"/>
      <c r="B98" s="15"/>
      <c r="C98" s="15"/>
      <c r="D98" s="15"/>
      <c r="E98" s="15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t="14.25" customHeight="1">
      <c r="A99" s="15"/>
      <c r="B99" s="15"/>
      <c r="C99" s="15"/>
      <c r="D99" s="15"/>
      <c r="E99" s="15"/>
      <c r="F99" s="15"/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t="14.25" customHeight="1">
      <c r="A100" s="15"/>
      <c r="B100" s="15"/>
      <c r="C100" s="15"/>
      <c r="D100" s="15"/>
      <c r="E100" s="15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t="14.25" customHeight="1">
      <c r="A101" s="15"/>
      <c r="B101" s="15"/>
      <c r="C101" s="15"/>
      <c r="D101" s="15"/>
      <c r="E101" s="15"/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t="14.25" customHeight="1">
      <c r="A102" s="15"/>
      <c r="B102" s="15"/>
      <c r="C102" s="15"/>
      <c r="D102" s="15"/>
      <c r="E102" s="15"/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t="14.25" customHeight="1">
      <c r="A103" s="15"/>
      <c r="B103" s="15"/>
      <c r="C103" s="15"/>
      <c r="D103" s="15"/>
      <c r="E103" s="15"/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t="14.25" customHeight="1">
      <c r="A104" s="15"/>
      <c r="B104" s="15"/>
      <c r="C104" s="15"/>
      <c r="D104" s="15"/>
      <c r="E104" s="15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t="14.25" customHeight="1">
      <c r="A105" s="15"/>
      <c r="B105" s="15"/>
      <c r="C105" s="15"/>
      <c r="D105" s="15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t="14.25" customHeight="1">
      <c r="A106" s="15"/>
      <c r="B106" s="15"/>
      <c r="C106" s="15"/>
      <c r="D106" s="15"/>
      <c r="E106" s="15"/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t="14.25" customHeight="1">
      <c r="A107" s="15"/>
      <c r="B107" s="15"/>
      <c r="C107" s="15"/>
      <c r="D107" s="15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t="14.25" customHeight="1">
      <c r="A108" s="15"/>
      <c r="B108" s="15"/>
      <c r="C108" s="15"/>
      <c r="D108" s="15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t="14.25" customHeight="1">
      <c r="A109" s="15"/>
      <c r="B109" s="15"/>
      <c r="C109" s="15"/>
      <c r="D109" s="15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t="14.25" customHeight="1">
      <c r="A110" s="15"/>
      <c r="B110" s="15"/>
      <c r="C110" s="15"/>
      <c r="D110" s="15"/>
      <c r="E110" s="15"/>
      <c r="F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t="14.25" customHeight="1">
      <c r="A111" s="15"/>
      <c r="B111" s="15"/>
      <c r="C111" s="15"/>
      <c r="D111" s="15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t="14.25" customHeight="1">
      <c r="A112" s="15"/>
      <c r="B112" s="15"/>
      <c r="C112" s="15"/>
      <c r="D112" s="15"/>
      <c r="E112" s="15"/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t="14.25" customHeight="1">
      <c r="A113" s="15"/>
      <c r="B113" s="15"/>
      <c r="C113" s="15"/>
      <c r="D113" s="15"/>
      <c r="E113" s="15"/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t="14.25" customHeight="1">
      <c r="A114" s="15"/>
      <c r="B114" s="15"/>
      <c r="C114" s="15"/>
      <c r="D114" s="15"/>
      <c r="E114" s="15"/>
      <c r="F114" s="15"/>
      <c r="G114" s="15"/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t="14.25" customHeight="1">
      <c r="A115" s="15"/>
      <c r="B115" s="15"/>
      <c r="C115" s="15"/>
      <c r="D115" s="15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t="14.25" customHeight="1">
      <c r="A116" s="15"/>
      <c r="B116" s="15"/>
      <c r="C116" s="15"/>
      <c r="D116" s="15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t="14.25" customHeight="1">
      <c r="A117" s="15"/>
      <c r="B117" s="15"/>
      <c r="C117" s="15"/>
      <c r="D117" s="15"/>
      <c r="E117" s="15"/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t="14.25" customHeight="1">
      <c r="A118" s="15"/>
      <c r="B118" s="15"/>
      <c r="C118" s="15"/>
      <c r="D118" s="15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t="14.25" customHeight="1">
      <c r="A119" s="15"/>
      <c r="B119" s="15"/>
      <c r="C119" s="15"/>
      <c r="D119" s="15"/>
      <c r="E119" s="15"/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t="14.25" customHeight="1">
      <c r="A120" s="15"/>
      <c r="B120" s="15"/>
      <c r="C120" s="15"/>
      <c r="D120" s="15"/>
      <c r="E120" s="15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t="14.25" customHeight="1">
      <c r="A121" s="15"/>
      <c r="B121" s="15"/>
      <c r="C121" s="15"/>
      <c r="D121" s="15"/>
      <c r="E121" s="15"/>
      <c r="F121" s="15"/>
      <c r="G121" s="15"/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t="14.25" customHeight="1">
      <c r="A122" s="15"/>
      <c r="B122" s="15"/>
      <c r="C122" s="15"/>
      <c r="D122" s="15"/>
      <c r="E122" s="15"/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t="14.25" customHeight="1">
      <c r="A123" s="15"/>
      <c r="B123" s="15"/>
      <c r="C123" s="15"/>
      <c r="D123" s="15"/>
      <c r="E123" s="15"/>
      <c r="F123" s="15"/>
      <c r="G123" s="15"/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t="14.25" customHeight="1">
      <c r="A124" s="15"/>
      <c r="B124" s="15"/>
      <c r="C124" s="15"/>
      <c r="D124" s="15"/>
      <c r="E124" s="15"/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t="14.25" customHeight="1">
      <c r="A125" s="15"/>
      <c r="B125" s="15"/>
      <c r="C125" s="15"/>
      <c r="D125" s="15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t="14.25" customHeight="1">
      <c r="A126" s="15"/>
      <c r="B126" s="15"/>
      <c r="C126" s="15"/>
      <c r="D126" s="15"/>
      <c r="E126" s="15"/>
      <c r="F126" s="15"/>
      <c r="G126" s="15"/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t="14.25" customHeight="1">
      <c r="A127" s="15"/>
      <c r="B127" s="15"/>
      <c r="C127" s="15"/>
      <c r="D127" s="15"/>
      <c r="E127" s="15"/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t="14.25" customHeight="1">
      <c r="A128" s="15"/>
      <c r="B128" s="15"/>
      <c r="C128" s="15"/>
      <c r="D128" s="15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t="14.25" customHeight="1">
      <c r="A129" s="15"/>
      <c r="B129" s="15"/>
      <c r="C129" s="15"/>
      <c r="D129" s="15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t="14.25" customHeight="1">
      <c r="A130" s="15"/>
      <c r="B130" s="15"/>
      <c r="C130" s="15"/>
      <c r="D130" s="15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t="14.25" customHeight="1">
      <c r="A131" s="15"/>
      <c r="B131" s="15"/>
      <c r="C131" s="15"/>
      <c r="D131" s="15"/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t="14.25" customHeight="1">
      <c r="A132" s="15"/>
      <c r="B132" s="15"/>
      <c r="C132" s="15"/>
      <c r="D132" s="15"/>
      <c r="E132" s="15"/>
      <c r="F132" s="15"/>
      <c r="G132" s="15"/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t="14.25" customHeight="1">
      <c r="A133" s="15"/>
      <c r="B133" s="15"/>
      <c r="C133" s="15"/>
      <c r="D133" s="15"/>
      <c r="E133" s="15"/>
      <c r="F133" s="15"/>
      <c r="G133" s="15"/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t="14.25" customHeight="1">
      <c r="A134" s="15"/>
      <c r="B134" s="15"/>
      <c r="C134" s="15"/>
      <c r="D134" s="15"/>
      <c r="E134" s="15"/>
      <c r="F134" s="15"/>
      <c r="G134" s="15"/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t="14.25" customHeight="1">
      <c r="A135" s="15"/>
      <c r="B135" s="15"/>
      <c r="C135" s="15"/>
      <c r="D135" s="15"/>
      <c r="E135" s="15"/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t="14.25" customHeight="1">
      <c r="A136" s="15"/>
      <c r="B136" s="15"/>
      <c r="C136" s="15"/>
      <c r="D136" s="15"/>
      <c r="E136" s="15"/>
      <c r="F136" s="15"/>
      <c r="G136" s="15"/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t="14.25" customHeight="1">
      <c r="A137" s="15"/>
      <c r="B137" s="15"/>
      <c r="C137" s="15"/>
      <c r="D137" s="15"/>
      <c r="E137" s="15"/>
      <c r="F137" s="15"/>
      <c r="G137" s="15"/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t="14.25" customHeight="1">
      <c r="A138" s="15"/>
      <c r="B138" s="15"/>
      <c r="C138" s="15"/>
      <c r="D138" s="15"/>
      <c r="E138" s="15"/>
      <c r="F138" s="15"/>
      <c r="G138" s="15"/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t="14.25" customHeight="1">
      <c r="A139" s="15"/>
      <c r="B139" s="15"/>
      <c r="C139" s="15"/>
      <c r="D139" s="15"/>
      <c r="E139" s="15"/>
      <c r="F139" s="15"/>
      <c r="G139" s="15"/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t="14.25" customHeight="1">
      <c r="A140" s="15"/>
      <c r="B140" s="15"/>
      <c r="C140" s="15"/>
      <c r="D140" s="15"/>
      <c r="E140" s="15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t="14.25" customHeight="1">
      <c r="A141" s="15"/>
      <c r="B141" s="15"/>
      <c r="C141" s="15"/>
      <c r="D141" s="15"/>
      <c r="E141" s="15"/>
      <c r="F141" s="15"/>
      <c r="G141" s="15"/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t="14.25" customHeight="1">
      <c r="A142" s="15"/>
      <c r="B142" s="15"/>
      <c r="C142" s="15"/>
      <c r="D142" s="15"/>
      <c r="E142" s="15"/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t="14.25" customHeight="1">
      <c r="A143" s="15"/>
      <c r="B143" s="15"/>
      <c r="C143" s="15"/>
      <c r="D143" s="15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t="14.25" customHeight="1">
      <c r="A144" s="15"/>
      <c r="B144" s="15"/>
      <c r="C144" s="15"/>
      <c r="D144" s="15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t="14.25" customHeight="1">
      <c r="A145" s="15"/>
      <c r="B145" s="15"/>
      <c r="C145" s="15"/>
      <c r="D145" s="15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t="14.25" customHeight="1">
      <c r="A146" s="15"/>
      <c r="B146" s="15"/>
      <c r="C146" s="15"/>
      <c r="D146" s="15"/>
      <c r="E146" s="15"/>
      <c r="F146" s="15"/>
      <c r="G146" s="15"/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t="14.25" customHeight="1">
      <c r="A147" s="15"/>
      <c r="B147" s="15"/>
      <c r="C147" s="15"/>
      <c r="D147" s="15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t="14.25" customHeight="1">
      <c r="A148" s="15"/>
      <c r="B148" s="15"/>
      <c r="C148" s="15"/>
      <c r="D148" s="15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t="14.25" customHeight="1">
      <c r="A149" s="15"/>
      <c r="B149" s="15"/>
      <c r="C149" s="15"/>
      <c r="D149" s="15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t="14.25" customHeight="1">
      <c r="A150" s="15"/>
      <c r="B150" s="15"/>
      <c r="C150" s="15"/>
      <c r="D150" s="15"/>
      <c r="E150" s="15"/>
      <c r="F150" s="15"/>
      <c r="G150" s="15"/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t="14.25" customHeight="1">
      <c r="A151" s="15"/>
      <c r="B151" s="15"/>
      <c r="C151" s="15"/>
      <c r="D151" s="15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t="14.25" customHeight="1">
      <c r="A152" s="15"/>
      <c r="B152" s="15"/>
      <c r="C152" s="15"/>
      <c r="D152" s="15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t="14.25" customHeight="1">
      <c r="A153" s="15"/>
      <c r="B153" s="15"/>
      <c r="C153" s="15"/>
      <c r="D153" s="15"/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t="14.25" customHeight="1">
      <c r="A154" s="15"/>
      <c r="B154" s="15"/>
      <c r="C154" s="15"/>
      <c r="D154" s="15"/>
      <c r="E154" s="15"/>
      <c r="F154" s="15"/>
      <c r="G154" s="15"/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t="14.25" customHeight="1">
      <c r="A155" s="15"/>
      <c r="B155" s="15"/>
      <c r="C155" s="15"/>
      <c r="D155" s="15"/>
      <c r="E155" s="15"/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t="14.25" customHeight="1">
      <c r="A156" s="15"/>
      <c r="B156" s="15"/>
      <c r="C156" s="15"/>
      <c r="D156" s="15"/>
      <c r="E156" s="15"/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t="14.25" customHeight="1">
      <c r="A157" s="15"/>
      <c r="B157" s="15"/>
      <c r="C157" s="15"/>
      <c r="D157" s="15"/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t="14.25" customHeight="1">
      <c r="A158" s="15"/>
      <c r="B158" s="15"/>
      <c r="C158" s="15"/>
      <c r="D158" s="15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t="14.25" customHeight="1">
      <c r="A159" s="15"/>
      <c r="B159" s="15"/>
      <c r="C159" s="15"/>
      <c r="D159" s="15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t="14.25" customHeight="1">
      <c r="A160" s="15"/>
      <c r="B160" s="15"/>
      <c r="C160" s="15"/>
      <c r="D160" s="15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t="14.25" customHeight="1">
      <c r="A161" s="15"/>
      <c r="B161" s="15"/>
      <c r="C161" s="15"/>
      <c r="D161" s="15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t="14.25" customHeight="1">
      <c r="A162" s="15"/>
      <c r="B162" s="15"/>
      <c r="C162" s="15"/>
      <c r="D162" s="15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t="14.25" customHeight="1">
      <c r="A163" s="15"/>
      <c r="B163" s="15"/>
      <c r="C163" s="15"/>
      <c r="D163" s="15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t="14.25" customHeight="1">
      <c r="A164" s="15"/>
      <c r="B164" s="15"/>
      <c r="C164" s="15"/>
      <c r="D164" s="15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t="14.25" customHeight="1">
      <c r="A165" s="15"/>
      <c r="B165" s="15"/>
      <c r="C165" s="15"/>
      <c r="D165" s="15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t="14.25" customHeight="1">
      <c r="A166" s="15"/>
      <c r="B166" s="15"/>
      <c r="C166" s="15"/>
      <c r="D166" s="15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t="14.25" customHeight="1">
      <c r="A167" s="15"/>
      <c r="B167" s="15"/>
      <c r="C167" s="15"/>
      <c r="D167" s="15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t="14.25" customHeight="1">
      <c r="A168" s="15"/>
      <c r="B168" s="15"/>
      <c r="C168" s="15"/>
      <c r="D168" s="15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t="14.25" customHeight="1">
      <c r="A169" s="15"/>
      <c r="B169" s="15"/>
      <c r="C169" s="15"/>
      <c r="D169" s="15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t="14.25" customHeight="1">
      <c r="A170" s="15"/>
      <c r="B170" s="15"/>
      <c r="C170" s="15"/>
      <c r="D170" s="15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t="14.25" customHeight="1">
      <c r="A171" s="15"/>
      <c r="B171" s="15"/>
      <c r="C171" s="15"/>
      <c r="D171" s="15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t="14.25" customHeight="1">
      <c r="A172" s="15"/>
      <c r="B172" s="15"/>
      <c r="C172" s="15"/>
      <c r="D172" s="15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t="14.25" customHeight="1">
      <c r="A173" s="15"/>
      <c r="B173" s="15"/>
      <c r="C173" s="15"/>
      <c r="D173" s="15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t="14.25" customHeight="1">
      <c r="A174" s="15"/>
      <c r="B174" s="15"/>
      <c r="C174" s="15"/>
      <c r="D174" s="15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t="14.25" customHeight="1">
      <c r="A175" s="15"/>
      <c r="B175" s="15"/>
      <c r="C175" s="15"/>
      <c r="D175" s="15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t="14.25" customHeight="1">
      <c r="A176" s="15"/>
      <c r="B176" s="15"/>
      <c r="C176" s="15"/>
      <c r="D176" s="15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t="14.25" customHeight="1">
      <c r="A177" s="15"/>
      <c r="B177" s="15"/>
      <c r="C177" s="15"/>
      <c r="D177" s="15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t="14.25" customHeight="1">
      <c r="A178" s="15"/>
      <c r="B178" s="15"/>
      <c r="C178" s="15"/>
      <c r="D178" s="15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t="14.25" customHeight="1">
      <c r="A179" s="15"/>
      <c r="B179" s="15"/>
      <c r="C179" s="15"/>
      <c r="D179" s="15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t="14.25" customHeight="1">
      <c r="A180" s="15"/>
      <c r="B180" s="15"/>
      <c r="C180" s="15"/>
      <c r="D180" s="15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t="14.25" customHeight="1">
      <c r="A181" s="15"/>
      <c r="B181" s="15"/>
      <c r="C181" s="15"/>
      <c r="D181" s="15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t="14.25" customHeight="1">
      <c r="A182" s="15"/>
      <c r="B182" s="15"/>
      <c r="C182" s="15"/>
      <c r="D182" s="15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t="14.25" customHeight="1">
      <c r="A183" s="15"/>
      <c r="B183" s="15"/>
      <c r="C183" s="15"/>
      <c r="D183" s="15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t="14.25" customHeight="1">
      <c r="A184" s="15"/>
      <c r="B184" s="15"/>
      <c r="C184" s="15"/>
      <c r="D184" s="15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t="14.25" customHeight="1">
      <c r="A185" s="15"/>
      <c r="B185" s="15"/>
      <c r="C185" s="15"/>
      <c r="D185" s="15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t="14.25" customHeight="1">
      <c r="A186" s="15"/>
      <c r="B186" s="15"/>
      <c r="C186" s="15"/>
      <c r="D186" s="15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t="14.25" customHeight="1">
      <c r="A187" s="15"/>
      <c r="B187" s="15"/>
      <c r="C187" s="15"/>
      <c r="D187" s="15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t="14.25" customHeight="1">
      <c r="A188" s="15"/>
      <c r="B188" s="15"/>
      <c r="C188" s="15"/>
      <c r="D188" s="15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t="14.25" customHeight="1">
      <c r="A189" s="15"/>
      <c r="B189" s="15"/>
      <c r="C189" s="15"/>
      <c r="D189" s="15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t="14.25" customHeight="1">
      <c r="A190" s="15"/>
      <c r="B190" s="15"/>
      <c r="C190" s="15"/>
      <c r="D190" s="15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t="14.25" customHeight="1">
      <c r="A191" s="15"/>
      <c r="B191" s="15"/>
      <c r="C191" s="15"/>
      <c r="D191" s="15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t="14.25" customHeight="1">
      <c r="A192" s="15"/>
      <c r="B192" s="15"/>
      <c r="C192" s="15"/>
      <c r="D192" s="15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t="14.25" customHeight="1">
      <c r="A193" s="15"/>
      <c r="B193" s="15"/>
      <c r="C193" s="15"/>
      <c r="D193" s="15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t="14.25" customHeight="1">
      <c r="A194" s="15"/>
      <c r="B194" s="15"/>
      <c r="C194" s="15"/>
      <c r="D194" s="15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t="14.25" customHeight="1">
      <c r="A195" s="15"/>
      <c r="B195" s="15"/>
      <c r="C195" s="15"/>
      <c r="D195" s="15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t="14.25" customHeight="1">
      <c r="A196" s="15"/>
      <c r="B196" s="15"/>
      <c r="C196" s="15"/>
      <c r="D196" s="15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t="14.25" customHeight="1">
      <c r="A197" s="15"/>
      <c r="B197" s="15"/>
      <c r="C197" s="15"/>
      <c r="D197" s="15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t="14.25" customHeight="1">
      <c r="A198" s="15"/>
      <c r="B198" s="15"/>
      <c r="C198" s="15"/>
      <c r="D198" s="15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t="14.25" customHeight="1">
      <c r="A199" s="15"/>
      <c r="B199" s="15"/>
      <c r="C199" s="15"/>
      <c r="D199" s="15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t="14.25" customHeight="1">
      <c r="A200" s="15"/>
      <c r="B200" s="15"/>
      <c r="C200" s="15"/>
      <c r="D200" s="15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t="14.25" customHeight="1">
      <c r="A201" s="15"/>
      <c r="B201" s="15"/>
      <c r="C201" s="15"/>
      <c r="D201" s="15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t="14.25" customHeight="1">
      <c r="A202" s="15"/>
      <c r="B202" s="15"/>
      <c r="C202" s="15"/>
      <c r="D202" s="15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t="14.25" customHeight="1">
      <c r="A203" s="15"/>
      <c r="B203" s="15"/>
      <c r="C203" s="15"/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t="14.25" customHeight="1">
      <c r="A204" s="15"/>
      <c r="B204" s="15"/>
      <c r="C204" s="15"/>
      <c r="D204" s="15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t="14.25" customHeight="1">
      <c r="A205" s="15"/>
      <c r="B205" s="15"/>
      <c r="C205" s="15"/>
      <c r="D205" s="15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t="14.25" customHeight="1">
      <c r="A206" s="15"/>
      <c r="B206" s="15"/>
      <c r="C206" s="15"/>
      <c r="D206" s="15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t="14.25" customHeight="1">
      <c r="A207" s="15"/>
      <c r="B207" s="15"/>
      <c r="C207" s="15"/>
      <c r="D207" s="15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t="14.25" customHeight="1">
      <c r="A208" s="15"/>
      <c r="B208" s="15"/>
      <c r="C208" s="15"/>
      <c r="D208" s="15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t="14.25" customHeight="1">
      <c r="A209" s="15"/>
      <c r="B209" s="15"/>
      <c r="C209" s="15"/>
      <c r="D209" s="15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t="14.25" customHeight="1">
      <c r="A210" s="15"/>
      <c r="B210" s="15"/>
      <c r="C210" s="15"/>
      <c r="D210" s="15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t="14.25" customHeight="1">
      <c r="A211" s="15"/>
      <c r="B211" s="15"/>
      <c r="C211" s="15"/>
      <c r="D211" s="15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t="14.25" customHeight="1">
      <c r="A212" s="15"/>
      <c r="B212" s="15"/>
      <c r="C212" s="15"/>
      <c r="D212" s="15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t="14.25" customHeight="1">
      <c r="A213" s="15"/>
      <c r="B213" s="15"/>
      <c r="C213" s="15"/>
      <c r="D213" s="15"/>
      <c r="E213" s="15"/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t="14.25" customHeight="1">
      <c r="A214" s="15"/>
      <c r="B214" s="15"/>
      <c r="C214" s="15"/>
      <c r="D214" s="15"/>
      <c r="E214" s="15"/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t="14.25" customHeight="1">
      <c r="A215" s="15"/>
      <c r="B215" s="15"/>
      <c r="C215" s="15"/>
      <c r="D215" s="15"/>
      <c r="E215" s="15"/>
      <c r="F215" s="15"/>
      <c r="G215" s="15"/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t="14.25" customHeight="1">
      <c r="A216" s="15"/>
      <c r="B216" s="15"/>
      <c r="C216" s="15"/>
      <c r="D216" s="15"/>
      <c r="E216" s="15"/>
      <c r="F216" s="15"/>
      <c r="G216" s="15"/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t="14.25" customHeight="1">
      <c r="A217" s="15"/>
      <c r="B217" s="15"/>
      <c r="C217" s="15"/>
      <c r="D217" s="15"/>
      <c r="E217" s="15"/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t="14.25" customHeight="1">
      <c r="A218" s="15"/>
      <c r="B218" s="15"/>
      <c r="C218" s="15"/>
      <c r="D218" s="15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t="14.25" customHeight="1">
      <c r="A219" s="15"/>
      <c r="B219" s="15"/>
      <c r="C219" s="15"/>
      <c r="D219" s="15"/>
      <c r="E219" s="15"/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t="14.25" customHeight="1">
      <c r="A220" s="15"/>
      <c r="B220" s="15"/>
      <c r="C220" s="15"/>
      <c r="D220" s="15"/>
      <c r="E220" s="15"/>
      <c r="F220" s="15"/>
      <c r="G220" s="15"/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t="14.25" customHeight="1">
      <c r="A221" s="15"/>
      <c r="B221" s="15"/>
      <c r="C221" s="15"/>
      <c r="D221" s="15"/>
      <c r="E221" s="15"/>
      <c r="F221" s="15"/>
      <c r="G221" s="15"/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t="14.25" customHeight="1">
      <c r="A222" s="15"/>
      <c r="B222" s="15"/>
      <c r="C222" s="15"/>
      <c r="D222" s="15"/>
      <c r="E222" s="15"/>
      <c r="F222" s="15"/>
      <c r="G222" s="15"/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t="14.25" customHeight="1">
      <c r="A223" s="15"/>
      <c r="B223" s="15"/>
      <c r="C223" s="15"/>
      <c r="D223" s="15"/>
      <c r="E223" s="15"/>
      <c r="F223" s="15"/>
      <c r="G223" s="15"/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t="14.25" customHeight="1">
      <c r="A224" s="15"/>
      <c r="B224" s="15"/>
      <c r="C224" s="15"/>
      <c r="D224" s="15"/>
      <c r="E224" s="15"/>
      <c r="F224" s="15"/>
      <c r="G224" s="15"/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t="14.25" customHeight="1">
      <c r="A225" s="15"/>
      <c r="B225" s="15"/>
      <c r="C225" s="15"/>
      <c r="D225" s="15"/>
      <c r="E225" s="15"/>
      <c r="F225" s="15"/>
      <c r="G225" s="15"/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t="14.25" customHeight="1">
      <c r="A226" s="15"/>
      <c r="B226" s="15"/>
      <c r="C226" s="15"/>
      <c r="D226" s="15"/>
      <c r="E226" s="15"/>
      <c r="F226" s="15"/>
      <c r="G226" s="15"/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t="14.25" customHeight="1">
      <c r="A227" s="15"/>
      <c r="B227" s="15"/>
      <c r="C227" s="15"/>
      <c r="D227" s="15"/>
      <c r="E227" s="15"/>
      <c r="F227" s="15"/>
      <c r="G227" s="15"/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t="14.25" customHeight="1">
      <c r="A228" s="15"/>
      <c r="B228" s="15"/>
      <c r="C228" s="15"/>
      <c r="D228" s="15"/>
      <c r="E228" s="15"/>
      <c r="F228" s="15"/>
      <c r="G228" s="15"/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t="14.25" customHeight="1">
      <c r="A229" s="15"/>
      <c r="B229" s="15"/>
      <c r="C229" s="15"/>
      <c r="D229" s="15"/>
      <c r="E229" s="15"/>
      <c r="F229" s="15"/>
      <c r="G229" s="15"/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t="14.25" customHeight="1">
      <c r="A230" s="15"/>
      <c r="B230" s="15"/>
      <c r="C230" s="15"/>
      <c r="D230" s="15"/>
      <c r="E230" s="15"/>
      <c r="F230" s="15"/>
      <c r="G230" s="15"/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t="14.25" customHeight="1">
      <c r="A231" s="15"/>
      <c r="B231" s="15"/>
      <c r="C231" s="15"/>
      <c r="D231" s="15"/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t="14.25" customHeight="1">
      <c r="A232" s="15"/>
      <c r="B232" s="15"/>
      <c r="C232" s="15"/>
      <c r="D232" s="15"/>
      <c r="E232" s="15"/>
      <c r="F232" s="15"/>
      <c r="G232" s="15"/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t="14.25" customHeight="1">
      <c r="A233" s="15"/>
      <c r="B233" s="15"/>
      <c r="C233" s="15"/>
      <c r="D233" s="15"/>
      <c r="E233" s="15"/>
      <c r="F233" s="15"/>
      <c r="G233" s="15"/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t="14.25" customHeight="1">
      <c r="A234" s="15"/>
      <c r="B234" s="15"/>
      <c r="C234" s="15"/>
      <c r="D234" s="15"/>
      <c r="E234" s="15"/>
      <c r="F234" s="15"/>
      <c r="G234" s="15"/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t="14.25" customHeight="1">
      <c r="A235" s="15"/>
      <c r="B235" s="15"/>
      <c r="C235" s="15"/>
      <c r="D235" s="15"/>
      <c r="E235" s="15"/>
      <c r="F235" s="15"/>
      <c r="G235" s="15"/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t="14.25" customHeight="1">
      <c r="A236" s="15"/>
      <c r="B236" s="15"/>
      <c r="C236" s="15"/>
      <c r="D236" s="15"/>
      <c r="E236" s="15"/>
      <c r="F236" s="15"/>
      <c r="G236" s="15"/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t="14.25" customHeight="1">
      <c r="A237" s="15"/>
      <c r="B237" s="15"/>
      <c r="C237" s="15"/>
      <c r="D237" s="15"/>
      <c r="E237" s="15"/>
      <c r="F237" s="15"/>
      <c r="G237" s="15"/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t="14.25" customHeight="1">
      <c r="A238" s="15"/>
      <c r="B238" s="15"/>
      <c r="C238" s="15"/>
      <c r="D238" s="15"/>
      <c r="E238" s="15"/>
      <c r="F238" s="15"/>
      <c r="G238" s="15"/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t="14.25" customHeight="1">
      <c r="A239" s="15"/>
      <c r="B239" s="15"/>
      <c r="C239" s="15"/>
      <c r="D239" s="15"/>
      <c r="E239" s="15"/>
      <c r="F239" s="15"/>
      <c r="G239" s="15"/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t="14.25" customHeight="1">
      <c r="A240" s="15"/>
      <c r="B240" s="15"/>
      <c r="C240" s="15"/>
      <c r="D240" s="15"/>
      <c r="E240" s="15"/>
      <c r="F240" s="15"/>
      <c r="G240" s="15"/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t="14.25" customHeight="1">
      <c r="A241" s="15"/>
      <c r="B241" s="15"/>
      <c r="C241" s="15"/>
      <c r="D241" s="15"/>
      <c r="E241" s="15"/>
      <c r="F241" s="15"/>
      <c r="G241" s="15"/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t="14.25" customHeight="1">
      <c r="A242" s="15"/>
      <c r="B242" s="15"/>
      <c r="C242" s="15"/>
      <c r="D242" s="15"/>
      <c r="E242" s="15"/>
      <c r="F242" s="15"/>
      <c r="G242" s="15"/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t="14.25" customHeight="1">
      <c r="A243" s="15"/>
      <c r="B243" s="15"/>
      <c r="C243" s="15"/>
      <c r="D243" s="15"/>
      <c r="E243" s="15"/>
      <c r="F243" s="15"/>
      <c r="G243" s="15"/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t="14.25" customHeight="1">
      <c r="A244" s="15"/>
      <c r="B244" s="15"/>
      <c r="C244" s="15"/>
      <c r="D244" s="15"/>
      <c r="E244" s="15"/>
      <c r="F244" s="15"/>
      <c r="G244" s="15"/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t="14.25" customHeight="1">
      <c r="A245" s="15"/>
      <c r="B245" s="15"/>
      <c r="C245" s="15"/>
      <c r="D245" s="15"/>
      <c r="E245" s="15"/>
      <c r="F245" s="15"/>
      <c r="G245" s="15"/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t="14.25" customHeight="1">
      <c r="A246" s="15"/>
      <c r="B246" s="15"/>
      <c r="C246" s="15"/>
      <c r="D246" s="15"/>
      <c r="E246" s="15"/>
      <c r="F246" s="15"/>
      <c r="G246" s="15"/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t="14.25" customHeight="1">
      <c r="A247" s="15"/>
      <c r="B247" s="15"/>
      <c r="C247" s="15"/>
      <c r="D247" s="15"/>
      <c r="E247" s="15"/>
      <c r="F247" s="15"/>
      <c r="G247" s="15"/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t="14.25" customHeight="1">
      <c r="A248" s="15"/>
      <c r="B248" s="15"/>
      <c r="C248" s="15"/>
      <c r="D248" s="15"/>
      <c r="E248" s="15"/>
      <c r="F248" s="15"/>
      <c r="G248" s="15"/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t="14.25" customHeight="1">
      <c r="A249" s="15"/>
      <c r="B249" s="15"/>
      <c r="C249" s="15"/>
      <c r="D249" s="15"/>
      <c r="E249" s="15"/>
      <c r="F249" s="15"/>
      <c r="G249" s="15"/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t="14.25" customHeight="1">
      <c r="A250" s="15"/>
      <c r="B250" s="15"/>
      <c r="C250" s="15"/>
      <c r="D250" s="15"/>
      <c r="E250" s="15"/>
      <c r="F250" s="15"/>
      <c r="G250" s="15"/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t="14.25" customHeight="1">
      <c r="A251" s="15"/>
      <c r="B251" s="15"/>
      <c r="C251" s="15"/>
      <c r="D251" s="15"/>
      <c r="E251" s="15"/>
      <c r="F251" s="15"/>
      <c r="G251" s="15"/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t="14.25" customHeight="1">
      <c r="A252" s="15"/>
      <c r="B252" s="15"/>
      <c r="C252" s="15"/>
      <c r="D252" s="15"/>
      <c r="E252" s="15"/>
      <c r="F252" s="15"/>
      <c r="G252" s="15"/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t="14.25" customHeight="1">
      <c r="A253" s="15"/>
      <c r="B253" s="15"/>
      <c r="C253" s="15"/>
      <c r="D253" s="15"/>
      <c r="E253" s="15"/>
      <c r="F253" s="15"/>
      <c r="G253" s="15"/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t="14.25" customHeight="1">
      <c r="A254" s="15"/>
      <c r="B254" s="15"/>
      <c r="C254" s="15"/>
      <c r="D254" s="15"/>
      <c r="E254" s="15"/>
      <c r="F254" s="15"/>
      <c r="G254" s="15"/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t="14.25" customHeight="1">
      <c r="A255" s="15"/>
      <c r="B255" s="15"/>
      <c r="C255" s="15"/>
      <c r="D255" s="15"/>
      <c r="E255" s="15"/>
      <c r="F255" s="15"/>
      <c r="G255" s="15"/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t="14.25" customHeight="1">
      <c r="A256" s="15"/>
      <c r="B256" s="15"/>
      <c r="C256" s="15"/>
      <c r="D256" s="15"/>
      <c r="E256" s="15"/>
      <c r="F256" s="15"/>
      <c r="G256" s="15"/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t="14.25" customHeight="1">
      <c r="A257" s="15"/>
      <c r="B257" s="15"/>
      <c r="C257" s="15"/>
      <c r="D257" s="15"/>
      <c r="E257" s="15"/>
      <c r="F257" s="15"/>
      <c r="G257" s="15"/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t="14.25" customHeight="1">
      <c r="A258" s="15"/>
      <c r="B258" s="15"/>
      <c r="C258" s="15"/>
      <c r="D258" s="15"/>
      <c r="E258" s="15"/>
      <c r="F258" s="15"/>
      <c r="G258" s="15"/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t="14.25" customHeight="1">
      <c r="A259" s="15"/>
      <c r="B259" s="15"/>
      <c r="C259" s="15"/>
      <c r="D259" s="15"/>
      <c r="E259" s="15"/>
      <c r="F259" s="15"/>
      <c r="G259" s="15"/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t="14.25" customHeight="1">
      <c r="A260" s="15"/>
      <c r="B260" s="15"/>
      <c r="C260" s="15"/>
      <c r="D260" s="15"/>
      <c r="E260" s="15"/>
      <c r="F260" s="15"/>
      <c r="G260" s="15"/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t="14.25" customHeight="1">
      <c r="A261" s="15"/>
      <c r="B261" s="15"/>
      <c r="C261" s="15"/>
      <c r="D261" s="15"/>
      <c r="E261" s="15"/>
      <c r="F261" s="15"/>
      <c r="G261" s="15"/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t="14.25" customHeight="1">
      <c r="A262" s="15"/>
      <c r="B262" s="15"/>
      <c r="C262" s="15"/>
      <c r="D262" s="15"/>
      <c r="E262" s="15"/>
      <c r="F262" s="15"/>
      <c r="G262" s="15"/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t="14.25" customHeight="1">
      <c r="A263" s="15"/>
      <c r="B263" s="15"/>
      <c r="C263" s="15"/>
      <c r="D263" s="15"/>
      <c r="E263" s="15"/>
      <c r="F263" s="15"/>
      <c r="G263" s="15"/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t="14.25" customHeight="1">
      <c r="A264" s="15"/>
      <c r="B264" s="15"/>
      <c r="C264" s="15"/>
      <c r="D264" s="15"/>
      <c r="E264" s="15"/>
      <c r="F264" s="15"/>
      <c r="G264" s="15"/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t="14.25" customHeight="1">
      <c r="A265" s="15"/>
      <c r="B265" s="15"/>
      <c r="C265" s="15"/>
      <c r="D265" s="15"/>
      <c r="E265" s="15"/>
      <c r="F265" s="15"/>
      <c r="G265" s="15"/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1">
    <mergeCell ref="G13:H15"/>
    <mergeCell ref="G16:H20"/>
    <mergeCell ref="G24:H26"/>
    <mergeCell ref="G27:H31"/>
    <mergeCell ref="A1:F1"/>
    <mergeCell ref="A7:A8"/>
    <mergeCell ref="B7:C7"/>
    <mergeCell ref="D7:E7"/>
    <mergeCell ref="F7:F8"/>
    <mergeCell ref="A13:A15"/>
    <mergeCell ref="A16:A20"/>
    <mergeCell ref="A24:A26"/>
    <mergeCell ref="A27:A31"/>
    <mergeCell ref="C41:D41"/>
    <mergeCell ref="E41:F41"/>
    <mergeCell ref="C42:D42"/>
    <mergeCell ref="E42:F42"/>
    <mergeCell ref="A35:A39"/>
    <mergeCell ref="C45:D45"/>
    <mergeCell ref="E45:F45"/>
    <mergeCell ref="C46:D46"/>
    <mergeCell ref="E46:F46"/>
    <mergeCell ref="H46:I48"/>
    <mergeCell ref="C47:D47"/>
    <mergeCell ref="E47:F47"/>
    <mergeCell ref="C54:D54"/>
    <mergeCell ref="C55:D55"/>
    <mergeCell ref="C56:D56"/>
    <mergeCell ref="C57:D57"/>
    <mergeCell ref="C58:D58"/>
    <mergeCell ref="E55:F55"/>
    <mergeCell ref="E56:F56"/>
    <mergeCell ref="E57:F57"/>
    <mergeCell ref="E58:F58"/>
    <mergeCell ref="C48:D48"/>
    <mergeCell ref="E48:F48"/>
    <mergeCell ref="E54:F54"/>
    <mergeCell ref="C50:D50"/>
    <mergeCell ref="E50:F50"/>
    <mergeCell ref="C51:D51"/>
    <mergeCell ref="E51:F51"/>
  </mergeCells>
  <conditionalFormatting sqref="G9">
    <cfRule type="notContainsBlanks" dxfId="0" priority="1">
      <formula>LEN(TRIM(G9))&gt;0</formula>
    </cfRule>
  </conditionalFormatting>
  <conditionalFormatting sqref="G13">
    <cfRule type="notContainsBlanks" dxfId="1" priority="2">
      <formula>LEN(TRIM(G13))&gt;0</formula>
    </cfRule>
  </conditionalFormatting>
  <conditionalFormatting sqref="G16">
    <cfRule type="notContainsBlanks" dxfId="1" priority="3">
      <formula>LEN(TRIM(G16))&gt;0</formula>
    </cfRule>
  </conditionalFormatting>
  <conditionalFormatting sqref="G24">
    <cfRule type="notContainsBlanks" dxfId="1" priority="4">
      <formula>LEN(TRIM(G24))&gt;0</formula>
    </cfRule>
  </conditionalFormatting>
  <conditionalFormatting sqref="G27">
    <cfRule type="notContainsBlanks" dxfId="1" priority="5">
      <formula>LEN(TRIM(G27))&gt;0</formula>
    </cfRule>
  </conditionalFormatting>
  <conditionalFormatting sqref="H46">
    <cfRule type="notContainsBlanks" dxfId="1" priority="6">
      <formula>LEN(TRIM(H46))&gt;0</formula>
    </cfRule>
  </conditionalFormatting>
  <conditionalFormatting sqref="I13:I20">
    <cfRule type="notContainsBlanks" dxfId="0" priority="7">
      <formula>LEN(TRIM(I13))&gt;0</formula>
    </cfRule>
  </conditionalFormatting>
  <conditionalFormatting sqref="I24:I31">
    <cfRule type="notContainsBlanks" dxfId="0" priority="8">
      <formula>LEN(TRIM(I24))&gt;0</formula>
    </cfRule>
  </conditionalFormatting>
  <conditionalFormatting sqref="J46:J48">
    <cfRule type="notContainsBlanks" dxfId="0" priority="9">
      <formula>LEN(TRIM(J46))&gt;0</formula>
    </cfRule>
  </conditionalFormatting>
  <printOptions/>
  <pageMargins bottom="0.75" footer="0.0" header="0.0" left="0.7" right="0.7" top="0.75"/>
  <pageSetup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13.78"/>
    <col customWidth="1" min="2" max="2" width="25.0"/>
    <col customWidth="1" min="3" max="3" width="8.0"/>
    <col customWidth="1" min="4" max="4" width="11.33"/>
    <col customWidth="1" min="5" max="5" width="9.33"/>
    <col customWidth="1" min="6" max="6" width="6.0"/>
    <col customWidth="1" min="7" max="7" width="9.44"/>
    <col customWidth="1" min="8" max="8" width="20.33"/>
    <col customWidth="1" min="9" max="9" width="20.44"/>
    <col customWidth="1" min="10" max="10" width="11.0"/>
    <col customWidth="1" min="11" max="12" width="10.78"/>
    <col customWidth="1" min="13" max="26" width="11.0"/>
  </cols>
  <sheetData>
    <row r="1" ht="14.25" customHeight="1">
      <c r="A1" s="14" t="s">
        <v>38</v>
      </c>
      <c r="G1" s="15"/>
      <c r="H1" s="15"/>
      <c r="I1" s="16" t="s">
        <v>39</v>
      </c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14.25" customHeight="1">
      <c r="A2" s="15"/>
      <c r="B2" s="15"/>
      <c r="C2" s="15"/>
      <c r="D2" s="15"/>
      <c r="E2" s="15"/>
      <c r="F2" s="15"/>
      <c r="G2" s="15"/>
      <c r="H2" s="17" t="s">
        <v>40</v>
      </c>
      <c r="I2" s="18" t="str">
        <f>DATE(F3, 3, 1)</f>
        <v>#VALUE!</v>
      </c>
      <c r="J2" s="15"/>
      <c r="K2" s="19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t="14.25" customHeight="1">
      <c r="A3" s="15" t="s">
        <v>41</v>
      </c>
      <c r="B3" s="15"/>
      <c r="C3" s="20" t="s">
        <v>99</v>
      </c>
      <c r="D3" s="15"/>
      <c r="E3" s="15" t="s">
        <v>43</v>
      </c>
      <c r="F3" s="20" t="str">
        <f>YEAR(Results!E3)</f>
        <v>#VALUE!</v>
      </c>
      <c r="G3" s="15"/>
      <c r="H3" s="17" t="s">
        <v>44</v>
      </c>
      <c r="I3" s="18" t="str">
        <f>EOMONTH(I2,0)</f>
        <v>#VALUE!</v>
      </c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t="14.25" customHeight="1">
      <c r="A4" s="15" t="s">
        <v>45</v>
      </c>
      <c r="B4" s="15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t="14.25" customHeight="1">
      <c r="A5" s="15"/>
      <c r="B5" s="15"/>
      <c r="C5" s="15"/>
      <c r="D5" s="15"/>
      <c r="E5" s="15"/>
      <c r="F5" s="15"/>
      <c r="G5" s="15"/>
      <c r="H5" s="15"/>
      <c r="I5" s="15"/>
      <c r="J5" s="15"/>
      <c r="K5" s="15"/>
      <c r="L5" s="15"/>
      <c r="M5" s="15"/>
      <c r="N5" s="15"/>
      <c r="O5" s="21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t="14.25" customHeight="1">
      <c r="A6" s="15" t="s">
        <v>46</v>
      </c>
      <c r="B6" s="15"/>
      <c r="C6" s="15"/>
      <c r="D6" s="15"/>
      <c r="E6" s="15"/>
      <c r="F6" s="15"/>
      <c r="G6" s="15"/>
      <c r="H6" s="15"/>
      <c r="I6" s="20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t="14.25" customHeight="1">
      <c r="A7" s="22"/>
      <c r="B7" s="23" t="s">
        <v>47</v>
      </c>
      <c r="C7" s="24"/>
      <c r="D7" s="23" t="s">
        <v>48</v>
      </c>
      <c r="E7" s="24"/>
      <c r="F7" s="25" t="s">
        <v>49</v>
      </c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t="14.25" customHeight="1">
      <c r="A8" s="26"/>
      <c r="B8" s="27" t="s">
        <v>50</v>
      </c>
      <c r="C8" s="27" t="s">
        <v>51</v>
      </c>
      <c r="D8" s="27" t="s">
        <v>50</v>
      </c>
      <c r="E8" s="27" t="s">
        <v>51</v>
      </c>
      <c r="F8" s="26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t="14.25" customHeight="1">
      <c r="A9" s="28"/>
      <c r="B9" s="28">
        <f>COUNTIFS(Results!$E:$E,"&gt;="&amp;$I$2,Results!$E:$E,"&lt;="&amp;$I$3,Results!$I:$I,"Male",Results!$J:$J,"&lt;15", Results!$F:$F,"*tive")</f>
        <v>0</v>
      </c>
      <c r="C9" s="28">
        <f>COUNTIFS(Results!$E:$E,"&gt;="&amp;$I$2,Results!$E:$E,"&lt;="&amp;$I$3,Results!$I:$I,"Male",Results!$J:$J,"&gt;=15", Results!$F:$F,"*tive")</f>
        <v>0</v>
      </c>
      <c r="D9" s="28">
        <f>COUNTIFS(Results!$E:$E,"&gt;="&amp;$I$2,Results!$E:$E,"&lt;="&amp;$I$3,Results!$I:$I,"Female",Results!$J:$J,"&lt;15", Results!$F:$F,"*tive")</f>
        <v>0</v>
      </c>
      <c r="E9" s="28">
        <f>COUNTIFS(Results!$E:$E,"&gt;="&amp;$I$2,Results!$E:$E,"&lt;="&amp;$I$3,Results!$I:$I,"Female",Results!$J:$J,"&gt;=15", Results!$F:$F,"*tive")</f>
        <v>0</v>
      </c>
      <c r="F9" s="28">
        <f>COUNTIFS(Results!$E:$E,"&gt;="&amp;$I$2,Results!$E:$E,"&lt;="&amp;$I$3, Results!$F:$F,"*tive", Results!$J:$J,"&lt;&gt;Not on Form", Results!$J:$J,"&lt;&gt;N/A", Results!$I:$I,"&lt;&gt;Not on Form", Results!$I:$I,"&lt;&gt;N/A")</f>
        <v>0</v>
      </c>
      <c r="G9" s="15" t="str">
        <f>IF(SUM(B9:E9)=F9,"","Check Total Value &amp; Category")</f>
        <v/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t="14.25" customHeight="1">
      <c r="A10" s="15"/>
      <c r="B10" s="15"/>
      <c r="C10" s="15"/>
      <c r="D10" s="15"/>
      <c r="E10" s="15"/>
      <c r="F10" s="15"/>
      <c r="G10" s="15"/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t="14.25" customHeight="1">
      <c r="A11" s="15" t="s">
        <v>52</v>
      </c>
      <c r="B11" s="15"/>
      <c r="C11" s="15"/>
      <c r="D11" s="15"/>
      <c r="E11" s="15"/>
      <c r="F11" s="15"/>
      <c r="G11" s="15"/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t="14.25" customHeight="1">
      <c r="A12" s="28"/>
      <c r="B12" s="28"/>
      <c r="C12" s="29" t="s">
        <v>53</v>
      </c>
      <c r="D12" s="29" t="s">
        <v>54</v>
      </c>
      <c r="E12" s="29" t="s">
        <v>55</v>
      </c>
      <c r="F12" s="29" t="s">
        <v>49</v>
      </c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t="15.75" customHeight="1">
      <c r="A13" s="30" t="s">
        <v>56</v>
      </c>
      <c r="B13" s="28" t="s">
        <v>57</v>
      </c>
      <c r="C13" s="28">
        <f>COUNTIFS(Results!$E:$E,"&gt;="&amp;$I$2,Results!$E:$E,"&lt;="&amp;$I$3,Results!$L:$L,"Positive",Results!$K:$K,"No", Results!$F:$F,"*tive") + COUNTIFS(Results!$E:$E,"&gt;="&amp;$I$2,Results!$E:$E,"&lt;="&amp;$I$3,Results!$L:$L,"Positive",Results!$K:$K,"On Treatment", Results!$F:$F,"*tive")</f>
        <v>0</v>
      </c>
      <c r="D13" s="28">
        <f>COUNTIFS(Results!$E:$E,"&gt;="&amp;$I$2,Results!$E:$E,"&lt;="&amp;$I$3,Results!$L:$L,"Positive",Results!$K:$K,"Yes", Results!$F:$F,"*tive")</f>
        <v>0</v>
      </c>
      <c r="E13" s="28">
        <f>COUNTIFS(Results!$E:$E,"&gt;="&amp;$I$2,Results!$E:$E,"&lt;="&amp;$I$3,Results!$L:$L,"Positive",Results!$K:$K,"Unknown", Results!$F:$F,"*tive")</f>
        <v>0</v>
      </c>
      <c r="F13" s="28">
        <f>COUNTIFS(Results!$E:$E,"&gt;="&amp;$I$2,Results!$E:$E,"&lt;="&amp;$I$3,Results!$L:$L,"Positive", Results!$F:$F,"*tive", Results!$K:$K,"&lt;&gt;Not on Form", Results!$K:$K,"&lt;&gt;N/A", Results!$L:$L,"&lt;&gt;Not on Form", Results!$L:$L,"&lt;&gt;N/A")</f>
        <v>0</v>
      </c>
      <c r="G13" s="31" t="str">
        <f>IF($F$9=SUM(F13:F15),"","Error! Microscopy result does NOT match, cross check: Missing information in Microscopy Result")</f>
        <v/>
      </c>
      <c r="I13" s="15" t="str">
        <f t="shared" ref="I13:I18" si="1">IF(SUM(C13:E13)=F13,"","Check Total Value &amp; Category")</f>
        <v/>
      </c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t="14.25" customHeight="1">
      <c r="A14" s="32"/>
      <c r="B14" s="28" t="s">
        <v>58</v>
      </c>
      <c r="C14" s="28">
        <f>COUNTIFS(Results!$E:$E,"&gt;="&amp;$I$2,Results!$E:$E,"&lt;="&amp;$I$3,Results!$L:$L,"Negative",Results!$K:$K,"No", Results!$F:$F,"*tive") + COUNTIFS(Results!$E:$E,"&gt;="&amp;$I$2,Results!$E:$E,"&lt;="&amp;$I$3,Results!$L:$L,"Negative",Results!$K:$K,"On Treatment", Results!$F:$F,"*tive")</f>
        <v>0</v>
      </c>
      <c r="D14" s="28">
        <f>COUNTIFS(Results!$E:$E,"&gt;="&amp;$I$2,Results!$E:$E,"&lt;="&amp;$I$3,Results!$L:$L,"Negative",Results!$K:$K,"Yes", Results!$F:$F,"*tive")</f>
        <v>0</v>
      </c>
      <c r="E14" s="28">
        <f>COUNTIFS(Results!$E:$E,"&gt;="&amp;$I$2,Results!$E:$E,"&lt;="&amp;$I$3,Results!$L:$L,"Negative",Results!$K:$K,"Unknown", Results!$F:$F,"*tive")</f>
        <v>0</v>
      </c>
      <c r="F14" s="28">
        <f>COUNTIFS(Results!$E:$E,"&gt;="&amp;$I$2,Results!$E:$E,"&lt;="&amp;$I$3,Results!$L:$L,"Negative", Results!$F:$F,"*tive",Results!$K:$K,"&lt;&gt;Not on Form", Results!$K:$K,"&lt;&gt;N/A", Results!$L:$L,"&lt;&gt;Not on Form", Results!$L:$L,"&lt;&gt;N/A")</f>
        <v>0</v>
      </c>
      <c r="G14" s="33"/>
      <c r="I14" s="15" t="str">
        <f t="shared" si="1"/>
        <v/>
      </c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t="14.25" customHeight="1">
      <c r="A15" s="26"/>
      <c r="B15" s="28" t="s">
        <v>59</v>
      </c>
      <c r="C15" s="28">
        <f>COUNTIFS(Results!$E:$E,"&gt;="&amp;$I$2,Results!$E:$E,"&lt;="&amp;$I$3,Results!$L:$L,"Not Done",Results!$K:$K,"No", Results!$F:$F,"*tive") + COUNTIFS(Results!$E:$E,"&gt;="&amp;$I$2,Results!$E:$E,"&lt;="&amp;$I$3,Results!$L:$L,"Not Done",Results!$K:$K,"On Treatment", Results!$F:$F,"*tive")</f>
        <v>0</v>
      </c>
      <c r="D15" s="28">
        <f>COUNTIFS(Results!$E:$E,"&gt;="&amp;$I$2,Results!$E:$E,"&lt;="&amp;$I$3,Results!$L:$L,"Not Done",Results!$K:$K,"Yes", Results!$F:$F,"*tive")</f>
        <v>0</v>
      </c>
      <c r="E15" s="28">
        <f>COUNTIFS(Results!$E:$E,"&gt;="&amp;$I$2,Results!$E:$E,"&lt;="&amp;$I$3,Results!$L:$L,"Not Done",Results!$K:$K,"Unknown", Results!$F:$F,"*tive")</f>
        <v>0</v>
      </c>
      <c r="F15" s="28">
        <f>COUNTIFS(Results!$E:$E,"&gt;="&amp;$I$2,Results!$E:$E,"&lt;="&amp;$I$3,Results!$L:$L,"Not Done", Results!$F:$F,"*tive", Results!$K:$K,"&lt;&gt;Not on Form", Results!$K:$K,"&lt;&gt;N/A", Results!$L:$L,"&lt;&gt;Not on Form", Results!$L:$L,"&lt;&gt;N/A")</f>
        <v>0</v>
      </c>
      <c r="G15" s="33"/>
      <c r="I15" s="15" t="str">
        <f t="shared" si="1"/>
        <v/>
      </c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t="14.25" customHeight="1">
      <c r="A16" s="25" t="s">
        <v>60</v>
      </c>
      <c r="B16" s="28" t="s">
        <v>61</v>
      </c>
      <c r="C16" s="28">
        <f>COUNTIFS(Results!$E:$E,"&gt;="&amp;$I$2,Results!$E:$E,"&lt;="&amp;$I$3,Results!$F:$F,"Negative",Results!$K:$K,"No") + COUNTIFS(Results!$E:$E,"&gt;="&amp;$I$2,Results!$E:$E,"&lt;="&amp;$I$3,Results!$F:$F,"Negative",Results!$K:$K,"On Treatment")</f>
        <v>0</v>
      </c>
      <c r="D16" s="28">
        <f>COUNTIFS(Results!$E:$E,"&gt;="&amp;$I$2,Results!$E:$E,"&lt;="&amp;$I$3,Results!$F:$F,"Negative",Results!$K:$K,"Yes")</f>
        <v>0</v>
      </c>
      <c r="E16" s="28">
        <f>COUNTIFS(Results!$E:$E,"&gt;="&amp;$I$2,Results!$E:$E,"&lt;="&amp;$I$3,Results!$F:$F,"Negative",Results!$K:$K,"Unknown")</f>
        <v>0</v>
      </c>
      <c r="F16" s="28">
        <f>COUNTIFS(Results!$E:$E,"&gt;="&amp;$I$2,Results!$E:$E,"&lt;="&amp;$I$3,Results!$F:$F,"Negative", Results!$K:$K,"&lt;&gt;Not on Form", Results!$K:$K,"&lt;&gt;N/A")</f>
        <v>0</v>
      </c>
      <c r="G16" s="31" t="str">
        <f>IF($F$9=SUM(F16:F20),"","Error! Cross information between Xpert result and treatment category are not match; possibly there will be Erorr or missing information on MTB result OR RIF result")</f>
        <v/>
      </c>
      <c r="I16" s="15" t="str">
        <f t="shared" si="1"/>
        <v/>
      </c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t="14.25" customHeight="1">
      <c r="A17" s="32"/>
      <c r="B17" s="28" t="s">
        <v>62</v>
      </c>
      <c r="C17" s="28">
        <f>COUNTIFS(Results!$E:$E,"&gt;="&amp;$I$2,Results!$E:$E,"&lt;="&amp;$I$3,Results!$F:$F,"Positive",Results!$G:$G,"Negative",Results!$K:$K,"No") + COUNTIFS(Results!$E:$E,"&gt;="&amp;$I$2,Results!$E:$E,"&lt;="&amp;$I$3,Results!$F:$F,"Positive",Results!$G:$G,"Negative",Results!$K:$K,"On Treatment")</f>
        <v>0</v>
      </c>
      <c r="D17" s="28">
        <f>COUNTIFS(Results!$E:$E,"&gt;="&amp;$I$2,Results!$E:$E,"&lt;="&amp;$I$3,Results!$F:$F,"Positive",Results!$G:$G,"Negative",Results!$K:$K,"Yes")</f>
        <v>0</v>
      </c>
      <c r="E17" s="28">
        <f>COUNTIFS(Results!$E:$E,"&gt;="&amp;$I$2,Results!$E:$E,"&lt;="&amp;$I$3,Results!$F:$F,"Positive",Results!$G:$G,"Negative",Results!$K:$K,"Unknown")</f>
        <v>0</v>
      </c>
      <c r="F17" s="28">
        <f>COUNTIFS(Results!$E:$E,"&gt;="&amp;$I$2,Results!$E:$E,"&lt;="&amp;$I$3,Results!$F:$F,"Positive",Results!$G:$G,"Negative", Results!$K:$K,"&lt;&gt;Not on Form", Results!$K:$K,"&lt;&gt;N/A")</f>
        <v>0</v>
      </c>
      <c r="G17" s="33"/>
      <c r="I17" s="15" t="str">
        <f t="shared" si="1"/>
        <v/>
      </c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t="14.25" customHeight="1">
      <c r="A18" s="32"/>
      <c r="B18" s="28" t="s">
        <v>63</v>
      </c>
      <c r="C18" s="28">
        <f>COUNTIFS(Results!$E:$E,"&gt;="&amp;$I$2,Results!$E:$E,"&lt;="&amp;$I$3,Results!$F:$F,"Positive",Results!$G:$G,"Positive",Results!$K:$K,"No") + COUNTIFS(Results!$E:$E,"&gt;="&amp;$I$2,Results!$E:$E,"&lt;="&amp;$I$3,Results!$F:$F,"Positive",Results!$G:$G,"Positive",Results!$K:$K,"On Treatment")</f>
        <v>0</v>
      </c>
      <c r="D18" s="28">
        <f>COUNTIFS(Results!$E:$E,"&gt;="&amp;$I$2,Results!$E:$E,"&lt;="&amp;$I$3,Results!$F:$F,"Positive",Results!$G:$G,"Positive",Results!$K:$K,"Yes")</f>
        <v>0</v>
      </c>
      <c r="E18" s="28">
        <f>COUNTIFS(Results!$E:$E,"&gt;="&amp;$I$2,Results!$E:$E,"&lt;="&amp;$I$3,Results!$F:$F,"Positive",Results!$G:$G,"Positive",Results!$K:$K,"Unknown")</f>
        <v>0</v>
      </c>
      <c r="F18" s="28">
        <f>COUNTIFS(Results!$E:$E,"&gt;="&amp;$I$2,Results!$E:$E,"&lt;="&amp;$I$3,Results!$F:$F,"Positive",Results!$G:$G,"Positive", Results!$K:$K,"&lt;&gt;Not on Form", Results!$K:$K,"&lt;&gt;N/A")</f>
        <v>0</v>
      </c>
      <c r="G18" s="33"/>
      <c r="I18" s="15" t="str">
        <f t="shared" si="1"/>
        <v/>
      </c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t="14.25" customHeight="1">
      <c r="A19" s="32"/>
      <c r="B19" s="28" t="s">
        <v>64</v>
      </c>
      <c r="C19" s="28">
        <f>COUNTIFS(Results!$E:$E,"&gt;="&amp;$I$2,Results!$E:$E,"&lt;="&amp;$I$3,Results!$F:$F,"Positive",Results!$G:$G,"Indeterminate",Results!$K:$K,"No") + COUNTIFS(Results!$E:$E,"&gt;="&amp;$I$2,Results!$E:$E,"&lt;="&amp;$I$3,Results!$F:$F,"Positive",Results!$G:$G,"Indeterminate",Results!$K:$K,"On Treatment")</f>
        <v>0</v>
      </c>
      <c r="D19" s="28">
        <f>COUNTIFS(Results!$E:$E,"&gt;="&amp;$I$2,Results!$E:$E,"&lt;="&amp;$I$3,Results!$F:$F,"Positive",Results!$G:$G,"Indeterminate",Results!$K:$K,"Yes")</f>
        <v>0</v>
      </c>
      <c r="E19" s="28">
        <f>COUNTIFS(Results!$E:$E,"&gt;="&amp;$I$2,Results!$E:$E,"&lt;="&amp;$I$3,Results!$F:$F,"Positive",Results!$G:$G,"Indeterminate",Results!$K:$K,"Unknown")</f>
        <v>0</v>
      </c>
      <c r="F19" s="28">
        <f>COUNTIFS(Results!$E:$E,"&gt;="&amp;$I$2,Results!$E:$E,"&lt;="&amp;$I$3,Results!$F:$F,"Positive",Results!$G:$G,"Indeterminate", Results!$K:$K,"&lt;&gt;Not on Form", Results!$K:$K,"&lt;&gt;N/A")</f>
        <v>0</v>
      </c>
      <c r="G19" s="33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t="14.25" customHeight="1">
      <c r="A20" s="26"/>
      <c r="B20" s="28" t="s">
        <v>65</v>
      </c>
      <c r="C20" s="28">
        <f>COUNTIFS(Results!$E:$E,"&gt;="&amp;$I$2,Results!$E:$E,"&lt;="&amp;$I$3,Results!$F:$F,"Trace",Results!$G:$G,"Indeterminate",Results!$K:$K,"No") + COUNTIFS(Results!$E:$E,"&gt;="&amp;$I$2,Results!$E:$E,"&lt;="&amp;$I$3,Results!$F:$F,"Trace",Results!$G:$G,"Indeterminate",Results!$K:$K,"On Treatment")</f>
        <v>0</v>
      </c>
      <c r="D20" s="28">
        <f>COUNTIFS(Results!$E:$E,"&gt;="&amp;$I$2,Results!$E:$E,"&lt;="&amp;$I$3,Results!$F:$F,"Trace",Results!$G:$G,"Indeterminate",Results!$K:$K,"Yes")</f>
        <v>0</v>
      </c>
      <c r="E20" s="28">
        <f>COUNTIFS(Results!$E:$E,"&gt;="&amp;$I$2,Results!$E:$E,"&lt;="&amp;$I$3,Results!$F:$F,"Trace",Results!$G:$G,"Indeterminate",Results!$K:$K,"Unknown")</f>
        <v>0</v>
      </c>
      <c r="F20" s="28">
        <f>COUNTIFS(Results!$E:$E,"&gt;="&amp;$I$2,Results!$E:$E,"&lt;="&amp;$I$3,Results!$F:$F,"Trace",Results!$G:$G,"Indeterminate", Results!$K:$K,"&lt;&gt;Not on Form", Results!$K:$K,"&lt;&gt;N/A")</f>
        <v>0</v>
      </c>
      <c r="G20" s="33"/>
      <c r="I20" s="15" t="str">
        <f>IF(SUM(C20:E20)=F20,"","Check Total Value &amp; Category")</f>
        <v/>
      </c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t="14.25" customHeight="1">
      <c r="A21" s="15"/>
      <c r="B21" s="15"/>
      <c r="C21" s="15"/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t="14.25" customHeight="1">
      <c r="A22" s="15" t="s">
        <v>66</v>
      </c>
      <c r="B22" s="15"/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t="14.25" customHeight="1">
      <c r="A23" s="28"/>
      <c r="B23" s="28"/>
      <c r="C23" s="34" t="s">
        <v>67</v>
      </c>
      <c r="D23" s="34" t="s">
        <v>68</v>
      </c>
      <c r="E23" s="27" t="s">
        <v>55</v>
      </c>
      <c r="F23" s="27" t="s">
        <v>49</v>
      </c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t="15.75" hidden="1" customHeight="1">
      <c r="A24" s="30" t="s">
        <v>56</v>
      </c>
      <c r="B24" s="28" t="s">
        <v>57</v>
      </c>
      <c r="C24" s="28">
        <f>COUNTIFS(Results!$E:$E,"&gt;="&amp;$I$2,Results!$E:$E,"&lt;="&amp;$I$3,Results!$L:$L,"Positive",Results!$H:$H,"Positive", Results!$F:$F,"*tive")</f>
        <v>0</v>
      </c>
      <c r="D24" s="28">
        <f>COUNTIFS(Results!$E:$E,"&gt;="&amp;$I$2,Results!$E:$E,"&lt;="&amp;$I$3,Results!$L:$L,"Positive",Results!$H:$H,"Negative", Results!$F:$F,"*tive")</f>
        <v>0</v>
      </c>
      <c r="E24" s="28">
        <f>COUNTIFS(Results!$E:$E,"&gt;="&amp;$I$2,Results!$E:$E,"&lt;="&amp;$I$3,Results!$L:$L,"Positive",Results!$H:$H,"Unknown", Results!$F:$F,"*tive")</f>
        <v>0</v>
      </c>
      <c r="F24" s="28">
        <f>COUNTIFS(Results!$E:$E,"&gt;="&amp;$I$2,Results!$E:$E,"&lt;="&amp;$I$3,Results!$L:$L,"Positive", Results!$F:$F,"*tive", Results!$H:$H,"&lt;&gt;Not on Form", Results!$H:$H,"&lt;&gt;N/A", Results!$L:$L,"&lt;&gt;Not on Form", Results!$L:$L,"&lt;&gt;N/A")</f>
        <v>0</v>
      </c>
      <c r="G24" s="31" t="str">
        <f>IF($F$9=SUM(F24:F26),"","Error! Microscope Result and HIV Status do NOT match; Crosscheck for missing information in Microscope Result OR HIV Status")</f>
        <v/>
      </c>
      <c r="I24" s="15" t="str">
        <f t="shared" ref="I24:I29" si="2">IF(SUM(C24:E24)=F24,"","Check Total Value &amp; Category")</f>
        <v/>
      </c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t="14.25" hidden="1" customHeight="1">
      <c r="A25" s="32"/>
      <c r="B25" s="28" t="s">
        <v>58</v>
      </c>
      <c r="C25" s="28">
        <f>COUNTIFS(Results!$E:$E,"&gt;="&amp;$I$2,Results!$E:$E,"&lt;="&amp;$I$3,Results!$L:$L,"Negative",Results!$H:$H,"Positive", Results!$F:$F,"*tive")</f>
        <v>0</v>
      </c>
      <c r="D25" s="28">
        <f>COUNTIFS(Results!$E:$E,"&gt;="&amp;$I$2,Results!$E:$E,"&lt;="&amp;$I$3,Results!$L:$L,"Negative",Results!$H:$H,"Negative", Results!$F:$F,"*tive")</f>
        <v>0</v>
      </c>
      <c r="E25" s="28">
        <f>COUNTIFS(Results!$E:$E,"&gt;="&amp;$I$2,Results!$E:$E,"&lt;="&amp;$I$3,Results!$L:$L,"Negative",Results!$H:$H,"Unknown", Results!$F:$F,"*tive")</f>
        <v>0</v>
      </c>
      <c r="F25" s="28">
        <f>COUNTIFS(Results!$E:$E,"&gt;="&amp;$I$2,Results!$E:$E,"&lt;="&amp;$I$3,Results!$L:$L,"Negative", Results!$F:$F,"*tive",  Results!$H:$H,"&lt;&gt;Not on Form", Results!$H:$H,"&lt;&gt;N/A", Results!$L:$L,"&lt;&gt;Not on Form", Results!$L:$L,"&lt;&gt;N/A")</f>
        <v>0</v>
      </c>
      <c r="G25" s="33"/>
      <c r="I25" s="15" t="str">
        <f t="shared" si="2"/>
        <v/>
      </c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t="14.25" hidden="1" customHeight="1">
      <c r="A26" s="26"/>
      <c r="B26" s="28" t="s">
        <v>59</v>
      </c>
      <c r="C26" s="28">
        <f>COUNTIFS(Results!$E:$E,"&gt;="&amp;$I$2,Results!$E:$E,"&lt;="&amp;$I$3,Results!$L:$L,"Not Done",Results!$H:$H,"Positive", Results!$F:$F,"*tive")</f>
        <v>0</v>
      </c>
      <c r="D26" s="28">
        <f>COUNTIFS(Results!$E:$E,"&gt;="&amp;$I$2,Results!$E:$E,"&lt;="&amp;$I$3,Results!$L:$L,"Not Done",Results!$H:$H,"Negative", Results!$F:$F,"*tive")</f>
        <v>0</v>
      </c>
      <c r="E26" s="28">
        <f>COUNTIFS(Results!$E:$E,"&gt;="&amp;$I$2,Results!$E:$E,"&lt;="&amp;$I$3,Results!$L:$L,"Not Done",Results!$H:$H,"Unknown", Results!$F:$F,"*tive")</f>
        <v>0</v>
      </c>
      <c r="F26" s="28">
        <f>COUNTIFS(Results!$E:$E,"&gt;="&amp;$I$2,Results!$E:$E,"&lt;="&amp;$I$3,Results!$L:$L,"Not Done",Results!$F:$F,"*tive",  Results!$H:$H,"&lt;&gt;Not on Form", Results!$H:$H,"&lt;&gt;N/A", Results!$L:$L,"&lt;&gt;Not on Form", Results!$L:$L,"&lt;&gt;N/A")</f>
        <v>0</v>
      </c>
      <c r="G26" s="33"/>
      <c r="I26" s="15" t="str">
        <f t="shared" si="2"/>
        <v/>
      </c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t="14.25" customHeight="1">
      <c r="A27" s="25" t="s">
        <v>60</v>
      </c>
      <c r="B27" s="28" t="s">
        <v>61</v>
      </c>
      <c r="C27" s="28">
        <f>COUNTIFS(Results!$E:$E,"&gt;="&amp;$I$2,Results!$E:$E,"&lt;="&amp;$I$3,Results!$F:$F,"Negative",Results!$H:$H,"Positive")</f>
        <v>0</v>
      </c>
      <c r="D27" s="28">
        <f>COUNTIFS(Results!$E:$E,"&gt;="&amp;$I$2,Results!$E:$E,"&lt;="&amp;$I$3,Results!$F:$F,"Negative",Results!$H:$H,"Negative")</f>
        <v>0</v>
      </c>
      <c r="E27" s="28">
        <f>COUNTIFS(Results!$E:$E,"&gt;="&amp;$I$2,Results!$E:$E,"&lt;="&amp;$I$3,Results!$F:$F,"Negative",Results!$H:$H,"Unknown")</f>
        <v>0</v>
      </c>
      <c r="F27" s="28">
        <f>COUNTIFS(Results!$E:$E,"&gt;="&amp;$I$2,Results!$E:$E,"&lt;="&amp;$I$3,Results!$F:$F,"Negative", Results!$H:$H,"&lt;&gt;Not on Form", Results!$H:$H,"&lt;&gt;N/A")</f>
        <v>0</v>
      </c>
      <c r="G27" s="31" t="str">
        <f>IF($F$9=SUM(F27:F31),"","Error! Cross information between Xpert result and HIV Status are not match; possibly there will be Erorr or missing information on MTB result OR HIV Status")</f>
        <v/>
      </c>
      <c r="I27" s="15" t="str">
        <f t="shared" si="2"/>
        <v/>
      </c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t="14.25" customHeight="1">
      <c r="A28" s="32"/>
      <c r="B28" s="28" t="s">
        <v>62</v>
      </c>
      <c r="C28" s="28">
        <f>COUNTIFS(Results!$E:$E,"&gt;="&amp;$I$2,Results!$E:$E,"&lt;="&amp;$I$3,Results!$F:$F,"Positive",Results!$G:$G,"Negative",Results!$H:$H,"Positive")</f>
        <v>0</v>
      </c>
      <c r="D28" s="28">
        <f>COUNTIFS(Results!$E:$E,"&gt;="&amp;$I$2,Results!$E:$E,"&lt;="&amp;$I$3,Results!$F:$F,"Positive",Results!$G:$G,"Negative",Results!$H:$H,"Negative")</f>
        <v>0</v>
      </c>
      <c r="E28" s="28">
        <f>COUNTIFS(Results!$E:$E,"&gt;="&amp;$I$2,Results!$E:$E,"&lt;="&amp;$I$3,Results!$F:$F,"Positive",Results!$G:$G,"Negative",Results!$H:$H,"Unknown")</f>
        <v>0</v>
      </c>
      <c r="F28" s="28">
        <f>COUNTIFS(Results!$E:$E,"&gt;="&amp;$I$2,Results!$E:$E,"&lt;="&amp;$I$3,Results!$F:$F,"Positive",Results!$G:$G,"Negative", Results!$H:$H,"&lt;&gt;Not on Form", Results!$H:$H,"&lt;&gt;N/A")</f>
        <v>0</v>
      </c>
      <c r="G28" s="33"/>
      <c r="I28" s="15" t="str">
        <f t="shared" si="2"/>
        <v/>
      </c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t="14.25" customHeight="1">
      <c r="A29" s="32"/>
      <c r="B29" s="28" t="s">
        <v>63</v>
      </c>
      <c r="C29" s="28">
        <f>COUNTIFS(Results!$E:$E,"&gt;="&amp;$I$2,Results!$E:$E,"&lt;="&amp;$I$3,Results!$F:$F,"Positive",Results!$G:$G,"Positive",Results!$H:$H,"Positive")</f>
        <v>0</v>
      </c>
      <c r="D29" s="28">
        <f>COUNTIFS(Results!$E:$E,"&gt;="&amp;$I$2,Results!$E:$E,"&lt;="&amp;$I$3,Results!$F:$F,"Positive",Results!$G:$G,"Positive",Results!$H:$H,"Negative")</f>
        <v>0</v>
      </c>
      <c r="E29" s="28">
        <f>COUNTIFS(Results!$E:$E,"&gt;="&amp;$I$2,Results!$E:$E,"&lt;="&amp;$I$3,Results!$F:$F,"Positive",Results!$G:$G,"Positive",Results!$H:$H,"Unknown")</f>
        <v>0</v>
      </c>
      <c r="F29" s="28">
        <f>COUNTIFS(Results!$E:$E,"&gt;="&amp;$I$2,Results!$E:$E,"&lt;="&amp;$I$3,Results!$F:$F,"Positive",Results!$G:$G,"Positive", Results!$H:$H,"&lt;&gt;Not on Form", Results!$H:$H,"&lt;&gt;N/A")</f>
        <v>0</v>
      </c>
      <c r="G29" s="33"/>
      <c r="I29" s="15" t="str">
        <f t="shared" si="2"/>
        <v/>
      </c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t="14.25" customHeight="1">
      <c r="A30" s="32"/>
      <c r="B30" s="28" t="s">
        <v>64</v>
      </c>
      <c r="C30" s="28">
        <f>COUNTIFS(Results!$E:$E,"&gt;="&amp;$I$2,Results!$E:$E,"&lt;="&amp;$I$3,Results!$F:$F,"Positive",Results!$G:$G,"Indeterminate",Results!$H:$H,"Positive")</f>
        <v>0</v>
      </c>
      <c r="D30" s="28">
        <f>COUNTIFS(Results!$E:$E,"&gt;="&amp;$I$2,Results!$E:$E,"&lt;="&amp;$I$3,Results!$F:$F,"Positive",Results!$G:$G,"Indeterminate",Results!$H:$H,"Negative")</f>
        <v>0</v>
      </c>
      <c r="E30" s="28">
        <f>COUNTIFS(Results!$E:$E,"&gt;="&amp;$I$2,Results!$E:$E,"&lt;="&amp;$I$3,Results!$F:$F,"Positive",Results!$G:$G,"Indeterminate",Results!$H:$H,"Unknown")</f>
        <v>0</v>
      </c>
      <c r="F30" s="28">
        <f>COUNTIFS(Results!$E:$E,"&gt;="&amp;$I$2,Results!$E:$E,"&lt;="&amp;$I$3,Results!$F:$F,"Positive",Results!$G:$G,"Indeterminate", Results!$H:$H,"&lt;&gt;Not on Form", Results!$H:$H,"&lt;&gt;N/A")</f>
        <v>0</v>
      </c>
      <c r="G30" s="33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t="14.25" customHeight="1">
      <c r="A31" s="26"/>
      <c r="B31" s="28" t="s">
        <v>65</v>
      </c>
      <c r="C31" s="28">
        <f>COUNTIFS(Results!$E:$E,"&gt;="&amp;$I$2,Results!$E:$E,"&lt;="&amp;$I$3,Results!$F:$F,"Trace",Results!$G:$G,"Indeterminate",Results!$H:$H,"Positive")</f>
        <v>0</v>
      </c>
      <c r="D31" s="28">
        <f>COUNTIFS(Results!$E:$E,"&gt;="&amp;$I$2,Results!$E:$E,"&lt;="&amp;$I$3,Results!$F:$F,"Trace",Results!$G:$G,"Indeterminate",Results!$H:$H,"Negative")</f>
        <v>0</v>
      </c>
      <c r="E31" s="28">
        <f>COUNTIFS(Results!$E:$E,"&gt;="&amp;$I$2,Results!$E:$E,"&lt;="&amp;$I$3,Results!$F:$F,"Trace",Results!$G:$G,"Indeterminate",Results!$H:$H,"Unknown")</f>
        <v>0</v>
      </c>
      <c r="F31" s="28">
        <f>COUNTIFS(Results!$E:$E,"&gt;="&amp;$I$2,Results!$E:$E,"&lt;="&amp;$I$3,Results!$F:$F,"Trace",Results!$G:$G,"Indeterminate", Results!$H:$H,"&lt;&gt;Not on Form", Results!$H:$H,"&lt;&gt;N/A")</f>
        <v>0</v>
      </c>
      <c r="G31" s="33"/>
      <c r="I31" s="15" t="str">
        <f>IF(SUM(C31:E31)=F31,"","Check Total Value &amp; Category")</f>
        <v/>
      </c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t="14.25" customHeight="1">
      <c r="A32" s="15"/>
      <c r="B32" s="15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t="14.25" customHeight="1">
      <c r="A33" s="35" t="s">
        <v>69</v>
      </c>
      <c r="B33" s="36"/>
      <c r="C33" s="36"/>
      <c r="D33" s="36"/>
      <c r="E33" s="36"/>
      <c r="F33" s="36"/>
      <c r="G33" s="36"/>
      <c r="H33" s="36"/>
      <c r="I33" s="36"/>
      <c r="J33" s="36"/>
      <c r="K33" s="36"/>
      <c r="L33" s="36"/>
      <c r="M33" s="36"/>
      <c r="N33" s="36"/>
      <c r="O33" s="36"/>
      <c r="P33" s="36"/>
      <c r="Q33" s="36"/>
      <c r="R33" s="36"/>
      <c r="S33" s="36"/>
      <c r="T33" s="36"/>
      <c r="U33" s="36"/>
      <c r="V33" s="36"/>
      <c r="W33" s="36"/>
      <c r="X33" s="36"/>
      <c r="Y33" s="36"/>
      <c r="Z33" s="36"/>
    </row>
    <row r="34" ht="14.25" customHeight="1">
      <c r="A34" s="37"/>
      <c r="B34" s="37"/>
      <c r="C34" s="38" t="s">
        <v>70</v>
      </c>
      <c r="D34" s="38" t="s">
        <v>71</v>
      </c>
      <c r="E34" s="38" t="s">
        <v>72</v>
      </c>
      <c r="F34" s="38" t="s">
        <v>73</v>
      </c>
      <c r="G34" s="38" t="s">
        <v>74</v>
      </c>
      <c r="H34" s="39" t="s">
        <v>49</v>
      </c>
      <c r="I34" s="40"/>
      <c r="J34" s="40"/>
      <c r="K34" s="40"/>
      <c r="L34" s="40"/>
      <c r="M34" s="40"/>
      <c r="N34" s="40"/>
      <c r="O34" s="40"/>
      <c r="P34" s="40"/>
      <c r="Q34" s="40"/>
      <c r="R34" s="40"/>
      <c r="S34" s="40"/>
      <c r="T34" s="40"/>
      <c r="U34" s="40"/>
      <c r="V34" s="40"/>
      <c r="W34" s="40"/>
      <c r="X34" s="40"/>
      <c r="Y34" s="40"/>
      <c r="Z34" s="40"/>
    </row>
    <row r="35" ht="14.25" customHeight="1">
      <c r="A35" s="41" t="s">
        <v>60</v>
      </c>
      <c r="B35" s="42" t="s">
        <v>61</v>
      </c>
      <c r="C35" s="43">
        <f>COUNTIFS(Results!$E:$E,"&gt;="&amp;$I$2,Results!$E:$E,"&lt;="&amp;$I$3,Results!$F:$F,"Negative",Results!$S:$S,"*DX*")</f>
        <v>0</v>
      </c>
      <c r="D35" s="43">
        <f>COUNTIFS(Results!$E:$E,"&gt;="&amp;$I$2,Results!$E:$E,"&lt;="&amp;$I$3,Results!$F:$F,"Negative",Results!$S:$S,"*fu*")</f>
        <v>0</v>
      </c>
      <c r="E35" s="43">
        <f>COUNTIFS(Results!$E:$E,"&gt;="&amp;$I$2,Results!$E:$E,"&lt;="&amp;$I$3,Results!$F:$F,"Negative",Results!$S:$S,"*mdr*")</f>
        <v>0</v>
      </c>
      <c r="F35" s="43">
        <f>COUNTIFS(Results!$E:$E,"&gt;="&amp;$I$2,Results!$E:$E,"&lt;="&amp;$I$3,Results!$F:$F,"Negative",Results!$S:$S,"*dm*")</f>
        <v>0</v>
      </c>
      <c r="G35" s="43">
        <f>COUNTIFS(Results!$E:$E,"&gt;="&amp;$I$2,Results!$E:$E,"&lt;="&amp;$I$3,Results!$F:$F,"Negative",Results!$S:$S,"*na*")</f>
        <v>0</v>
      </c>
      <c r="H35" s="43">
        <f>COUNTIFS(Results!$E:$E,"&gt;="&amp;$I$2,Results!$E:$E,"&lt;="&amp;$I$3,Results!$F:$F,"Negative", Results!$O:$O,"&lt;&gt;Not on Form", Results!$O:$O,"&lt;&gt;N/A")</f>
        <v>0</v>
      </c>
      <c r="I35" s="40"/>
      <c r="J35" s="40"/>
      <c r="K35" s="40"/>
      <c r="L35" s="40"/>
      <c r="M35" s="40"/>
      <c r="N35" s="40"/>
      <c r="O35" s="40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</row>
    <row r="36" ht="14.25" customHeight="1">
      <c r="A36" s="32"/>
      <c r="B36" s="42" t="s">
        <v>62</v>
      </c>
      <c r="C36" s="43">
        <f>COUNTIFS(Results!$E:$E,"&gt;="&amp;$I$2,Results!$E:$E,"&lt;="&amp;$I$3,Results!$F:$F,"Positive",Results!$G:$G,"Negative",Results!$S:$S,"*DX*")</f>
        <v>0</v>
      </c>
      <c r="D36" s="43">
        <f>COUNTIFS(Results!$E:$E,"&gt;="&amp;$I$2,Results!$E:$E,"&lt;="&amp;$I$3,Results!$F:$F,"Positive",Results!$G:$G,"Negative",Results!$S:$S,"*fu*")</f>
        <v>0</v>
      </c>
      <c r="E36" s="43">
        <f>COUNTIFS(Results!$E:$E,"&gt;="&amp;$I$2,Results!$E:$E,"&lt;="&amp;$I$3,Results!$F:$F,"Positive",Results!$G:$G,"Negative",Results!$S:$S,"*mdr*")</f>
        <v>0</v>
      </c>
      <c r="F36" s="43">
        <f>COUNTIFS(Results!$E:$E,"&gt;="&amp;$I$2,Results!$E:$E,"&lt;="&amp;$I$3,Results!$F:$F,"Positive",Results!$G:$G,"Negative",Results!$S:$S,"*Dm*")</f>
        <v>0</v>
      </c>
      <c r="G36" s="43">
        <f>COUNTIFS(Results!$E:$E,"&gt;="&amp;$I$2,Results!$E:$E,"&lt;="&amp;$I$3,Results!$F:$F,"Positive",Results!$G:$G,"Negative",Results!$S:$S,"*na*")</f>
        <v>0</v>
      </c>
      <c r="H36" s="43">
        <f>COUNTIFS(Results!$E:$E,"&gt;="&amp;$I$2,Results!$E:$E,"&lt;="&amp;$I$3,Results!$F:$F,"Positive",Results!$G:$G,"Negative", Results!$O:$O,"&lt;&gt;Not on Form", Results!$O:$O,"&lt;&gt;N/A")</f>
        <v>0</v>
      </c>
      <c r="I36" s="40"/>
      <c r="J36" s="40"/>
      <c r="K36" s="40"/>
      <c r="L36" s="40"/>
      <c r="M36" s="40"/>
      <c r="N36" s="40"/>
      <c r="O36" s="40"/>
      <c r="P36" s="40"/>
      <c r="Q36" s="40"/>
      <c r="R36" s="40"/>
      <c r="S36" s="40"/>
      <c r="T36" s="40"/>
      <c r="U36" s="40"/>
      <c r="V36" s="40"/>
      <c r="W36" s="40"/>
      <c r="X36" s="40"/>
      <c r="Y36" s="40"/>
      <c r="Z36" s="40"/>
    </row>
    <row r="37" ht="14.25" customHeight="1">
      <c r="A37" s="32"/>
      <c r="B37" s="42" t="s">
        <v>63</v>
      </c>
      <c r="C37" s="43">
        <f>COUNTIFS(Results!$E:$E,"&gt;="&amp;$I$2,Results!$E:$E,"&lt;="&amp;$I$3,Results!$F:$F,"Positive",Results!$G:$G,"Positive",Results!$S:$S,"*DX*")</f>
        <v>0</v>
      </c>
      <c r="D37" s="43">
        <f>COUNTIFS(Results!$E:$E,"&gt;="&amp;$I$2,Results!$E:$E,"&lt;="&amp;$I$3,Results!$F:$F,"Positive",Results!$G:$G,"Positive",Results!$S:$S,"*fu*")</f>
        <v>0</v>
      </c>
      <c r="E37" s="43">
        <f>COUNTIFS(Results!$E:$E,"&gt;="&amp;$I$2,Results!$E:$E,"&lt;="&amp;$I$3,Results!$F:$F,"Positive",Results!$G:$G,"Positive",Results!$S:$S,"*mdr*")</f>
        <v>0</v>
      </c>
      <c r="F37" s="43">
        <f>COUNTIFS(Results!$E:$E,"&gt;="&amp;$I$2,Results!$E:$E,"&lt;="&amp;$I$3,Results!$F:$F,"Positive",Results!$G:$G,"Positive",Results!$S:$S,"*dm*")</f>
        <v>0</v>
      </c>
      <c r="G37" s="43">
        <f>COUNTIFS(Results!$E:$E,"&gt;="&amp;$I$2,Results!$E:$E,"&lt;="&amp;$I$3,Results!$F:$F,"Positive",Results!$G:$G,"Positive",Results!$S:$S,"*na*")</f>
        <v>0</v>
      </c>
      <c r="H37" s="43">
        <f>COUNTIFS(Results!$E:$E,"&gt;="&amp;$I$2,Results!$E:$E,"&lt;="&amp;$I$3,Results!$F:$F,"Positive",Results!$G:$G,"Positive", Results!$O:$O,"&lt;&gt;Not on Form", Results!$O:$O,"&lt;&gt;N/A")</f>
        <v>0</v>
      </c>
      <c r="I37" s="40"/>
      <c r="J37" s="40"/>
      <c r="K37" s="40"/>
      <c r="L37" s="40"/>
      <c r="M37" s="40"/>
      <c r="N37" s="40"/>
      <c r="O37" s="40"/>
      <c r="P37" s="40"/>
      <c r="Q37" s="40"/>
      <c r="R37" s="40"/>
      <c r="S37" s="40"/>
      <c r="T37" s="40"/>
      <c r="U37" s="40"/>
      <c r="V37" s="40"/>
      <c r="W37" s="40"/>
      <c r="X37" s="40"/>
      <c r="Y37" s="40"/>
      <c r="Z37" s="40"/>
    </row>
    <row r="38" ht="14.25" customHeight="1">
      <c r="A38" s="32"/>
      <c r="B38" s="42" t="s">
        <v>64</v>
      </c>
      <c r="C38" s="43">
        <f>COUNTIFS(Results!$E:$E,"&gt;="&amp;$I$2,Results!$E:$E,"&lt;="&amp;$I$3,Results!$F:$F,"Positive",Results!$G:$G,"Indeterminate",Results!$S:$S,"*DX*")</f>
        <v>0</v>
      </c>
      <c r="D38" s="43">
        <f>COUNTIFS(Results!$E:$E,"&gt;="&amp;$I$2,Results!$E:$E,"&lt;="&amp;$I$3,Results!$F:$F,"Positive",Results!$G:$G,"Indeterminate",Results!$S:$S,"*fu*")</f>
        <v>0</v>
      </c>
      <c r="E38" s="43">
        <f>COUNTIFS(Results!$E:$E,"&gt;="&amp;$I$2,Results!$E:$E,"&lt;="&amp;$I$3,Results!$F:$F,"Positive",Results!$G:$G,"Indeterminate",Results!$S:$S,"*mdr*")</f>
        <v>0</v>
      </c>
      <c r="F38" s="43">
        <f>COUNTIFS(Results!$E:$E,"&gt;="&amp;$I$2,Results!$E:$E,"&lt;="&amp;$I$3,Results!$F:$F,"Positive",Results!$G:$G,"Indeterminate",Results!$S:$S,"*dm*")</f>
        <v>0</v>
      </c>
      <c r="G38" s="43">
        <f>COUNTIFS(Results!$E:$E,"&gt;="&amp;$I$2,Results!$E:$E,"&lt;="&amp;$I$3,Results!$F:$F,"Positive",Results!$G:$G,"Indeterminate",Results!$S:$S,"*na*")</f>
        <v>0</v>
      </c>
      <c r="H38" s="43">
        <f>COUNTIFS(Results!$E:$E,"&gt;="&amp;$I$2,Results!$E:$E,"&lt;="&amp;$I$3,Results!$F:$F,"Positive",Results!$G:$G,"Indeterminate", Results!$O:$O,"&lt;&gt;Not on Form", Results!$O:$O,"&lt;&gt;N/A")</f>
        <v>0</v>
      </c>
      <c r="I38" s="40"/>
      <c r="J38" s="40"/>
      <c r="K38" s="40"/>
      <c r="L38" s="40"/>
      <c r="M38" s="40"/>
      <c r="N38" s="40"/>
      <c r="O38" s="40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</row>
    <row r="39" ht="14.25" customHeight="1">
      <c r="A39" s="26"/>
      <c r="B39" s="42" t="s">
        <v>75</v>
      </c>
      <c r="C39" s="43">
        <f>COUNTIFS(Results!$E:$E,"&gt;="&amp;$I$2,Results!$E:$E,"&lt;="&amp;$I$3,Results!$F:$F,"Trace",Results!$G:$G,"Indeterminate",Results!$S:$S,"*DX*")</f>
        <v>0</v>
      </c>
      <c r="D39" s="43">
        <f>COUNTIFS(Results!$E:$E,"&gt;="&amp;$I$2,Results!$E:$E,"&lt;="&amp;$I$3,Results!$F:$F,"Trace",Results!$G:$G,"Indeterminate",Results!$S:$S,"*fu*")</f>
        <v>0</v>
      </c>
      <c r="E39" s="43">
        <f>COUNTIFS(Results!$E:$E,"&gt;="&amp;$I$2,Results!$E:$E,"&lt;="&amp;$I$3,Results!$F:$F,"Trace",Results!$G:$G,"Indeterminate",Results!$S:$S,"*mdr*")</f>
        <v>0</v>
      </c>
      <c r="F39" s="43">
        <f>COUNTIFS(Results!$E:$E,"&gt;="&amp;$I$2,Results!$E:$E,"&lt;="&amp;$I$3,Results!$F:$F,"Trace",Results!$G:$G,"Indeterminate",Results!$S:$S,"*dm*")</f>
        <v>0</v>
      </c>
      <c r="G39" s="43">
        <f>COUNTIFS(Results!$E:$E,"&gt;="&amp;$I$2,Results!$E:$E,"&lt;="&amp;$I$3,Results!$F:$F,"Trace",Results!$G:$G,"Indeterminate",Results!$S:$S,"*na*")</f>
        <v>0</v>
      </c>
      <c r="H39" s="43">
        <f>COUNTIFS(Results!$E:$E,"&gt;="&amp;$I$2,Results!$E:$E,"&lt;="&amp;$I$3,Results!$F:$F,"Trace",Results!$G:$G,"Indeterminate", Results!$O:$O,"&lt;&gt;Not on Form", Results!$O:$O,"&lt;&gt;N/A")</f>
        <v>0</v>
      </c>
      <c r="I39" s="40"/>
      <c r="J39" s="40"/>
      <c r="K39" s="40"/>
      <c r="L39" s="40"/>
      <c r="M39" s="40"/>
      <c r="N39" s="40"/>
      <c r="O39" s="40"/>
      <c r="P39" s="40"/>
      <c r="Q39" s="40"/>
      <c r="R39" s="40"/>
      <c r="S39" s="40"/>
      <c r="T39" s="40"/>
      <c r="U39" s="40"/>
      <c r="V39" s="40"/>
      <c r="W39" s="40"/>
      <c r="X39" s="40"/>
      <c r="Y39" s="40"/>
      <c r="Z39" s="40"/>
    </row>
    <row r="40" ht="14.25" customHeight="1">
      <c r="A40" s="15"/>
      <c r="B40" s="15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t="14.25" customHeight="1">
      <c r="A41" s="15"/>
      <c r="B41" s="15"/>
      <c r="C41" s="23" t="s">
        <v>47</v>
      </c>
      <c r="D41" s="24"/>
      <c r="E41" s="23" t="s">
        <v>48</v>
      </c>
      <c r="F41" s="24"/>
      <c r="G41" s="22" t="s">
        <v>49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t="14.25" customHeight="1">
      <c r="A42" s="28" t="s">
        <v>76</v>
      </c>
      <c r="B42" s="28"/>
      <c r="C42" s="23">
        <f>COUNTIFS(Results!$E:$E,"&gt;="&amp;$I$2,Results!$E:$E,"&lt;="&amp;$I$3,Results!$I:$I,"Male",Results!$F:$F,"Positive",Results!$G:$G,"Positive")</f>
        <v>0</v>
      </c>
      <c r="D42" s="24"/>
      <c r="E42" s="23">
        <f>COUNTIFS(Results!$E:$E,"&gt;="&amp;$I$2,Results!$E:$E,"&lt;="&amp;$I$3,Results!$I:$I,"Female",Results!$F:$F,"Positive",Results!$G:$G,"Positive")</f>
        <v>0</v>
      </c>
      <c r="F42" s="24"/>
      <c r="G42" s="28">
        <f>COUNTIFS(Results!$E:$E,"&gt;="&amp;$I$2,Results!$E:$E,"&lt;="&amp;$I$3,Results!$F:$F,"Positive",Results!$G:$G,"Positive", Results!$I:$I,"&lt;&gt;Not on Form", Results!$I:$I,"&lt;&gt;N/A")</f>
        <v>0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t="14.25" customHeight="1">
      <c r="A43" s="15"/>
      <c r="B43" s="15"/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t="14.25" customHeight="1">
      <c r="A44" s="15" t="s">
        <v>77</v>
      </c>
      <c r="B44" s="15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t="14.25" customHeight="1">
      <c r="A45" s="28"/>
      <c r="B45" s="28"/>
      <c r="C45" s="23" t="s">
        <v>78</v>
      </c>
      <c r="D45" s="24"/>
      <c r="E45" s="23" t="s">
        <v>79</v>
      </c>
      <c r="F45" s="24"/>
      <c r="G45" s="28" t="s">
        <v>49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t="14.25" customHeight="1">
      <c r="A46" s="44" t="s">
        <v>80</v>
      </c>
      <c r="B46" s="45"/>
      <c r="C46" s="23">
        <f>COUNTIFS(Results!$E:$E,"&gt;="&amp;$I$2,Results!$E:$E,"&lt;="&amp;$I$3,Results!$F:$F,"Positive",Results!$L:$L,"Positive")</f>
        <v>0</v>
      </c>
      <c r="D46" s="24"/>
      <c r="E46" s="23">
        <f>COUNTIFS(Results!$E:$E,"&gt;="&amp;$I$2,Results!$E:$E,"&lt;="&amp;$I$3,Results!$F:$F,"Negative",Results!$L:$L,"Positive")</f>
        <v>0</v>
      </c>
      <c r="F46" s="24"/>
      <c r="G46" s="28">
        <f>COUNTIFS(Results!$E:$E,"&gt;="&amp;$I$2,Results!$E:$E,"&lt;="&amp;$I$3,Results!$L:$L,"Positive", Results!$F:$F,"*tive", Results!$L:$L,"&lt;&gt;Not on Form", Results!$L:$L,"&lt;&gt;N/A")</f>
        <v>0</v>
      </c>
      <c r="H46" s="31" t="s">
        <v>81</v>
      </c>
      <c r="J46" s="15" t="str">
        <f t="shared" ref="J46:J48" si="3">IF(SUM(C46:F46)=G46,"","Check Total Value &amp; Category")</f>
        <v/>
      </c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t="14.25" customHeight="1">
      <c r="A47" s="44" t="s">
        <v>82</v>
      </c>
      <c r="B47" s="45"/>
      <c r="C47" s="23">
        <f>COUNTIFS(Results!$E:$E,"&gt;="&amp;$I$2,Results!$E:$E,"&lt;="&amp;$I$3,Results!$F:$F,"Positive",Results!$L:$L,"Negative")</f>
        <v>0</v>
      </c>
      <c r="D47" s="24"/>
      <c r="E47" s="23">
        <f>COUNTIFS(Results!$E:$E,"&gt;="&amp;$I$2,Results!$E:$E,"&lt;="&amp;$I$3,Results!$F:$F,"Negative",Results!$L:$L,"Negative")</f>
        <v>0</v>
      </c>
      <c r="F47" s="24"/>
      <c r="G47" s="28">
        <f>COUNTIFS(Results!$E:$E,"&gt;="&amp;$I$2,Results!$E:$E,"&lt;="&amp;$I$3,Results!$L:$L,"Negative", Results!$F:$F,"*tive", Results!$F:$F,"*tive", Results!$L:$L,"&lt;&gt;Not on Form", Results!$L:$L,"&lt;&gt;N/A")</f>
        <v>0</v>
      </c>
      <c r="H47" s="33"/>
      <c r="J47" s="15" t="str">
        <f t="shared" si="3"/>
        <v/>
      </c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t="14.25" customHeight="1">
      <c r="A48" s="44" t="s">
        <v>83</v>
      </c>
      <c r="B48" s="45"/>
      <c r="C48" s="23">
        <f>COUNTIFS(Results!$E:$E,"&gt;="&amp;$I$2,Results!$E:$E,"&lt;="&amp;$I$3,Results!$F:$F,"Positive",Results!$L:$L,"Not Done")</f>
        <v>0</v>
      </c>
      <c r="D48" s="24"/>
      <c r="E48" s="23">
        <f>COUNTIFS(Results!$E:$E,"&gt;="&amp;$I$2,Results!$E:$E,"&lt;="&amp;$I$3,Results!$F:$F,"Negative",Results!$L:$L,"Not Done")</f>
        <v>0</v>
      </c>
      <c r="F48" s="24"/>
      <c r="G48" s="28">
        <f>COUNTIFS(Results!$E:$E,"&gt;="&amp;$I$2,Results!$E:$E,"&lt;="&amp;$I$3,Results!$L:$L,"Not Done", Results!$F:$F,"*tive", Results!$F:$F,"*tive", Results!$L:$L,"&lt;&gt;Not on Form", Results!$L:$L,"&lt;&gt;N/A")</f>
        <v>0</v>
      </c>
      <c r="H48" s="33"/>
      <c r="J48" s="15" t="str">
        <f t="shared" si="3"/>
        <v/>
      </c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t="14.25" customHeight="1">
      <c r="A49" s="15"/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t="14.25" customHeight="1">
      <c r="A50" s="36"/>
      <c r="B50" s="36"/>
      <c r="C50" s="46" t="s">
        <v>78</v>
      </c>
      <c r="D50" s="24"/>
      <c r="E50" s="46" t="s">
        <v>79</v>
      </c>
      <c r="F50" s="24"/>
      <c r="G50" s="47" t="s">
        <v>49</v>
      </c>
      <c r="H50" s="36"/>
      <c r="I50" s="36"/>
      <c r="J50" s="36"/>
      <c r="K50" s="36"/>
      <c r="L50" s="36"/>
      <c r="M50" s="36"/>
      <c r="N50" s="36"/>
      <c r="O50" s="36"/>
      <c r="P50" s="36"/>
      <c r="Q50" s="36"/>
      <c r="R50" s="36"/>
      <c r="S50" s="36"/>
      <c r="T50" s="36"/>
      <c r="U50" s="36"/>
      <c r="V50" s="36"/>
      <c r="W50" s="36"/>
      <c r="X50" s="36"/>
      <c r="Y50" s="36"/>
      <c r="Z50" s="36"/>
    </row>
    <row r="51" ht="14.25" customHeight="1">
      <c r="A51" s="42" t="s">
        <v>84</v>
      </c>
      <c r="B51" s="37"/>
      <c r="C51" s="48">
        <f>COUNTIFS(Results!$E:$E,"&gt;="&amp;$I$2,Results!$E:$E,"&lt;="&amp;$I$3,Results!$F:$F,"Positive",Results!$P:$P,"CXR")</f>
        <v>0</v>
      </c>
      <c r="D51" s="24"/>
      <c r="E51" s="48">
        <f>COUNTIFS(Results!$E:$E,"&gt;="&amp;$I$2,Results!$E:$E,"&lt;="&amp;$I$3,Results!$F:$F,"Negative",Results!$P:$P,"CXR")</f>
        <v>0</v>
      </c>
      <c r="F51" s="24"/>
      <c r="G51" s="49">
        <f>COUNTIFS(Results!$E:$E,"&gt;="&amp;$I$2,Results!$E:$E,"&lt;="&amp;$I$3,Results!$F:$F,"Negative",Results!$P:$P,"CXR")</f>
        <v>0</v>
      </c>
      <c r="H51" s="40"/>
      <c r="I51" s="40"/>
      <c r="J51" s="40"/>
      <c r="K51" s="40"/>
      <c r="L51" s="40"/>
      <c r="M51" s="40"/>
      <c r="N51" s="40"/>
      <c r="O51" s="40"/>
      <c r="P51" s="40"/>
      <c r="Q51" s="40"/>
      <c r="R51" s="40"/>
      <c r="S51" s="40"/>
      <c r="T51" s="40"/>
      <c r="U51" s="40"/>
      <c r="V51" s="40"/>
      <c r="W51" s="40"/>
      <c r="X51" s="40"/>
      <c r="Y51" s="40"/>
      <c r="Z51" s="40"/>
    </row>
    <row r="52" ht="14.25" customHeight="1">
      <c r="A52" s="15"/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t="14.25" customHeight="1">
      <c r="A53" s="15" t="s">
        <v>85</v>
      </c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t="14.25" customHeight="1">
      <c r="A54" s="28"/>
      <c r="B54" s="28"/>
      <c r="C54" s="23" t="s">
        <v>86</v>
      </c>
      <c r="D54" s="24"/>
      <c r="E54" s="23" t="s">
        <v>87</v>
      </c>
      <c r="F54" s="24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t="14.25" customHeight="1">
      <c r="A55" s="44" t="s">
        <v>88</v>
      </c>
      <c r="B55" s="45"/>
      <c r="C55" s="23"/>
      <c r="D55" s="24"/>
      <c r="E55" s="23"/>
      <c r="F55" s="24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t="14.25" customHeight="1">
      <c r="A56" s="44" t="s">
        <v>89</v>
      </c>
      <c r="B56" s="45"/>
      <c r="C56" s="23"/>
      <c r="D56" s="24"/>
      <c r="E56" s="23"/>
      <c r="F56" s="24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t="14.25" customHeight="1">
      <c r="A57" s="44" t="s">
        <v>90</v>
      </c>
      <c r="B57" s="45"/>
      <c r="C57" s="23">
        <f>COUNTIFS(Results!$E:$E,"&gt;="&amp;$I$2,Results!$E:$E,"&lt;="&amp;$I$3)</f>
        <v>0</v>
      </c>
      <c r="D57" s="24"/>
      <c r="E57" s="23"/>
      <c r="F57" s="24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t="14.25" customHeight="1">
      <c r="A58" s="44" t="s">
        <v>91</v>
      </c>
      <c r="B58" s="45"/>
      <c r="C58" s="23">
        <f>C55+C56-C57</f>
        <v>0</v>
      </c>
      <c r="D58" s="24"/>
      <c r="E58" s="23"/>
      <c r="F58" s="24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t="14.25" customHeight="1">
      <c r="A59" s="50" t="s">
        <v>92</v>
      </c>
      <c r="B59" s="50"/>
      <c r="C59" s="50">
        <f>COUNTIFS(Results!$E:$E,"&gt;="&amp;$I$2,Results!$E:$E,"&lt;="&amp;$I$3,Results!$F:$F,"Error")+COUNTIFS(Results!$E:$E,"&gt;="&amp;$I$2,Results!$E:$E,"&lt;="&amp;$I$3,Results!$F:$F,"Invalid")</f>
        <v>0</v>
      </c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t="14.25" customHeight="1">
      <c r="A60" s="50" t="s">
        <v>93</v>
      </c>
      <c r="B60" s="15"/>
      <c r="C60" s="50">
        <f>COUNTIFS(Results!$E:$E,"&gt;="&amp;$I$2,Results!$E:$E,"&lt;="&amp;$I$3,Results!$F:$F,"No Result")</f>
        <v>0</v>
      </c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t="14.25" customHeight="1">
      <c r="A61" s="15"/>
      <c r="B61" s="15"/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t="14.25" customHeight="1">
      <c r="A62" s="15"/>
      <c r="B62" s="15"/>
      <c r="C62" s="15"/>
      <c r="D62" s="15"/>
      <c r="E62" s="15" t="s">
        <v>94</v>
      </c>
      <c r="F62" s="51"/>
      <c r="G62" s="51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t="14.25" customHeight="1">
      <c r="A63" s="15"/>
      <c r="B63" s="15"/>
      <c r="C63" s="15"/>
      <c r="D63" s="15"/>
      <c r="E63" s="15" t="s">
        <v>95</v>
      </c>
      <c r="F63" s="52"/>
      <c r="G63" s="52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t="14.25" customHeight="1">
      <c r="A64" s="15"/>
      <c r="B64" s="15"/>
      <c r="C64" s="15"/>
      <c r="D64" s="15"/>
      <c r="E64" s="15" t="s">
        <v>96</v>
      </c>
      <c r="F64" s="52"/>
      <c r="G64" s="52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t="14.25" customHeight="1">
      <c r="A65" s="15"/>
      <c r="B65" s="15"/>
      <c r="C65" s="15"/>
      <c r="D65" s="15"/>
      <c r="E65" s="15" t="s">
        <v>97</v>
      </c>
      <c r="F65" s="52"/>
      <c r="G65" s="52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t="14.25" customHeight="1">
      <c r="A66" s="15"/>
      <c r="B66" s="15"/>
      <c r="C66" s="15"/>
      <c r="D66" s="15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t="14.25" customHeight="1">
      <c r="A67" s="15"/>
      <c r="B67" s="15"/>
      <c r="C67" s="15"/>
      <c r="D67" s="15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t="14.25" customHeight="1">
      <c r="A68" s="15"/>
      <c r="B68" s="15"/>
      <c r="C68" s="15"/>
      <c r="D68" s="15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t="14.25" customHeight="1">
      <c r="A69" s="15"/>
      <c r="B69" s="15"/>
      <c r="C69" s="15"/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t="14.25" customHeight="1">
      <c r="A70" s="15"/>
      <c r="B70" s="15"/>
      <c r="C70" s="15"/>
      <c r="D70" s="15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t="14.25" customHeight="1">
      <c r="A71" s="15"/>
      <c r="B71" s="15"/>
      <c r="C71" s="15"/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t="14.25" customHeight="1">
      <c r="A72" s="15"/>
      <c r="B72" s="15"/>
      <c r="C72" s="15"/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t="14.25" customHeight="1">
      <c r="A73" s="15"/>
      <c r="B73" s="15"/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t="14.25" customHeight="1">
      <c r="A74" s="15"/>
      <c r="B74" s="15"/>
      <c r="C74" s="15"/>
      <c r="D74" s="15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t="14.25" customHeight="1">
      <c r="A75" s="15"/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t="14.25" customHeight="1">
      <c r="A76" s="15"/>
      <c r="B76" s="15"/>
      <c r="C76" s="15"/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t="14.25" customHeight="1">
      <c r="A77" s="15"/>
      <c r="B77" s="15"/>
      <c r="C77" s="15"/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t="14.25" customHeight="1">
      <c r="A78" s="15"/>
      <c r="B78" s="15"/>
      <c r="C78" s="15"/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t="14.25" customHeight="1">
      <c r="A79" s="15"/>
      <c r="B79" s="15"/>
      <c r="C79" s="15"/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t="14.25" customHeight="1">
      <c r="A80" s="15"/>
      <c r="B80" s="15"/>
      <c r="C80" s="15"/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t="14.25" customHeight="1">
      <c r="A81" s="15"/>
      <c r="B81" s="15"/>
      <c r="C81" s="15"/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t="14.25" customHeight="1">
      <c r="A82" s="15"/>
      <c r="B82" s="15"/>
      <c r="C82" s="15"/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t="14.25" customHeight="1">
      <c r="A83" s="15"/>
      <c r="B83" s="15"/>
      <c r="C83" s="15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t="14.25" customHeight="1">
      <c r="A84" s="15"/>
      <c r="B84" s="15"/>
      <c r="C84" s="15"/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t="14.25" customHeight="1">
      <c r="A85" s="15"/>
      <c r="B85" s="15"/>
      <c r="C85" s="15"/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t="14.25" customHeight="1">
      <c r="A86" s="15"/>
      <c r="B86" s="15"/>
      <c r="C86" s="15"/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t="14.25" customHeight="1">
      <c r="A87" s="15"/>
      <c r="B87" s="15"/>
      <c r="C87" s="15"/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t="14.25" customHeight="1">
      <c r="A88" s="15"/>
      <c r="B88" s="15"/>
      <c r="C88" s="15"/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t="14.25" customHeight="1">
      <c r="A89" s="15"/>
      <c r="B89" s="15"/>
      <c r="C89" s="15"/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t="14.25" customHeight="1">
      <c r="A90" s="15"/>
      <c r="B90" s="15"/>
      <c r="C90" s="15"/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t="14.25" customHeight="1">
      <c r="A91" s="15"/>
      <c r="B91" s="15"/>
      <c r="C91" s="15"/>
      <c r="D91" s="15"/>
      <c r="E91" s="15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t="14.25" customHeight="1">
      <c r="A92" s="15"/>
      <c r="B92" s="15"/>
      <c r="C92" s="15"/>
      <c r="D92" s="15"/>
      <c r="E92" s="15"/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t="14.25" customHeight="1">
      <c r="A93" s="15"/>
      <c r="B93" s="15"/>
      <c r="C93" s="15"/>
      <c r="D93" s="15"/>
      <c r="E93" s="15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t="14.25" customHeight="1">
      <c r="A94" s="15"/>
      <c r="B94" s="15"/>
      <c r="C94" s="15"/>
      <c r="D94" s="15"/>
      <c r="E94" s="15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t="14.25" customHeight="1">
      <c r="A95" s="15"/>
      <c r="B95" s="15"/>
      <c r="C95" s="15"/>
      <c r="D95" s="15"/>
      <c r="E95" s="15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t="14.25" customHeight="1">
      <c r="A96" s="15"/>
      <c r="B96" s="15"/>
      <c r="C96" s="15"/>
      <c r="D96" s="15"/>
      <c r="E96" s="15"/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t="14.25" customHeight="1">
      <c r="A97" s="15"/>
      <c r="B97" s="15"/>
      <c r="C97" s="15"/>
      <c r="D97" s="15"/>
      <c r="E97" s="15"/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t="14.25" customHeight="1">
      <c r="A98" s="15"/>
      <c r="B98" s="15"/>
      <c r="C98" s="15"/>
      <c r="D98" s="15"/>
      <c r="E98" s="15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t="14.25" customHeight="1">
      <c r="A99" s="15"/>
      <c r="B99" s="15"/>
      <c r="C99" s="15"/>
      <c r="D99" s="15"/>
      <c r="E99" s="15"/>
      <c r="F99" s="15"/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t="14.25" customHeight="1">
      <c r="A100" s="15"/>
      <c r="B100" s="15"/>
      <c r="C100" s="15"/>
      <c r="D100" s="15"/>
      <c r="E100" s="15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t="14.25" customHeight="1">
      <c r="A101" s="15"/>
      <c r="B101" s="15"/>
      <c r="C101" s="15"/>
      <c r="D101" s="15"/>
      <c r="E101" s="15"/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t="14.25" customHeight="1">
      <c r="A102" s="15"/>
      <c r="B102" s="15"/>
      <c r="C102" s="15"/>
      <c r="D102" s="15"/>
      <c r="E102" s="15"/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t="14.25" customHeight="1">
      <c r="A103" s="15"/>
      <c r="B103" s="15"/>
      <c r="C103" s="15"/>
      <c r="D103" s="15"/>
      <c r="E103" s="15"/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t="14.25" customHeight="1">
      <c r="A104" s="15"/>
      <c r="B104" s="15"/>
      <c r="C104" s="15"/>
      <c r="D104" s="15"/>
      <c r="E104" s="15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t="14.25" customHeight="1">
      <c r="A105" s="15"/>
      <c r="B105" s="15"/>
      <c r="C105" s="15"/>
      <c r="D105" s="15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t="14.25" customHeight="1">
      <c r="A106" s="15"/>
      <c r="B106" s="15"/>
      <c r="C106" s="15"/>
      <c r="D106" s="15"/>
      <c r="E106" s="15"/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t="14.25" customHeight="1">
      <c r="A107" s="15"/>
      <c r="B107" s="15"/>
      <c r="C107" s="15"/>
      <c r="D107" s="15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t="14.25" customHeight="1">
      <c r="A108" s="15"/>
      <c r="B108" s="15"/>
      <c r="C108" s="15"/>
      <c r="D108" s="15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t="14.25" customHeight="1">
      <c r="A109" s="15"/>
      <c r="B109" s="15"/>
      <c r="C109" s="15"/>
      <c r="D109" s="15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t="14.25" customHeight="1">
      <c r="A110" s="15"/>
      <c r="B110" s="15"/>
      <c r="C110" s="15"/>
      <c r="D110" s="15"/>
      <c r="E110" s="15"/>
      <c r="F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t="14.25" customHeight="1">
      <c r="A111" s="15"/>
      <c r="B111" s="15"/>
      <c r="C111" s="15"/>
      <c r="D111" s="15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t="14.25" customHeight="1">
      <c r="A112" s="15"/>
      <c r="B112" s="15"/>
      <c r="C112" s="15"/>
      <c r="D112" s="15"/>
      <c r="E112" s="15"/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t="14.25" customHeight="1">
      <c r="A113" s="15"/>
      <c r="B113" s="15"/>
      <c r="C113" s="15"/>
      <c r="D113" s="15"/>
      <c r="E113" s="15"/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t="14.25" customHeight="1">
      <c r="A114" s="15"/>
      <c r="B114" s="15"/>
      <c r="C114" s="15"/>
      <c r="D114" s="15"/>
      <c r="E114" s="15"/>
      <c r="F114" s="15"/>
      <c r="G114" s="15"/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t="14.25" customHeight="1">
      <c r="A115" s="15"/>
      <c r="B115" s="15"/>
      <c r="C115" s="15"/>
      <c r="D115" s="15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t="14.25" customHeight="1">
      <c r="A116" s="15"/>
      <c r="B116" s="15"/>
      <c r="C116" s="15"/>
      <c r="D116" s="15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t="14.25" customHeight="1">
      <c r="A117" s="15"/>
      <c r="B117" s="15"/>
      <c r="C117" s="15"/>
      <c r="D117" s="15"/>
      <c r="E117" s="15"/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t="14.25" customHeight="1">
      <c r="A118" s="15"/>
      <c r="B118" s="15"/>
      <c r="C118" s="15"/>
      <c r="D118" s="15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t="14.25" customHeight="1">
      <c r="A119" s="15"/>
      <c r="B119" s="15"/>
      <c r="C119" s="15"/>
      <c r="D119" s="15"/>
      <c r="E119" s="15"/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t="14.25" customHeight="1">
      <c r="A120" s="15"/>
      <c r="B120" s="15"/>
      <c r="C120" s="15"/>
      <c r="D120" s="15"/>
      <c r="E120" s="15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t="14.25" customHeight="1">
      <c r="A121" s="15"/>
      <c r="B121" s="15"/>
      <c r="C121" s="15"/>
      <c r="D121" s="15"/>
      <c r="E121" s="15"/>
      <c r="F121" s="15"/>
      <c r="G121" s="15"/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t="14.25" customHeight="1">
      <c r="A122" s="15"/>
      <c r="B122" s="15"/>
      <c r="C122" s="15"/>
      <c r="D122" s="15"/>
      <c r="E122" s="15"/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t="14.25" customHeight="1">
      <c r="A123" s="15"/>
      <c r="B123" s="15"/>
      <c r="C123" s="15"/>
      <c r="D123" s="15"/>
      <c r="E123" s="15"/>
      <c r="F123" s="15"/>
      <c r="G123" s="15"/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t="14.25" customHeight="1">
      <c r="A124" s="15"/>
      <c r="B124" s="15"/>
      <c r="C124" s="15"/>
      <c r="D124" s="15"/>
      <c r="E124" s="15"/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t="14.25" customHeight="1">
      <c r="A125" s="15"/>
      <c r="B125" s="15"/>
      <c r="C125" s="15"/>
      <c r="D125" s="15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t="14.25" customHeight="1">
      <c r="A126" s="15"/>
      <c r="B126" s="15"/>
      <c r="C126" s="15"/>
      <c r="D126" s="15"/>
      <c r="E126" s="15"/>
      <c r="F126" s="15"/>
      <c r="G126" s="15"/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t="14.25" customHeight="1">
      <c r="A127" s="15"/>
      <c r="B127" s="15"/>
      <c r="C127" s="15"/>
      <c r="D127" s="15"/>
      <c r="E127" s="15"/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t="14.25" customHeight="1">
      <c r="A128" s="15"/>
      <c r="B128" s="15"/>
      <c r="C128" s="15"/>
      <c r="D128" s="15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t="14.25" customHeight="1">
      <c r="A129" s="15"/>
      <c r="B129" s="15"/>
      <c r="C129" s="15"/>
      <c r="D129" s="15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t="14.25" customHeight="1">
      <c r="A130" s="15"/>
      <c r="B130" s="15"/>
      <c r="C130" s="15"/>
      <c r="D130" s="15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t="14.25" customHeight="1">
      <c r="A131" s="15"/>
      <c r="B131" s="15"/>
      <c r="C131" s="15"/>
      <c r="D131" s="15"/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t="14.25" customHeight="1">
      <c r="A132" s="15"/>
      <c r="B132" s="15"/>
      <c r="C132" s="15"/>
      <c r="D132" s="15"/>
      <c r="E132" s="15"/>
      <c r="F132" s="15"/>
      <c r="G132" s="15"/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t="14.25" customHeight="1">
      <c r="A133" s="15"/>
      <c r="B133" s="15"/>
      <c r="C133" s="15"/>
      <c r="D133" s="15"/>
      <c r="E133" s="15"/>
      <c r="F133" s="15"/>
      <c r="G133" s="15"/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t="14.25" customHeight="1">
      <c r="A134" s="15"/>
      <c r="B134" s="15"/>
      <c r="C134" s="15"/>
      <c r="D134" s="15"/>
      <c r="E134" s="15"/>
      <c r="F134" s="15"/>
      <c r="G134" s="15"/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t="14.25" customHeight="1">
      <c r="A135" s="15"/>
      <c r="B135" s="15"/>
      <c r="C135" s="15"/>
      <c r="D135" s="15"/>
      <c r="E135" s="15"/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t="14.25" customHeight="1">
      <c r="A136" s="15"/>
      <c r="B136" s="15"/>
      <c r="C136" s="15"/>
      <c r="D136" s="15"/>
      <c r="E136" s="15"/>
      <c r="F136" s="15"/>
      <c r="G136" s="15"/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t="14.25" customHeight="1">
      <c r="A137" s="15"/>
      <c r="B137" s="15"/>
      <c r="C137" s="15"/>
      <c r="D137" s="15"/>
      <c r="E137" s="15"/>
      <c r="F137" s="15"/>
      <c r="G137" s="15"/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t="14.25" customHeight="1">
      <c r="A138" s="15"/>
      <c r="B138" s="15"/>
      <c r="C138" s="15"/>
      <c r="D138" s="15"/>
      <c r="E138" s="15"/>
      <c r="F138" s="15"/>
      <c r="G138" s="15"/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t="14.25" customHeight="1">
      <c r="A139" s="15"/>
      <c r="B139" s="15"/>
      <c r="C139" s="15"/>
      <c r="D139" s="15"/>
      <c r="E139" s="15"/>
      <c r="F139" s="15"/>
      <c r="G139" s="15"/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t="14.25" customHeight="1">
      <c r="A140" s="15"/>
      <c r="B140" s="15"/>
      <c r="C140" s="15"/>
      <c r="D140" s="15"/>
      <c r="E140" s="15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t="14.25" customHeight="1">
      <c r="A141" s="15"/>
      <c r="B141" s="15"/>
      <c r="C141" s="15"/>
      <c r="D141" s="15"/>
      <c r="E141" s="15"/>
      <c r="F141" s="15"/>
      <c r="G141" s="15"/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t="14.25" customHeight="1">
      <c r="A142" s="15"/>
      <c r="B142" s="15"/>
      <c r="C142" s="15"/>
      <c r="D142" s="15"/>
      <c r="E142" s="15"/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t="14.25" customHeight="1">
      <c r="A143" s="15"/>
      <c r="B143" s="15"/>
      <c r="C143" s="15"/>
      <c r="D143" s="15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t="14.25" customHeight="1">
      <c r="A144" s="15"/>
      <c r="B144" s="15"/>
      <c r="C144" s="15"/>
      <c r="D144" s="15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t="14.25" customHeight="1">
      <c r="A145" s="15"/>
      <c r="B145" s="15"/>
      <c r="C145" s="15"/>
      <c r="D145" s="15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t="14.25" customHeight="1">
      <c r="A146" s="15"/>
      <c r="B146" s="15"/>
      <c r="C146" s="15"/>
      <c r="D146" s="15"/>
      <c r="E146" s="15"/>
      <c r="F146" s="15"/>
      <c r="G146" s="15"/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t="14.25" customHeight="1">
      <c r="A147" s="15"/>
      <c r="B147" s="15"/>
      <c r="C147" s="15"/>
      <c r="D147" s="15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t="14.25" customHeight="1">
      <c r="A148" s="15"/>
      <c r="B148" s="15"/>
      <c r="C148" s="15"/>
      <c r="D148" s="15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t="14.25" customHeight="1">
      <c r="A149" s="15"/>
      <c r="B149" s="15"/>
      <c r="C149" s="15"/>
      <c r="D149" s="15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t="14.25" customHeight="1">
      <c r="A150" s="15"/>
      <c r="B150" s="15"/>
      <c r="C150" s="15"/>
      <c r="D150" s="15"/>
      <c r="E150" s="15"/>
      <c r="F150" s="15"/>
      <c r="G150" s="15"/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t="14.25" customHeight="1">
      <c r="A151" s="15"/>
      <c r="B151" s="15"/>
      <c r="C151" s="15"/>
      <c r="D151" s="15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t="14.25" customHeight="1">
      <c r="A152" s="15"/>
      <c r="B152" s="15"/>
      <c r="C152" s="15"/>
      <c r="D152" s="15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t="14.25" customHeight="1">
      <c r="A153" s="15"/>
      <c r="B153" s="15"/>
      <c r="C153" s="15"/>
      <c r="D153" s="15"/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t="14.25" customHeight="1">
      <c r="A154" s="15"/>
      <c r="B154" s="15"/>
      <c r="C154" s="15"/>
      <c r="D154" s="15"/>
      <c r="E154" s="15"/>
      <c r="F154" s="15"/>
      <c r="G154" s="15"/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t="14.25" customHeight="1">
      <c r="A155" s="15"/>
      <c r="B155" s="15"/>
      <c r="C155" s="15"/>
      <c r="D155" s="15"/>
      <c r="E155" s="15"/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t="14.25" customHeight="1">
      <c r="A156" s="15"/>
      <c r="B156" s="15"/>
      <c r="C156" s="15"/>
      <c r="D156" s="15"/>
      <c r="E156" s="15"/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t="14.25" customHeight="1">
      <c r="A157" s="15"/>
      <c r="B157" s="15"/>
      <c r="C157" s="15"/>
      <c r="D157" s="15"/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t="14.25" customHeight="1">
      <c r="A158" s="15"/>
      <c r="B158" s="15"/>
      <c r="C158" s="15"/>
      <c r="D158" s="15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t="14.25" customHeight="1">
      <c r="A159" s="15"/>
      <c r="B159" s="15"/>
      <c r="C159" s="15"/>
      <c r="D159" s="15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t="14.25" customHeight="1">
      <c r="A160" s="15"/>
      <c r="B160" s="15"/>
      <c r="C160" s="15"/>
      <c r="D160" s="15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t="14.25" customHeight="1">
      <c r="A161" s="15"/>
      <c r="B161" s="15"/>
      <c r="C161" s="15"/>
      <c r="D161" s="15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t="14.25" customHeight="1">
      <c r="A162" s="15"/>
      <c r="B162" s="15"/>
      <c r="C162" s="15"/>
      <c r="D162" s="15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t="14.25" customHeight="1">
      <c r="A163" s="15"/>
      <c r="B163" s="15"/>
      <c r="C163" s="15"/>
      <c r="D163" s="15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t="14.25" customHeight="1">
      <c r="A164" s="15"/>
      <c r="B164" s="15"/>
      <c r="C164" s="15"/>
      <c r="D164" s="15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t="14.25" customHeight="1">
      <c r="A165" s="15"/>
      <c r="B165" s="15"/>
      <c r="C165" s="15"/>
      <c r="D165" s="15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t="14.25" customHeight="1">
      <c r="A166" s="15"/>
      <c r="B166" s="15"/>
      <c r="C166" s="15"/>
      <c r="D166" s="15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t="14.25" customHeight="1">
      <c r="A167" s="15"/>
      <c r="B167" s="15"/>
      <c r="C167" s="15"/>
      <c r="D167" s="15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t="14.25" customHeight="1">
      <c r="A168" s="15"/>
      <c r="B168" s="15"/>
      <c r="C168" s="15"/>
      <c r="D168" s="15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t="14.25" customHeight="1">
      <c r="A169" s="15"/>
      <c r="B169" s="15"/>
      <c r="C169" s="15"/>
      <c r="D169" s="15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t="14.25" customHeight="1">
      <c r="A170" s="15"/>
      <c r="B170" s="15"/>
      <c r="C170" s="15"/>
      <c r="D170" s="15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t="14.25" customHeight="1">
      <c r="A171" s="15"/>
      <c r="B171" s="15"/>
      <c r="C171" s="15"/>
      <c r="D171" s="15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t="14.25" customHeight="1">
      <c r="A172" s="15"/>
      <c r="B172" s="15"/>
      <c r="C172" s="15"/>
      <c r="D172" s="15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t="14.25" customHeight="1">
      <c r="A173" s="15"/>
      <c r="B173" s="15"/>
      <c r="C173" s="15"/>
      <c r="D173" s="15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t="14.25" customHeight="1">
      <c r="A174" s="15"/>
      <c r="B174" s="15"/>
      <c r="C174" s="15"/>
      <c r="D174" s="15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t="14.25" customHeight="1">
      <c r="A175" s="15"/>
      <c r="B175" s="15"/>
      <c r="C175" s="15"/>
      <c r="D175" s="15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t="14.25" customHeight="1">
      <c r="A176" s="15"/>
      <c r="B176" s="15"/>
      <c r="C176" s="15"/>
      <c r="D176" s="15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t="14.25" customHeight="1">
      <c r="A177" s="15"/>
      <c r="B177" s="15"/>
      <c r="C177" s="15"/>
      <c r="D177" s="15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t="14.25" customHeight="1">
      <c r="A178" s="15"/>
      <c r="B178" s="15"/>
      <c r="C178" s="15"/>
      <c r="D178" s="15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t="14.25" customHeight="1">
      <c r="A179" s="15"/>
      <c r="B179" s="15"/>
      <c r="C179" s="15"/>
      <c r="D179" s="15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t="14.25" customHeight="1">
      <c r="A180" s="15"/>
      <c r="B180" s="15"/>
      <c r="C180" s="15"/>
      <c r="D180" s="15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t="14.25" customHeight="1">
      <c r="A181" s="15"/>
      <c r="B181" s="15"/>
      <c r="C181" s="15"/>
      <c r="D181" s="15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t="14.25" customHeight="1">
      <c r="A182" s="15"/>
      <c r="B182" s="15"/>
      <c r="C182" s="15"/>
      <c r="D182" s="15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t="14.25" customHeight="1">
      <c r="A183" s="15"/>
      <c r="B183" s="15"/>
      <c r="C183" s="15"/>
      <c r="D183" s="15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t="14.25" customHeight="1">
      <c r="A184" s="15"/>
      <c r="B184" s="15"/>
      <c r="C184" s="15"/>
      <c r="D184" s="15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t="14.25" customHeight="1">
      <c r="A185" s="15"/>
      <c r="B185" s="15"/>
      <c r="C185" s="15"/>
      <c r="D185" s="15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t="14.25" customHeight="1">
      <c r="A186" s="15"/>
      <c r="B186" s="15"/>
      <c r="C186" s="15"/>
      <c r="D186" s="15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t="14.25" customHeight="1">
      <c r="A187" s="15"/>
      <c r="B187" s="15"/>
      <c r="C187" s="15"/>
      <c r="D187" s="15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t="14.25" customHeight="1">
      <c r="A188" s="15"/>
      <c r="B188" s="15"/>
      <c r="C188" s="15"/>
      <c r="D188" s="15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t="14.25" customHeight="1">
      <c r="A189" s="15"/>
      <c r="B189" s="15"/>
      <c r="C189" s="15"/>
      <c r="D189" s="15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t="14.25" customHeight="1">
      <c r="A190" s="15"/>
      <c r="B190" s="15"/>
      <c r="C190" s="15"/>
      <c r="D190" s="15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t="14.25" customHeight="1">
      <c r="A191" s="15"/>
      <c r="B191" s="15"/>
      <c r="C191" s="15"/>
      <c r="D191" s="15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t="14.25" customHeight="1">
      <c r="A192" s="15"/>
      <c r="B192" s="15"/>
      <c r="C192" s="15"/>
      <c r="D192" s="15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t="14.25" customHeight="1">
      <c r="A193" s="15"/>
      <c r="B193" s="15"/>
      <c r="C193" s="15"/>
      <c r="D193" s="15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t="14.25" customHeight="1">
      <c r="A194" s="15"/>
      <c r="B194" s="15"/>
      <c r="C194" s="15"/>
      <c r="D194" s="15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t="14.25" customHeight="1">
      <c r="A195" s="15"/>
      <c r="B195" s="15"/>
      <c r="C195" s="15"/>
      <c r="D195" s="15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t="14.25" customHeight="1">
      <c r="A196" s="15"/>
      <c r="B196" s="15"/>
      <c r="C196" s="15"/>
      <c r="D196" s="15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t="14.25" customHeight="1">
      <c r="A197" s="15"/>
      <c r="B197" s="15"/>
      <c r="C197" s="15"/>
      <c r="D197" s="15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t="14.25" customHeight="1">
      <c r="A198" s="15"/>
      <c r="B198" s="15"/>
      <c r="C198" s="15"/>
      <c r="D198" s="15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t="14.25" customHeight="1">
      <c r="A199" s="15"/>
      <c r="B199" s="15"/>
      <c r="C199" s="15"/>
      <c r="D199" s="15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t="14.25" customHeight="1">
      <c r="A200" s="15"/>
      <c r="B200" s="15"/>
      <c r="C200" s="15"/>
      <c r="D200" s="15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t="14.25" customHeight="1">
      <c r="A201" s="15"/>
      <c r="B201" s="15"/>
      <c r="C201" s="15"/>
      <c r="D201" s="15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t="14.25" customHeight="1">
      <c r="A202" s="15"/>
      <c r="B202" s="15"/>
      <c r="C202" s="15"/>
      <c r="D202" s="15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t="14.25" customHeight="1">
      <c r="A203" s="15"/>
      <c r="B203" s="15"/>
      <c r="C203" s="15"/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t="14.25" customHeight="1">
      <c r="A204" s="15"/>
      <c r="B204" s="15"/>
      <c r="C204" s="15"/>
      <c r="D204" s="15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t="14.25" customHeight="1">
      <c r="A205" s="15"/>
      <c r="B205" s="15"/>
      <c r="C205" s="15"/>
      <c r="D205" s="15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t="14.25" customHeight="1">
      <c r="A206" s="15"/>
      <c r="B206" s="15"/>
      <c r="C206" s="15"/>
      <c r="D206" s="15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t="14.25" customHeight="1">
      <c r="A207" s="15"/>
      <c r="B207" s="15"/>
      <c r="C207" s="15"/>
      <c r="D207" s="15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t="14.25" customHeight="1">
      <c r="A208" s="15"/>
      <c r="B208" s="15"/>
      <c r="C208" s="15"/>
      <c r="D208" s="15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t="14.25" customHeight="1">
      <c r="A209" s="15"/>
      <c r="B209" s="15"/>
      <c r="C209" s="15"/>
      <c r="D209" s="15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t="14.25" customHeight="1">
      <c r="A210" s="15"/>
      <c r="B210" s="15"/>
      <c r="C210" s="15"/>
      <c r="D210" s="15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t="14.25" customHeight="1">
      <c r="A211" s="15"/>
      <c r="B211" s="15"/>
      <c r="C211" s="15"/>
      <c r="D211" s="15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t="14.25" customHeight="1">
      <c r="A212" s="15"/>
      <c r="B212" s="15"/>
      <c r="C212" s="15"/>
      <c r="D212" s="15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t="14.25" customHeight="1">
      <c r="A213" s="15"/>
      <c r="B213" s="15"/>
      <c r="C213" s="15"/>
      <c r="D213" s="15"/>
      <c r="E213" s="15"/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t="14.25" customHeight="1">
      <c r="A214" s="15"/>
      <c r="B214" s="15"/>
      <c r="C214" s="15"/>
      <c r="D214" s="15"/>
      <c r="E214" s="15"/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t="14.25" customHeight="1">
      <c r="A215" s="15"/>
      <c r="B215" s="15"/>
      <c r="C215" s="15"/>
      <c r="D215" s="15"/>
      <c r="E215" s="15"/>
      <c r="F215" s="15"/>
      <c r="G215" s="15"/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t="14.25" customHeight="1">
      <c r="A216" s="15"/>
      <c r="B216" s="15"/>
      <c r="C216" s="15"/>
      <c r="D216" s="15"/>
      <c r="E216" s="15"/>
      <c r="F216" s="15"/>
      <c r="G216" s="15"/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t="14.25" customHeight="1">
      <c r="A217" s="15"/>
      <c r="B217" s="15"/>
      <c r="C217" s="15"/>
      <c r="D217" s="15"/>
      <c r="E217" s="15"/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t="14.25" customHeight="1">
      <c r="A218" s="15"/>
      <c r="B218" s="15"/>
      <c r="C218" s="15"/>
      <c r="D218" s="15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t="14.25" customHeight="1">
      <c r="A219" s="15"/>
      <c r="B219" s="15"/>
      <c r="C219" s="15"/>
      <c r="D219" s="15"/>
      <c r="E219" s="15"/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t="14.25" customHeight="1">
      <c r="A220" s="15"/>
      <c r="B220" s="15"/>
      <c r="C220" s="15"/>
      <c r="D220" s="15"/>
      <c r="E220" s="15"/>
      <c r="F220" s="15"/>
      <c r="G220" s="15"/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t="14.25" customHeight="1">
      <c r="A221" s="15"/>
      <c r="B221" s="15"/>
      <c r="C221" s="15"/>
      <c r="D221" s="15"/>
      <c r="E221" s="15"/>
      <c r="F221" s="15"/>
      <c r="G221" s="15"/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t="14.25" customHeight="1">
      <c r="A222" s="15"/>
      <c r="B222" s="15"/>
      <c r="C222" s="15"/>
      <c r="D222" s="15"/>
      <c r="E222" s="15"/>
      <c r="F222" s="15"/>
      <c r="G222" s="15"/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t="14.25" customHeight="1">
      <c r="A223" s="15"/>
      <c r="B223" s="15"/>
      <c r="C223" s="15"/>
      <c r="D223" s="15"/>
      <c r="E223" s="15"/>
      <c r="F223" s="15"/>
      <c r="G223" s="15"/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t="14.25" customHeight="1">
      <c r="A224" s="15"/>
      <c r="B224" s="15"/>
      <c r="C224" s="15"/>
      <c r="D224" s="15"/>
      <c r="E224" s="15"/>
      <c r="F224" s="15"/>
      <c r="G224" s="15"/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t="14.25" customHeight="1">
      <c r="A225" s="15"/>
      <c r="B225" s="15"/>
      <c r="C225" s="15"/>
      <c r="D225" s="15"/>
      <c r="E225" s="15"/>
      <c r="F225" s="15"/>
      <c r="G225" s="15"/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t="14.25" customHeight="1">
      <c r="A226" s="15"/>
      <c r="B226" s="15"/>
      <c r="C226" s="15"/>
      <c r="D226" s="15"/>
      <c r="E226" s="15"/>
      <c r="F226" s="15"/>
      <c r="G226" s="15"/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t="14.25" customHeight="1">
      <c r="A227" s="15"/>
      <c r="B227" s="15"/>
      <c r="C227" s="15"/>
      <c r="D227" s="15"/>
      <c r="E227" s="15"/>
      <c r="F227" s="15"/>
      <c r="G227" s="15"/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t="14.25" customHeight="1">
      <c r="A228" s="15"/>
      <c r="B228" s="15"/>
      <c r="C228" s="15"/>
      <c r="D228" s="15"/>
      <c r="E228" s="15"/>
      <c r="F228" s="15"/>
      <c r="G228" s="15"/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t="14.25" customHeight="1">
      <c r="A229" s="15"/>
      <c r="B229" s="15"/>
      <c r="C229" s="15"/>
      <c r="D229" s="15"/>
      <c r="E229" s="15"/>
      <c r="F229" s="15"/>
      <c r="G229" s="15"/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t="14.25" customHeight="1">
      <c r="A230" s="15"/>
      <c r="B230" s="15"/>
      <c r="C230" s="15"/>
      <c r="D230" s="15"/>
      <c r="E230" s="15"/>
      <c r="F230" s="15"/>
      <c r="G230" s="15"/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t="14.25" customHeight="1">
      <c r="A231" s="15"/>
      <c r="B231" s="15"/>
      <c r="C231" s="15"/>
      <c r="D231" s="15"/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t="14.25" customHeight="1">
      <c r="A232" s="15"/>
      <c r="B232" s="15"/>
      <c r="C232" s="15"/>
      <c r="D232" s="15"/>
      <c r="E232" s="15"/>
      <c r="F232" s="15"/>
      <c r="G232" s="15"/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t="14.25" customHeight="1">
      <c r="A233" s="15"/>
      <c r="B233" s="15"/>
      <c r="C233" s="15"/>
      <c r="D233" s="15"/>
      <c r="E233" s="15"/>
      <c r="F233" s="15"/>
      <c r="G233" s="15"/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t="14.25" customHeight="1">
      <c r="A234" s="15"/>
      <c r="B234" s="15"/>
      <c r="C234" s="15"/>
      <c r="D234" s="15"/>
      <c r="E234" s="15"/>
      <c r="F234" s="15"/>
      <c r="G234" s="15"/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t="14.25" customHeight="1">
      <c r="A235" s="15"/>
      <c r="B235" s="15"/>
      <c r="C235" s="15"/>
      <c r="D235" s="15"/>
      <c r="E235" s="15"/>
      <c r="F235" s="15"/>
      <c r="G235" s="15"/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t="14.25" customHeight="1">
      <c r="A236" s="15"/>
      <c r="B236" s="15"/>
      <c r="C236" s="15"/>
      <c r="D236" s="15"/>
      <c r="E236" s="15"/>
      <c r="F236" s="15"/>
      <c r="G236" s="15"/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t="14.25" customHeight="1">
      <c r="A237" s="15"/>
      <c r="B237" s="15"/>
      <c r="C237" s="15"/>
      <c r="D237" s="15"/>
      <c r="E237" s="15"/>
      <c r="F237" s="15"/>
      <c r="G237" s="15"/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t="14.25" customHeight="1">
      <c r="A238" s="15"/>
      <c r="B238" s="15"/>
      <c r="C238" s="15"/>
      <c r="D238" s="15"/>
      <c r="E238" s="15"/>
      <c r="F238" s="15"/>
      <c r="G238" s="15"/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t="14.25" customHeight="1">
      <c r="A239" s="15"/>
      <c r="B239" s="15"/>
      <c r="C239" s="15"/>
      <c r="D239" s="15"/>
      <c r="E239" s="15"/>
      <c r="F239" s="15"/>
      <c r="G239" s="15"/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t="14.25" customHeight="1">
      <c r="A240" s="15"/>
      <c r="B240" s="15"/>
      <c r="C240" s="15"/>
      <c r="D240" s="15"/>
      <c r="E240" s="15"/>
      <c r="F240" s="15"/>
      <c r="G240" s="15"/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t="14.25" customHeight="1">
      <c r="A241" s="15"/>
      <c r="B241" s="15"/>
      <c r="C241" s="15"/>
      <c r="D241" s="15"/>
      <c r="E241" s="15"/>
      <c r="F241" s="15"/>
      <c r="G241" s="15"/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t="14.25" customHeight="1">
      <c r="A242" s="15"/>
      <c r="B242" s="15"/>
      <c r="C242" s="15"/>
      <c r="D242" s="15"/>
      <c r="E242" s="15"/>
      <c r="F242" s="15"/>
      <c r="G242" s="15"/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t="14.25" customHeight="1">
      <c r="A243" s="15"/>
      <c r="B243" s="15"/>
      <c r="C243" s="15"/>
      <c r="D243" s="15"/>
      <c r="E243" s="15"/>
      <c r="F243" s="15"/>
      <c r="G243" s="15"/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t="14.25" customHeight="1">
      <c r="A244" s="15"/>
      <c r="B244" s="15"/>
      <c r="C244" s="15"/>
      <c r="D244" s="15"/>
      <c r="E244" s="15"/>
      <c r="F244" s="15"/>
      <c r="G244" s="15"/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t="14.25" customHeight="1">
      <c r="A245" s="15"/>
      <c r="B245" s="15"/>
      <c r="C245" s="15"/>
      <c r="D245" s="15"/>
      <c r="E245" s="15"/>
      <c r="F245" s="15"/>
      <c r="G245" s="15"/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t="14.25" customHeight="1">
      <c r="A246" s="15"/>
      <c r="B246" s="15"/>
      <c r="C246" s="15"/>
      <c r="D246" s="15"/>
      <c r="E246" s="15"/>
      <c r="F246" s="15"/>
      <c r="G246" s="15"/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t="14.25" customHeight="1">
      <c r="A247" s="15"/>
      <c r="B247" s="15"/>
      <c r="C247" s="15"/>
      <c r="D247" s="15"/>
      <c r="E247" s="15"/>
      <c r="F247" s="15"/>
      <c r="G247" s="15"/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t="14.25" customHeight="1">
      <c r="A248" s="15"/>
      <c r="B248" s="15"/>
      <c r="C248" s="15"/>
      <c r="D248" s="15"/>
      <c r="E248" s="15"/>
      <c r="F248" s="15"/>
      <c r="G248" s="15"/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t="14.25" customHeight="1">
      <c r="A249" s="15"/>
      <c r="B249" s="15"/>
      <c r="C249" s="15"/>
      <c r="D249" s="15"/>
      <c r="E249" s="15"/>
      <c r="F249" s="15"/>
      <c r="G249" s="15"/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t="14.25" customHeight="1">
      <c r="A250" s="15"/>
      <c r="B250" s="15"/>
      <c r="C250" s="15"/>
      <c r="D250" s="15"/>
      <c r="E250" s="15"/>
      <c r="F250" s="15"/>
      <c r="G250" s="15"/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t="14.25" customHeight="1">
      <c r="A251" s="15"/>
      <c r="B251" s="15"/>
      <c r="C251" s="15"/>
      <c r="D251" s="15"/>
      <c r="E251" s="15"/>
      <c r="F251" s="15"/>
      <c r="G251" s="15"/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t="14.25" customHeight="1">
      <c r="A252" s="15"/>
      <c r="B252" s="15"/>
      <c r="C252" s="15"/>
      <c r="D252" s="15"/>
      <c r="E252" s="15"/>
      <c r="F252" s="15"/>
      <c r="G252" s="15"/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t="14.25" customHeight="1">
      <c r="A253" s="15"/>
      <c r="B253" s="15"/>
      <c r="C253" s="15"/>
      <c r="D253" s="15"/>
      <c r="E253" s="15"/>
      <c r="F253" s="15"/>
      <c r="G253" s="15"/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t="14.25" customHeight="1">
      <c r="A254" s="15"/>
      <c r="B254" s="15"/>
      <c r="C254" s="15"/>
      <c r="D254" s="15"/>
      <c r="E254" s="15"/>
      <c r="F254" s="15"/>
      <c r="G254" s="15"/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t="14.25" customHeight="1">
      <c r="A255" s="15"/>
      <c r="B255" s="15"/>
      <c r="C255" s="15"/>
      <c r="D255" s="15"/>
      <c r="E255" s="15"/>
      <c r="F255" s="15"/>
      <c r="G255" s="15"/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t="14.25" customHeight="1">
      <c r="A256" s="15"/>
      <c r="B256" s="15"/>
      <c r="C256" s="15"/>
      <c r="D256" s="15"/>
      <c r="E256" s="15"/>
      <c r="F256" s="15"/>
      <c r="G256" s="15"/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t="14.25" customHeight="1">
      <c r="A257" s="15"/>
      <c r="B257" s="15"/>
      <c r="C257" s="15"/>
      <c r="D257" s="15"/>
      <c r="E257" s="15"/>
      <c r="F257" s="15"/>
      <c r="G257" s="15"/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t="14.25" customHeight="1">
      <c r="A258" s="15"/>
      <c r="B258" s="15"/>
      <c r="C258" s="15"/>
      <c r="D258" s="15"/>
      <c r="E258" s="15"/>
      <c r="F258" s="15"/>
      <c r="G258" s="15"/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t="14.25" customHeight="1">
      <c r="A259" s="15"/>
      <c r="B259" s="15"/>
      <c r="C259" s="15"/>
      <c r="D259" s="15"/>
      <c r="E259" s="15"/>
      <c r="F259" s="15"/>
      <c r="G259" s="15"/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t="14.25" customHeight="1">
      <c r="A260" s="15"/>
      <c r="B260" s="15"/>
      <c r="C260" s="15"/>
      <c r="D260" s="15"/>
      <c r="E260" s="15"/>
      <c r="F260" s="15"/>
      <c r="G260" s="15"/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t="14.25" customHeight="1">
      <c r="A261" s="15"/>
      <c r="B261" s="15"/>
      <c r="C261" s="15"/>
      <c r="D261" s="15"/>
      <c r="E261" s="15"/>
      <c r="F261" s="15"/>
      <c r="G261" s="15"/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t="14.25" customHeight="1">
      <c r="A262" s="15"/>
      <c r="B262" s="15"/>
      <c r="C262" s="15"/>
      <c r="D262" s="15"/>
      <c r="E262" s="15"/>
      <c r="F262" s="15"/>
      <c r="G262" s="15"/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t="14.25" customHeight="1">
      <c r="A263" s="15"/>
      <c r="B263" s="15"/>
      <c r="C263" s="15"/>
      <c r="D263" s="15"/>
      <c r="E263" s="15"/>
      <c r="F263" s="15"/>
      <c r="G263" s="15"/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t="14.25" customHeight="1">
      <c r="A264" s="15"/>
      <c r="B264" s="15"/>
      <c r="C264" s="15"/>
      <c r="D264" s="15"/>
      <c r="E264" s="15"/>
      <c r="F264" s="15"/>
      <c r="G264" s="15"/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t="14.25" customHeight="1">
      <c r="A265" s="15"/>
      <c r="B265" s="15"/>
      <c r="C265" s="15"/>
      <c r="D265" s="15"/>
      <c r="E265" s="15"/>
      <c r="F265" s="15"/>
      <c r="G265" s="15"/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1">
    <mergeCell ref="G13:H15"/>
    <mergeCell ref="G16:H20"/>
    <mergeCell ref="G24:H26"/>
    <mergeCell ref="G27:H31"/>
    <mergeCell ref="A1:F1"/>
    <mergeCell ref="A7:A8"/>
    <mergeCell ref="B7:C7"/>
    <mergeCell ref="D7:E7"/>
    <mergeCell ref="F7:F8"/>
    <mergeCell ref="A13:A15"/>
    <mergeCell ref="A16:A20"/>
    <mergeCell ref="A24:A26"/>
    <mergeCell ref="A27:A31"/>
    <mergeCell ref="C41:D41"/>
    <mergeCell ref="E41:F41"/>
    <mergeCell ref="C42:D42"/>
    <mergeCell ref="E42:F42"/>
    <mergeCell ref="A35:A39"/>
    <mergeCell ref="C45:D45"/>
    <mergeCell ref="E45:F45"/>
    <mergeCell ref="C46:D46"/>
    <mergeCell ref="E46:F46"/>
    <mergeCell ref="H46:I48"/>
    <mergeCell ref="C47:D47"/>
    <mergeCell ref="E47:F47"/>
    <mergeCell ref="C54:D54"/>
    <mergeCell ref="C55:D55"/>
    <mergeCell ref="C56:D56"/>
    <mergeCell ref="C57:D57"/>
    <mergeCell ref="C58:D58"/>
    <mergeCell ref="E55:F55"/>
    <mergeCell ref="E56:F56"/>
    <mergeCell ref="E57:F57"/>
    <mergeCell ref="E58:F58"/>
    <mergeCell ref="C48:D48"/>
    <mergeCell ref="E48:F48"/>
    <mergeCell ref="E54:F54"/>
    <mergeCell ref="C50:D50"/>
    <mergeCell ref="E50:F50"/>
    <mergeCell ref="C51:D51"/>
    <mergeCell ref="E51:F51"/>
  </mergeCells>
  <conditionalFormatting sqref="G9">
    <cfRule type="notContainsBlanks" dxfId="0" priority="1">
      <formula>LEN(TRIM(G9))&gt;0</formula>
    </cfRule>
  </conditionalFormatting>
  <conditionalFormatting sqref="G13">
    <cfRule type="notContainsBlanks" dxfId="1" priority="2">
      <formula>LEN(TRIM(G13))&gt;0</formula>
    </cfRule>
  </conditionalFormatting>
  <conditionalFormatting sqref="G16">
    <cfRule type="notContainsBlanks" dxfId="1" priority="3">
      <formula>LEN(TRIM(G16))&gt;0</formula>
    </cfRule>
  </conditionalFormatting>
  <conditionalFormatting sqref="G24">
    <cfRule type="notContainsBlanks" dxfId="1" priority="4">
      <formula>LEN(TRIM(G24))&gt;0</formula>
    </cfRule>
  </conditionalFormatting>
  <conditionalFormatting sqref="G27">
    <cfRule type="notContainsBlanks" dxfId="1" priority="5">
      <formula>LEN(TRIM(G27))&gt;0</formula>
    </cfRule>
  </conditionalFormatting>
  <conditionalFormatting sqref="H46">
    <cfRule type="notContainsBlanks" dxfId="1" priority="6">
      <formula>LEN(TRIM(H46))&gt;0</formula>
    </cfRule>
  </conditionalFormatting>
  <conditionalFormatting sqref="I13:I20">
    <cfRule type="notContainsBlanks" dxfId="0" priority="7">
      <formula>LEN(TRIM(I13))&gt;0</formula>
    </cfRule>
  </conditionalFormatting>
  <conditionalFormatting sqref="I24:I31">
    <cfRule type="notContainsBlanks" dxfId="0" priority="8">
      <formula>LEN(TRIM(I24))&gt;0</formula>
    </cfRule>
  </conditionalFormatting>
  <conditionalFormatting sqref="J46:J48">
    <cfRule type="notContainsBlanks" dxfId="0" priority="9">
      <formula>LEN(TRIM(J46))&gt;0</formula>
    </cfRule>
  </conditionalFormatting>
  <printOptions/>
  <pageMargins bottom="0.75" footer="0.0" header="0.0" left="0.7" right="0.7" top="0.75"/>
  <pageSetup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13.78"/>
    <col customWidth="1" min="2" max="2" width="25.0"/>
    <col customWidth="1" min="3" max="3" width="8.0"/>
    <col customWidth="1" min="4" max="4" width="11.33"/>
    <col customWidth="1" min="5" max="5" width="9.33"/>
    <col customWidth="1" min="6" max="6" width="6.0"/>
    <col customWidth="1" min="7" max="7" width="9.44"/>
    <col customWidth="1" min="8" max="8" width="20.33"/>
    <col customWidth="1" min="9" max="9" width="20.44"/>
    <col customWidth="1" min="10" max="10" width="11.0"/>
    <col customWidth="1" min="11" max="12" width="10.78"/>
    <col customWidth="1" min="13" max="26" width="11.0"/>
  </cols>
  <sheetData>
    <row r="1" ht="14.25" customHeight="1">
      <c r="A1" s="14" t="s">
        <v>38</v>
      </c>
      <c r="G1" s="15"/>
      <c r="H1" s="15"/>
      <c r="I1" s="16" t="s">
        <v>39</v>
      </c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14.25" customHeight="1">
      <c r="A2" s="15"/>
      <c r="B2" s="15"/>
      <c r="C2" s="15"/>
      <c r="D2" s="15"/>
      <c r="E2" s="15"/>
      <c r="F2" s="15"/>
      <c r="G2" s="15"/>
      <c r="H2" s="17" t="s">
        <v>40</v>
      </c>
      <c r="I2" s="18" t="str">
        <f>DATE(F3, 1, 1)</f>
        <v>#VALUE!</v>
      </c>
      <c r="J2" s="15"/>
      <c r="K2" s="19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t="14.25" customHeight="1">
      <c r="A3" s="15" t="s">
        <v>100</v>
      </c>
      <c r="B3" s="15"/>
      <c r="C3" s="20" t="s">
        <v>101</v>
      </c>
      <c r="D3" s="15"/>
      <c r="E3" s="15" t="s">
        <v>43</v>
      </c>
      <c r="F3" s="20" t="str">
        <f>YEAR(Results!E3)</f>
        <v>#VALUE!</v>
      </c>
      <c r="G3" s="15"/>
      <c r="H3" s="17" t="s">
        <v>44</v>
      </c>
      <c r="I3" s="18" t="str">
        <f>EOMONTH(I2,2)</f>
        <v>#VALUE!</v>
      </c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t="14.25" customHeight="1">
      <c r="A4" s="15" t="s">
        <v>45</v>
      </c>
      <c r="B4" s="15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t="14.25" customHeight="1">
      <c r="A5" s="15"/>
      <c r="B5" s="15"/>
      <c r="C5" s="15"/>
      <c r="D5" s="15"/>
      <c r="E5" s="15"/>
      <c r="F5" s="15"/>
      <c r="G5" s="15"/>
      <c r="H5" s="15"/>
      <c r="I5" s="15"/>
      <c r="J5" s="15"/>
      <c r="K5" s="15"/>
      <c r="L5" s="15"/>
      <c r="M5" s="15"/>
      <c r="N5" s="15"/>
      <c r="O5" s="21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t="14.25" customHeight="1">
      <c r="A6" s="15" t="s">
        <v>46</v>
      </c>
      <c r="B6" s="15"/>
      <c r="C6" s="15"/>
      <c r="D6" s="15"/>
      <c r="E6" s="15"/>
      <c r="F6" s="15"/>
      <c r="G6" s="15"/>
      <c r="H6" s="15"/>
      <c r="I6" s="20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t="14.25" customHeight="1">
      <c r="A7" s="22"/>
      <c r="B7" s="23" t="s">
        <v>47</v>
      </c>
      <c r="C7" s="24"/>
      <c r="D7" s="23" t="s">
        <v>48</v>
      </c>
      <c r="E7" s="24"/>
      <c r="F7" s="25" t="s">
        <v>49</v>
      </c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t="14.25" customHeight="1">
      <c r="A8" s="26"/>
      <c r="B8" s="27" t="s">
        <v>50</v>
      </c>
      <c r="C8" s="27" t="s">
        <v>51</v>
      </c>
      <c r="D8" s="27" t="s">
        <v>50</v>
      </c>
      <c r="E8" s="27" t="s">
        <v>51</v>
      </c>
      <c r="F8" s="26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t="14.25" customHeight="1">
      <c r="A9" s="28"/>
      <c r="B9" s="28">
        <f>COUNTIFS(Results!$E:$E,"&gt;="&amp;$I$2,Results!$E:$E,"&lt;="&amp;$I$3,Results!$I:$I,"Male",Results!$J:$J,"&lt;15", Results!$F:$F,"*tive")</f>
        <v>0</v>
      </c>
      <c r="C9" s="28">
        <f>COUNTIFS(Results!$E:$E,"&gt;="&amp;$I$2,Results!$E:$E,"&lt;="&amp;$I$3,Results!$I:$I,"Male",Results!$J:$J,"&gt;=15", Results!$F:$F,"*tive")</f>
        <v>0</v>
      </c>
      <c r="D9" s="28">
        <f>COUNTIFS(Results!$E:$E,"&gt;="&amp;$I$2,Results!$E:$E,"&lt;="&amp;$I$3,Results!$I:$I,"Female",Results!$J:$J,"&lt;15", Results!$F:$F,"*tive")</f>
        <v>0</v>
      </c>
      <c r="E9" s="28">
        <f>COUNTIFS(Results!$E:$E,"&gt;="&amp;$I$2,Results!$E:$E,"&lt;="&amp;$I$3,Results!$I:$I,"Female",Results!$J:$J,"&gt;=15", Results!$F:$F,"*tive")</f>
        <v>0</v>
      </c>
      <c r="F9" s="28">
        <f>COUNTIFS(Results!$E:$E,"&gt;="&amp;$I$2,Results!$E:$E,"&lt;="&amp;$I$3, Results!$F:$F,"*tive", Results!$J:$J,"&lt;&gt;Not on Form", Results!$J:$J,"&lt;&gt;N/A", Results!$I:$I,"&lt;&gt;Not on Form", Results!$I:$I,"&lt;&gt;N/A")</f>
        <v>0</v>
      </c>
      <c r="G9" s="15" t="str">
        <f>IF(SUM(B9:E9)=F9,"","Check Total Value &amp; Category")</f>
        <v/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t="14.25" customHeight="1">
      <c r="A10" s="15"/>
      <c r="B10" s="15"/>
      <c r="C10" s="15"/>
      <c r="D10" s="15"/>
      <c r="E10" s="15"/>
      <c r="F10" s="15"/>
      <c r="G10" s="15"/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t="14.25" customHeight="1">
      <c r="A11" s="15" t="s">
        <v>52</v>
      </c>
      <c r="B11" s="15"/>
      <c r="C11" s="15"/>
      <c r="D11" s="15"/>
      <c r="E11" s="15"/>
      <c r="F11" s="15"/>
      <c r="G11" s="15"/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t="15.75" customHeight="1">
      <c r="A12" s="28"/>
      <c r="B12" s="28"/>
      <c r="C12" s="29" t="s">
        <v>53</v>
      </c>
      <c r="D12" s="29" t="s">
        <v>54</v>
      </c>
      <c r="E12" s="29" t="s">
        <v>55</v>
      </c>
      <c r="F12" s="29" t="s">
        <v>49</v>
      </c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t="15.75" customHeight="1">
      <c r="A13" s="30" t="s">
        <v>56</v>
      </c>
      <c r="B13" s="28" t="s">
        <v>57</v>
      </c>
      <c r="C13" s="28">
        <f>COUNTIFS(Results!$E:$E,"&gt;="&amp;$I$2,Results!$E:$E,"&lt;="&amp;$I$3,Results!$L:$L,"Positive",Results!$K:$K,"No", Results!$F:$F,"*tive") + COUNTIFS(Results!$E:$E,"&gt;="&amp;$I$2,Results!$E:$E,"&lt;="&amp;$I$3,Results!$L:$L,"Positive",Results!$K:$K,"On Treatment", Results!$F:$F,"*tive")</f>
        <v>0</v>
      </c>
      <c r="D13" s="28">
        <f>COUNTIFS(Results!$E:$E,"&gt;="&amp;$I$2,Results!$E:$E,"&lt;="&amp;$I$3,Results!$L:$L,"Positive",Results!$K:$K,"Yes", Results!$F:$F,"*tive")</f>
        <v>0</v>
      </c>
      <c r="E13" s="28">
        <f>COUNTIFS(Results!$E:$E,"&gt;="&amp;$I$2,Results!$E:$E,"&lt;="&amp;$I$3,Results!$L:$L,"Positive",Results!$K:$K,"Unknown", Results!$F:$F,"*tive")</f>
        <v>0</v>
      </c>
      <c r="F13" s="28">
        <f>COUNTIFS(Results!$E:$E,"&gt;="&amp;$I$2,Results!$E:$E,"&lt;="&amp;$I$3,Results!$L:$L,"Positive", Results!$F:$F,"*tive", Results!$K:$K,"&lt;&gt;Not on Form", Results!$K:$K,"&lt;&gt;N/A", Results!$L:$L,"&lt;&gt;Not on Form", Results!$L:$L,"&lt;&gt;N/A")</f>
        <v>0</v>
      </c>
      <c r="G13" s="31" t="str">
        <f>IF($F$9=SUM(F13:F15),"","Error! Microscopy result does NOT match, cross check: Missing information in Microscopy Result")</f>
        <v/>
      </c>
      <c r="I13" s="15" t="str">
        <f t="shared" ref="I13:I18" si="1">IF(SUM(C13:E13)=F13,"","Check Total Value &amp; Category")</f>
        <v/>
      </c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t="14.25" customHeight="1">
      <c r="A14" s="32"/>
      <c r="B14" s="28" t="s">
        <v>58</v>
      </c>
      <c r="C14" s="28">
        <f>COUNTIFS(Results!$E:$E,"&gt;="&amp;$I$2,Results!$E:$E,"&lt;="&amp;$I$3,Results!$L:$L,"Negative",Results!$K:$K,"No", Results!$F:$F,"*tive") + COUNTIFS(Results!$E:$E,"&gt;="&amp;$I$2,Results!$E:$E,"&lt;="&amp;$I$3,Results!$L:$L,"Negative",Results!$K:$K,"On Treatment", Results!$F:$F,"*tive")</f>
        <v>0</v>
      </c>
      <c r="D14" s="28">
        <f>COUNTIFS(Results!$E:$E,"&gt;="&amp;$I$2,Results!$E:$E,"&lt;="&amp;$I$3,Results!$L:$L,"Negative",Results!$K:$K,"Yes", Results!$F:$F,"*tive")</f>
        <v>0</v>
      </c>
      <c r="E14" s="28">
        <f>COUNTIFS(Results!$E:$E,"&gt;="&amp;$I$2,Results!$E:$E,"&lt;="&amp;$I$3,Results!$L:$L,"Negative",Results!$K:$K,"Unknown", Results!$F:$F,"*tive")</f>
        <v>0</v>
      </c>
      <c r="F14" s="28">
        <f>COUNTIFS(Results!$E:$E,"&gt;="&amp;$I$2,Results!$E:$E,"&lt;="&amp;$I$3,Results!$L:$L,"Negative", Results!$F:$F,"*tive",Results!$K:$K,"&lt;&gt;Not on Form", Results!$K:$K,"&lt;&gt;N/A", Results!$L:$L,"&lt;&gt;Not on Form", Results!$L:$L,"&lt;&gt;N/A")</f>
        <v>0</v>
      </c>
      <c r="G14" s="33"/>
      <c r="I14" s="15" t="str">
        <f t="shared" si="1"/>
        <v/>
      </c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t="14.25" customHeight="1">
      <c r="A15" s="26"/>
      <c r="B15" s="28" t="s">
        <v>59</v>
      </c>
      <c r="C15" s="28">
        <f>COUNTIFS(Results!$E:$E,"&gt;="&amp;$I$2,Results!$E:$E,"&lt;="&amp;$I$3,Results!$L:$L,"Not Done",Results!$K:$K,"No", Results!$F:$F,"*tive") + COUNTIFS(Results!$E:$E,"&gt;="&amp;$I$2,Results!$E:$E,"&lt;="&amp;$I$3,Results!$L:$L,"Not Done",Results!$K:$K,"On Treatment", Results!$F:$F,"*tive")</f>
        <v>0</v>
      </c>
      <c r="D15" s="28">
        <f>COUNTIFS(Results!$E:$E,"&gt;="&amp;$I$2,Results!$E:$E,"&lt;="&amp;$I$3,Results!$L:$L,"Not Done",Results!$K:$K,"Yes", Results!$F:$F,"*tive")</f>
        <v>0</v>
      </c>
      <c r="E15" s="28">
        <f>COUNTIFS(Results!$E:$E,"&gt;="&amp;$I$2,Results!$E:$E,"&lt;="&amp;$I$3,Results!$L:$L,"Not Done",Results!$K:$K,"Unknown", Results!$F:$F,"*tive")</f>
        <v>0</v>
      </c>
      <c r="F15" s="28">
        <f>COUNTIFS(Results!$E:$E,"&gt;="&amp;$I$2,Results!$E:$E,"&lt;="&amp;$I$3,Results!$L:$L,"Not Done", Results!$F:$F,"*tive", Results!$K:$K,"&lt;&gt;Not on Form", Results!$K:$K,"&lt;&gt;N/A", Results!$L:$L,"&lt;&gt;Not on Form", Results!$L:$L,"&lt;&gt;N/A")</f>
        <v>0</v>
      </c>
      <c r="G15" s="33"/>
      <c r="I15" s="15" t="str">
        <f t="shared" si="1"/>
        <v/>
      </c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t="14.25" customHeight="1">
      <c r="A16" s="25" t="s">
        <v>60</v>
      </c>
      <c r="B16" s="28" t="s">
        <v>61</v>
      </c>
      <c r="C16" s="28">
        <f>COUNTIFS(Results!$E:$E,"&gt;="&amp;$I$2,Results!$E:$E,"&lt;="&amp;$I$3,Results!$F:$F,"Negative",Results!$K:$K,"No") + COUNTIFS(Results!$E:$E,"&gt;="&amp;$I$2,Results!$E:$E,"&lt;="&amp;$I$3,Results!$F:$F,"Negative",Results!$K:$K,"On Treatment")</f>
        <v>0</v>
      </c>
      <c r="D16" s="28">
        <f>COUNTIFS(Results!$E:$E,"&gt;="&amp;$I$2,Results!$E:$E,"&lt;="&amp;$I$3,Results!$F:$F,"Negative",Results!$K:$K,"Yes")</f>
        <v>0</v>
      </c>
      <c r="E16" s="28">
        <f>COUNTIFS(Results!$E:$E,"&gt;="&amp;$I$2,Results!$E:$E,"&lt;="&amp;$I$3,Results!$F:$F,"Negative",Results!$K:$K,"Unknown")</f>
        <v>0</v>
      </c>
      <c r="F16" s="28">
        <f>COUNTIFS(Results!$E:$E,"&gt;="&amp;$I$2,Results!$E:$E,"&lt;="&amp;$I$3,Results!$F:$F,"Negative", Results!$K:$K,"&lt;&gt;Not on Form", Results!$K:$K,"&lt;&gt;N/A")</f>
        <v>0</v>
      </c>
      <c r="G16" s="31" t="str">
        <f>IF($F$9=SUM(F16:F20),"","Error! Cross information between Xpert result and treatment category are not match; possibly there will be Erorr or missing information on MTB result OR RIF result")</f>
        <v/>
      </c>
      <c r="I16" s="15" t="str">
        <f t="shared" si="1"/>
        <v/>
      </c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t="14.25" customHeight="1">
      <c r="A17" s="32"/>
      <c r="B17" s="28" t="s">
        <v>62</v>
      </c>
      <c r="C17" s="28">
        <f>COUNTIFS(Results!$E:$E,"&gt;="&amp;$I$2,Results!$E:$E,"&lt;="&amp;$I$3,Results!$F:$F,"Positive",Results!$G:$G,"Negative",Results!$K:$K,"No") + COUNTIFS(Results!$E:$E,"&gt;="&amp;$I$2,Results!$E:$E,"&lt;="&amp;$I$3,Results!$F:$F,"Positive",Results!$G:$G,"Negative",Results!$K:$K,"On Treatment")</f>
        <v>0</v>
      </c>
      <c r="D17" s="28">
        <f>COUNTIFS(Results!$E:$E,"&gt;="&amp;$I$2,Results!$E:$E,"&lt;="&amp;$I$3,Results!$F:$F,"Positive",Results!$G:$G,"Negative",Results!$K:$K,"Yes")</f>
        <v>0</v>
      </c>
      <c r="E17" s="28">
        <f>COUNTIFS(Results!$E:$E,"&gt;="&amp;$I$2,Results!$E:$E,"&lt;="&amp;$I$3,Results!$F:$F,"Positive",Results!$G:$G,"Negative",Results!$K:$K,"Unknown")</f>
        <v>0</v>
      </c>
      <c r="F17" s="28">
        <f>COUNTIFS(Results!$E:$E,"&gt;="&amp;$I$2,Results!$E:$E,"&lt;="&amp;$I$3,Results!$F:$F,"Positive",Results!$G:$G,"Negative", Results!$K:$K,"&lt;&gt;Not on Form", Results!$K:$K,"&lt;&gt;N/A")</f>
        <v>0</v>
      </c>
      <c r="G17" s="33"/>
      <c r="I17" s="15" t="str">
        <f t="shared" si="1"/>
        <v/>
      </c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t="14.25" customHeight="1">
      <c r="A18" s="32"/>
      <c r="B18" s="28" t="s">
        <v>63</v>
      </c>
      <c r="C18" s="28">
        <f>COUNTIFS(Results!$E:$E,"&gt;="&amp;$I$2,Results!$E:$E,"&lt;="&amp;$I$3,Results!$F:$F,"Positive",Results!$G:$G,"Positive",Results!$K:$K,"No") + COUNTIFS(Results!$E:$E,"&gt;="&amp;$I$2,Results!$E:$E,"&lt;="&amp;$I$3,Results!$F:$F,"Positive",Results!$G:$G,"Positive",Results!$K:$K,"On Treatment")</f>
        <v>0</v>
      </c>
      <c r="D18" s="28">
        <f>COUNTIFS(Results!$E:$E,"&gt;="&amp;$I$2,Results!$E:$E,"&lt;="&amp;$I$3,Results!$F:$F,"Positive",Results!$G:$G,"Positive",Results!$K:$K,"Yes")</f>
        <v>0</v>
      </c>
      <c r="E18" s="28">
        <f>COUNTIFS(Results!$E:$E,"&gt;="&amp;$I$2,Results!$E:$E,"&lt;="&amp;$I$3,Results!$F:$F,"Positive",Results!$G:$G,"Positive",Results!$K:$K,"Unknown")</f>
        <v>0</v>
      </c>
      <c r="F18" s="28">
        <f>COUNTIFS(Results!$E:$E,"&gt;="&amp;$I$2,Results!$E:$E,"&lt;="&amp;$I$3,Results!$F:$F,"Positive",Results!$G:$G,"Positive", Results!$K:$K,"&lt;&gt;Not on Form", Results!$K:$K,"&lt;&gt;N/A")</f>
        <v>0</v>
      </c>
      <c r="G18" s="33"/>
      <c r="I18" s="15" t="str">
        <f t="shared" si="1"/>
        <v/>
      </c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t="14.25" customHeight="1">
      <c r="A19" s="32"/>
      <c r="B19" s="28" t="s">
        <v>64</v>
      </c>
      <c r="C19" s="28">
        <f>COUNTIFS(Results!$E:$E,"&gt;="&amp;$I$2,Results!$E:$E,"&lt;="&amp;$I$3,Results!$F:$F,"Positive",Results!$G:$G,"Indeterminate",Results!$K:$K,"No") + COUNTIFS(Results!$E:$E,"&gt;="&amp;$I$2,Results!$E:$E,"&lt;="&amp;$I$3,Results!$F:$F,"Positive",Results!$G:$G,"Indeterminate",Results!$K:$K,"On Treatment")</f>
        <v>0</v>
      </c>
      <c r="D19" s="28">
        <f>COUNTIFS(Results!$E:$E,"&gt;="&amp;$I$2,Results!$E:$E,"&lt;="&amp;$I$3,Results!$F:$F,"Positive",Results!$G:$G,"Indeterminate",Results!$K:$K,"Yes")</f>
        <v>0</v>
      </c>
      <c r="E19" s="28">
        <f>COUNTIFS(Results!$E:$E,"&gt;="&amp;$I$2,Results!$E:$E,"&lt;="&amp;$I$3,Results!$F:$F,"Positive",Results!$G:$G,"Indeterminate",Results!$K:$K,"Unknown")</f>
        <v>0</v>
      </c>
      <c r="F19" s="28">
        <f>COUNTIFS(Results!$E:$E,"&gt;="&amp;$I$2,Results!$E:$E,"&lt;="&amp;$I$3,Results!$F:$F,"Positive",Results!$G:$G,"Indeterminate", Results!$K:$K,"&lt;&gt;Not on Form", Results!$K:$K,"&lt;&gt;N/A")</f>
        <v>0</v>
      </c>
      <c r="G19" s="33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t="14.25" customHeight="1">
      <c r="A20" s="26"/>
      <c r="B20" s="28" t="s">
        <v>65</v>
      </c>
      <c r="C20" s="28">
        <f>COUNTIFS(Results!$E:$E,"&gt;="&amp;$I$2,Results!$E:$E,"&lt;="&amp;$I$3,Results!$F:$F,"Trace",Results!$G:$G,"Indeterminate",Results!$K:$K,"No") + COUNTIFS(Results!$E:$E,"&gt;="&amp;$I$2,Results!$E:$E,"&lt;="&amp;$I$3,Results!$F:$F,"Trace",Results!$G:$G,"Indeterminate",Results!$K:$K,"On Treatment")</f>
        <v>0</v>
      </c>
      <c r="D20" s="28">
        <f>COUNTIFS(Results!$E:$E,"&gt;="&amp;$I$2,Results!$E:$E,"&lt;="&amp;$I$3,Results!$F:$F,"Trace",Results!$G:$G,"Indeterminate",Results!$K:$K,"Yes")</f>
        <v>0</v>
      </c>
      <c r="E20" s="28">
        <f>COUNTIFS(Results!$E:$E,"&gt;="&amp;$I$2,Results!$E:$E,"&lt;="&amp;$I$3,Results!$F:$F,"Trace",Results!$G:$G,"Indeterminate",Results!$K:$K,"Unknown")</f>
        <v>0</v>
      </c>
      <c r="F20" s="28">
        <f>COUNTIFS(Results!$E:$E,"&gt;="&amp;$I$2,Results!$E:$E,"&lt;="&amp;$I$3,Results!$F:$F,"Trace",Results!$G:$G,"Indeterminate", Results!$K:$K,"&lt;&gt;Not on Form", Results!$K:$K,"&lt;&gt;N/A")</f>
        <v>0</v>
      </c>
      <c r="G20" s="33"/>
      <c r="I20" s="15" t="str">
        <f>IF(SUM(C20:E20)=F20,"","Check Total Value &amp; Category")</f>
        <v/>
      </c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t="14.25" customHeight="1">
      <c r="A21" s="15"/>
      <c r="B21" s="15"/>
      <c r="C21" s="15"/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t="14.25" customHeight="1">
      <c r="A22" s="15" t="s">
        <v>66</v>
      </c>
      <c r="B22" s="15"/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t="31.5" customHeight="1">
      <c r="A23" s="28"/>
      <c r="B23" s="28"/>
      <c r="C23" s="34" t="s">
        <v>67</v>
      </c>
      <c r="D23" s="34" t="s">
        <v>68</v>
      </c>
      <c r="E23" s="27" t="s">
        <v>55</v>
      </c>
      <c r="F23" s="27" t="s">
        <v>49</v>
      </c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t="15.75" hidden="1" customHeight="1">
      <c r="A24" s="30" t="s">
        <v>56</v>
      </c>
      <c r="B24" s="28" t="s">
        <v>57</v>
      </c>
      <c r="C24" s="28">
        <f>COUNTIFS(Results!$E:$E,"&gt;="&amp;$I$2,Results!$E:$E,"&lt;="&amp;$I$3,Results!$L:$L,"Positive",Results!$H:$H,"Positive", Results!$F:$F,"*tive")</f>
        <v>0</v>
      </c>
      <c r="D24" s="28">
        <f>COUNTIFS(Results!$E:$E,"&gt;="&amp;$I$2,Results!$E:$E,"&lt;="&amp;$I$3,Results!$L:$L,"Positive",Results!$H:$H,"Negative", Results!$F:$F,"*tive")</f>
        <v>0</v>
      </c>
      <c r="E24" s="28">
        <f>COUNTIFS(Results!$E:$E,"&gt;="&amp;$I$2,Results!$E:$E,"&lt;="&amp;$I$3,Results!$L:$L,"Positive",Results!$H:$H,"Unknown", Results!$F:$F,"*tive")</f>
        <v>0</v>
      </c>
      <c r="F24" s="28">
        <f>COUNTIFS(Results!$E:$E,"&gt;="&amp;$I$2,Results!$E:$E,"&lt;="&amp;$I$3,Results!$L:$L,"Positive", Results!$F:$F,"*tive", Results!$H:$H,"&lt;&gt;Not on Form", Results!$H:$H,"&lt;&gt;N/A", Results!$L:$L,"&lt;&gt;Not on Form", Results!$L:$L,"&lt;&gt;N/A")</f>
        <v>0</v>
      </c>
      <c r="G24" s="31" t="str">
        <f>IF($F$9=SUM(F24:F26),"","Error! Microscope Result and HIV Status do NOT match; Crosscheck for missing information in Microscope Result OR HIV Status")</f>
        <v/>
      </c>
      <c r="I24" s="15" t="str">
        <f t="shared" ref="I24:I29" si="2">IF(SUM(C24:E24)=F24,"","Check Total Value &amp; Category")</f>
        <v/>
      </c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t="14.25" hidden="1" customHeight="1">
      <c r="A25" s="32"/>
      <c r="B25" s="28" t="s">
        <v>58</v>
      </c>
      <c r="C25" s="28">
        <f>COUNTIFS(Results!$E:$E,"&gt;="&amp;$I$2,Results!$E:$E,"&lt;="&amp;$I$3,Results!$L:$L,"Negative",Results!$H:$H,"Positive", Results!$F:$F,"*tive")</f>
        <v>0</v>
      </c>
      <c r="D25" s="28">
        <f>COUNTIFS(Results!$E:$E,"&gt;="&amp;$I$2,Results!$E:$E,"&lt;="&amp;$I$3,Results!$L:$L,"Negative",Results!$H:$H,"Negative", Results!$F:$F,"*tive")</f>
        <v>0</v>
      </c>
      <c r="E25" s="28">
        <f>COUNTIFS(Results!$E:$E,"&gt;="&amp;$I$2,Results!$E:$E,"&lt;="&amp;$I$3,Results!$L:$L,"Negative",Results!$H:$H,"Unknown", Results!$F:$F,"*tive")</f>
        <v>0</v>
      </c>
      <c r="F25" s="28">
        <f>COUNTIFS(Results!$E:$E,"&gt;="&amp;$I$2,Results!$E:$E,"&lt;="&amp;$I$3,Results!$L:$L,"Negative", Results!$F:$F,"*tive",  Results!$H:$H,"&lt;&gt;Not on Form", Results!$H:$H,"&lt;&gt;N/A", Results!$L:$L,"&lt;&gt;Not on Form", Results!$L:$L,"&lt;&gt;N/A")</f>
        <v>0</v>
      </c>
      <c r="G25" s="33"/>
      <c r="I25" s="15" t="str">
        <f t="shared" si="2"/>
        <v/>
      </c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t="14.25" hidden="1" customHeight="1">
      <c r="A26" s="26"/>
      <c r="B26" s="28" t="s">
        <v>59</v>
      </c>
      <c r="C26" s="28">
        <f>COUNTIFS(Results!$E:$E,"&gt;="&amp;$I$2,Results!$E:$E,"&lt;="&amp;$I$3,Results!$L:$L,"Not Done",Results!$H:$H,"Positive", Results!$F:$F,"*tive")</f>
        <v>0</v>
      </c>
      <c r="D26" s="28">
        <f>COUNTIFS(Results!$E:$E,"&gt;="&amp;$I$2,Results!$E:$E,"&lt;="&amp;$I$3,Results!$L:$L,"Not Done",Results!$H:$H,"Negative", Results!$F:$F,"*tive")</f>
        <v>0</v>
      </c>
      <c r="E26" s="28">
        <f>COUNTIFS(Results!$E:$E,"&gt;="&amp;$I$2,Results!$E:$E,"&lt;="&amp;$I$3,Results!$L:$L,"Not Done",Results!$H:$H,"Unknown", Results!$F:$F,"*tive")</f>
        <v>0</v>
      </c>
      <c r="F26" s="28">
        <f>COUNTIFS(Results!$E:$E,"&gt;="&amp;$I$2,Results!$E:$E,"&lt;="&amp;$I$3,Results!$L:$L,"Not Done",Results!$F:$F,"*tive",  Results!$H:$H,"&lt;&gt;Not on Form", Results!$H:$H,"&lt;&gt;N/A", Results!$L:$L,"&lt;&gt;Not on Form", Results!$L:$L,"&lt;&gt;N/A")</f>
        <v>0</v>
      </c>
      <c r="G26" s="33"/>
      <c r="I26" s="15" t="str">
        <f t="shared" si="2"/>
        <v/>
      </c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t="14.25" customHeight="1">
      <c r="A27" s="25" t="s">
        <v>60</v>
      </c>
      <c r="B27" s="28" t="s">
        <v>61</v>
      </c>
      <c r="C27" s="28">
        <f>COUNTIFS(Results!$E:$E,"&gt;="&amp;$I$2,Results!$E:$E,"&lt;="&amp;$I$3,Results!$F:$F,"Negative",Results!$H:$H,"Positive")</f>
        <v>0</v>
      </c>
      <c r="D27" s="28">
        <f>COUNTIFS(Results!$E:$E,"&gt;="&amp;$I$2,Results!$E:$E,"&lt;="&amp;$I$3,Results!$F:$F,"Negative",Results!$H:$H,"Negative")</f>
        <v>0</v>
      </c>
      <c r="E27" s="28">
        <f>COUNTIFS(Results!$E:$E,"&gt;="&amp;$I$2,Results!$E:$E,"&lt;="&amp;$I$3,Results!$F:$F,"Negative",Results!$H:$H,"Unknown")</f>
        <v>0</v>
      </c>
      <c r="F27" s="28">
        <f>COUNTIFS(Results!$E:$E,"&gt;="&amp;$I$2,Results!$E:$E,"&lt;="&amp;$I$3,Results!$F:$F,"Negative", Results!$H:$H,"&lt;&gt;Not on Form", Results!$H:$H,"&lt;&gt;N/A")</f>
        <v>0</v>
      </c>
      <c r="G27" s="31" t="str">
        <f>IF($F$9=SUM(F27:F31),"","Error! Cross information between Xpert result and HIV Status are not match; possibly there will be Erorr or missing information on MTB result OR HIV Status")</f>
        <v/>
      </c>
      <c r="I27" s="15" t="str">
        <f t="shared" si="2"/>
        <v/>
      </c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t="14.25" customHeight="1">
      <c r="A28" s="32"/>
      <c r="B28" s="28" t="s">
        <v>62</v>
      </c>
      <c r="C28" s="28">
        <f>COUNTIFS(Results!$E:$E,"&gt;="&amp;$I$2,Results!$E:$E,"&lt;="&amp;$I$3,Results!$F:$F,"Positive",Results!$G:$G,"Negative",Results!$H:$H,"Positive")</f>
        <v>0</v>
      </c>
      <c r="D28" s="28">
        <f>COUNTIFS(Results!$E:$E,"&gt;="&amp;$I$2,Results!$E:$E,"&lt;="&amp;$I$3,Results!$F:$F,"Positive",Results!$G:$G,"Negative",Results!$H:$H,"Negative")</f>
        <v>0</v>
      </c>
      <c r="E28" s="28">
        <f>COUNTIFS(Results!$E:$E,"&gt;="&amp;$I$2,Results!$E:$E,"&lt;="&amp;$I$3,Results!$F:$F,"Positive",Results!$G:$G,"Negative",Results!$H:$H,"Unknown")</f>
        <v>0</v>
      </c>
      <c r="F28" s="28">
        <f>COUNTIFS(Results!$E:$E,"&gt;="&amp;$I$2,Results!$E:$E,"&lt;="&amp;$I$3,Results!$F:$F,"Positive",Results!$G:$G,"Negative", Results!$H:$H,"&lt;&gt;Not on Form", Results!$H:$H,"&lt;&gt;N/A")</f>
        <v>0</v>
      </c>
      <c r="G28" s="33"/>
      <c r="I28" s="15" t="str">
        <f t="shared" si="2"/>
        <v/>
      </c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t="14.25" customHeight="1">
      <c r="A29" s="32"/>
      <c r="B29" s="28" t="s">
        <v>63</v>
      </c>
      <c r="C29" s="28">
        <f>COUNTIFS(Results!$E:$E,"&gt;="&amp;$I$2,Results!$E:$E,"&lt;="&amp;$I$3,Results!$F:$F,"Positive",Results!$G:$G,"Positive",Results!$H:$H,"Positive")</f>
        <v>0</v>
      </c>
      <c r="D29" s="28">
        <f>COUNTIFS(Results!$E:$E,"&gt;="&amp;$I$2,Results!$E:$E,"&lt;="&amp;$I$3,Results!$F:$F,"Positive",Results!$G:$G,"Positive",Results!$H:$H,"Negative")</f>
        <v>0</v>
      </c>
      <c r="E29" s="28">
        <f>COUNTIFS(Results!$E:$E,"&gt;="&amp;$I$2,Results!$E:$E,"&lt;="&amp;$I$3,Results!$F:$F,"Positive",Results!$G:$G,"Positive",Results!$H:$H,"Unknown")</f>
        <v>0</v>
      </c>
      <c r="F29" s="28">
        <f>COUNTIFS(Results!$E:$E,"&gt;="&amp;$I$2,Results!$E:$E,"&lt;="&amp;$I$3,Results!$F:$F,"Positive",Results!$G:$G,"Positive", Results!$H:$H,"&lt;&gt;Not on Form", Results!$H:$H,"&lt;&gt;N/A")</f>
        <v>0</v>
      </c>
      <c r="G29" s="33"/>
      <c r="I29" s="15" t="str">
        <f t="shared" si="2"/>
        <v/>
      </c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t="14.25" customHeight="1">
      <c r="A30" s="32"/>
      <c r="B30" s="28" t="s">
        <v>64</v>
      </c>
      <c r="C30" s="28">
        <f>COUNTIFS(Results!$E:$E,"&gt;="&amp;$I$2,Results!$E:$E,"&lt;="&amp;$I$3,Results!$F:$F,"Positive",Results!$G:$G,"Indeterminate",Results!$H:$H,"Positive")</f>
        <v>0</v>
      </c>
      <c r="D30" s="28">
        <f>COUNTIFS(Results!$E:$E,"&gt;="&amp;$I$2,Results!$E:$E,"&lt;="&amp;$I$3,Results!$F:$F,"Positive",Results!$G:$G,"Indeterminate",Results!$H:$H,"Negative")</f>
        <v>0</v>
      </c>
      <c r="E30" s="28">
        <f>COUNTIFS(Results!$E:$E,"&gt;="&amp;$I$2,Results!$E:$E,"&lt;="&amp;$I$3,Results!$F:$F,"Positive",Results!$G:$G,"Indeterminate",Results!$H:$H,"Unknown")</f>
        <v>0</v>
      </c>
      <c r="F30" s="28">
        <f>COUNTIFS(Results!$E:$E,"&gt;="&amp;$I$2,Results!$E:$E,"&lt;="&amp;$I$3,Results!$F:$F,"Positive",Results!$G:$G,"Indeterminate", Results!$H:$H,"&lt;&gt;Not on Form", Results!$H:$H,"&lt;&gt;N/A")</f>
        <v>0</v>
      </c>
      <c r="G30" s="33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t="14.25" customHeight="1">
      <c r="A31" s="26"/>
      <c r="B31" s="28" t="s">
        <v>65</v>
      </c>
      <c r="C31" s="28">
        <f>COUNTIFS(Results!$E:$E,"&gt;="&amp;$I$2,Results!$E:$E,"&lt;="&amp;$I$3,Results!$F:$F,"Trace",Results!$G:$G,"Indeterminate",Results!$H:$H,"Positive")</f>
        <v>0</v>
      </c>
      <c r="D31" s="28">
        <f>COUNTIFS(Results!$E:$E,"&gt;="&amp;$I$2,Results!$E:$E,"&lt;="&amp;$I$3,Results!$F:$F,"Trace",Results!$G:$G,"Indeterminate",Results!$H:$H,"Negative")</f>
        <v>0</v>
      </c>
      <c r="E31" s="28">
        <f>COUNTIFS(Results!$E:$E,"&gt;="&amp;$I$2,Results!$E:$E,"&lt;="&amp;$I$3,Results!$F:$F,"Trace",Results!$G:$G,"Indeterminate",Results!$H:$H,"Unknown")</f>
        <v>0</v>
      </c>
      <c r="F31" s="28">
        <f>COUNTIFS(Results!$E:$E,"&gt;="&amp;$I$2,Results!$E:$E,"&lt;="&amp;$I$3,Results!$F:$F,"Trace",Results!$G:$G,"Indeterminate", Results!$H:$H,"&lt;&gt;Not on Form", Results!$H:$H,"&lt;&gt;N/A")</f>
        <v>0</v>
      </c>
      <c r="G31" s="33"/>
      <c r="I31" s="15" t="str">
        <f>IF(SUM(C31:E31)=F31,"","Check Total Value &amp; Category")</f>
        <v/>
      </c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t="14.25" customHeight="1">
      <c r="A32" s="15"/>
      <c r="B32" s="15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t="14.25" customHeight="1">
      <c r="A33" s="35" t="s">
        <v>69</v>
      </c>
      <c r="B33" s="36"/>
      <c r="C33" s="36"/>
      <c r="D33" s="36"/>
      <c r="E33" s="36"/>
      <c r="F33" s="36"/>
      <c r="G33" s="36"/>
      <c r="H33" s="36"/>
      <c r="I33" s="36"/>
      <c r="J33" s="36"/>
      <c r="K33" s="36"/>
      <c r="L33" s="36"/>
      <c r="M33" s="36"/>
      <c r="N33" s="36"/>
      <c r="O33" s="36"/>
      <c r="P33" s="36"/>
      <c r="Q33" s="36"/>
      <c r="R33" s="36"/>
      <c r="S33" s="36"/>
      <c r="T33" s="36"/>
      <c r="U33" s="36"/>
      <c r="V33" s="36"/>
      <c r="W33" s="36"/>
      <c r="X33" s="36"/>
      <c r="Y33" s="36"/>
      <c r="Z33" s="36"/>
    </row>
    <row r="34" ht="14.25" customHeight="1">
      <c r="A34" s="37"/>
      <c r="B34" s="37"/>
      <c r="C34" s="38" t="s">
        <v>70</v>
      </c>
      <c r="D34" s="38" t="s">
        <v>71</v>
      </c>
      <c r="E34" s="38" t="s">
        <v>72</v>
      </c>
      <c r="F34" s="38" t="s">
        <v>73</v>
      </c>
      <c r="G34" s="38" t="s">
        <v>74</v>
      </c>
      <c r="H34" s="39" t="s">
        <v>49</v>
      </c>
      <c r="I34" s="40"/>
      <c r="J34" s="40"/>
      <c r="K34" s="40"/>
      <c r="L34" s="40"/>
      <c r="M34" s="40"/>
      <c r="N34" s="40"/>
      <c r="O34" s="40"/>
      <c r="P34" s="40"/>
      <c r="Q34" s="40"/>
      <c r="R34" s="40"/>
      <c r="S34" s="40"/>
      <c r="T34" s="40"/>
      <c r="U34" s="40"/>
      <c r="V34" s="40"/>
      <c r="W34" s="40"/>
      <c r="X34" s="40"/>
      <c r="Y34" s="40"/>
      <c r="Z34" s="40"/>
    </row>
    <row r="35" ht="14.25" customHeight="1">
      <c r="A35" s="41" t="s">
        <v>60</v>
      </c>
      <c r="B35" s="42" t="s">
        <v>61</v>
      </c>
      <c r="C35" s="43">
        <f>COUNTIFS(Results!$E:$E,"&gt;="&amp;$I$2,Results!$E:$E,"&lt;="&amp;$I$3,Results!$F:$F,"Negative",Results!$S:$S,"*DX*")</f>
        <v>0</v>
      </c>
      <c r="D35" s="43">
        <f>COUNTIFS(Results!$E:$E,"&gt;="&amp;$I$2,Results!$E:$E,"&lt;="&amp;$I$3,Results!$F:$F,"Negative",Results!$S:$S,"*fu*")</f>
        <v>0</v>
      </c>
      <c r="E35" s="43">
        <f>COUNTIFS(Results!$E:$E,"&gt;="&amp;$I$2,Results!$E:$E,"&lt;="&amp;$I$3,Results!$F:$F,"Negative",Results!$S:$S,"*mdr*")</f>
        <v>0</v>
      </c>
      <c r="F35" s="43">
        <f>COUNTIFS(Results!$E:$E,"&gt;="&amp;$I$2,Results!$E:$E,"&lt;="&amp;$I$3,Results!$F:$F,"Negative",Results!$S:$S,"*dm*")</f>
        <v>0</v>
      </c>
      <c r="G35" s="43">
        <f>COUNTIFS(Results!$E:$E,"&gt;="&amp;$I$2,Results!$E:$E,"&lt;="&amp;$I$3,Results!$F:$F,"Negative",Results!$S:$S,"*na*")</f>
        <v>0</v>
      </c>
      <c r="H35" s="43">
        <f>COUNTIFS(Results!$E:$E,"&gt;="&amp;$I$2,Results!$E:$E,"&lt;="&amp;$I$3,Results!$F:$F,"Negative", Results!$O:$O,"&lt;&gt;Not on Form", Results!$O:$O,"&lt;&gt;N/A")</f>
        <v>0</v>
      </c>
      <c r="I35" s="40"/>
      <c r="J35" s="40"/>
      <c r="K35" s="40"/>
      <c r="L35" s="40"/>
      <c r="M35" s="40"/>
      <c r="N35" s="40"/>
      <c r="O35" s="40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</row>
    <row r="36" ht="14.25" customHeight="1">
      <c r="A36" s="32"/>
      <c r="B36" s="42" t="s">
        <v>62</v>
      </c>
      <c r="C36" s="43">
        <f>COUNTIFS(Results!$E:$E,"&gt;="&amp;$I$2,Results!$E:$E,"&lt;="&amp;$I$3,Results!$F:$F,"Positive",Results!$G:$G,"Negative",Results!$S:$S,"*DX*")</f>
        <v>0</v>
      </c>
      <c r="D36" s="43">
        <f>COUNTIFS(Results!$E:$E,"&gt;="&amp;$I$2,Results!$E:$E,"&lt;="&amp;$I$3,Results!$F:$F,"Positive",Results!$G:$G,"Negative",Results!$S:$S,"*fu*")</f>
        <v>0</v>
      </c>
      <c r="E36" s="43">
        <f>COUNTIFS(Results!$E:$E,"&gt;="&amp;$I$2,Results!$E:$E,"&lt;="&amp;$I$3,Results!$F:$F,"Positive",Results!$G:$G,"Negative",Results!$S:$S,"*mdr*")</f>
        <v>0</v>
      </c>
      <c r="F36" s="43">
        <f>COUNTIFS(Results!$E:$E,"&gt;="&amp;$I$2,Results!$E:$E,"&lt;="&amp;$I$3,Results!$F:$F,"Positive",Results!$G:$G,"Negative",Results!$S:$S,"*Dm*")</f>
        <v>0</v>
      </c>
      <c r="G36" s="43">
        <f>COUNTIFS(Results!$E:$E,"&gt;="&amp;$I$2,Results!$E:$E,"&lt;="&amp;$I$3,Results!$F:$F,"Positive",Results!$G:$G,"Negative",Results!$S:$S,"*na*")</f>
        <v>0</v>
      </c>
      <c r="H36" s="43">
        <f>COUNTIFS(Results!$E:$E,"&gt;="&amp;$I$2,Results!$E:$E,"&lt;="&amp;$I$3,Results!$F:$F,"Positive",Results!$G:$G,"Negative", Results!$O:$O,"&lt;&gt;Not on Form", Results!$O:$O,"&lt;&gt;N/A")</f>
        <v>0</v>
      </c>
      <c r="I36" s="40"/>
      <c r="J36" s="40"/>
      <c r="K36" s="40"/>
      <c r="L36" s="40"/>
      <c r="M36" s="40"/>
      <c r="N36" s="40"/>
      <c r="O36" s="40"/>
      <c r="P36" s="40"/>
      <c r="Q36" s="40"/>
      <c r="R36" s="40"/>
      <c r="S36" s="40"/>
      <c r="T36" s="40"/>
      <c r="U36" s="40"/>
      <c r="V36" s="40"/>
      <c r="W36" s="40"/>
      <c r="X36" s="40"/>
      <c r="Y36" s="40"/>
      <c r="Z36" s="40"/>
    </row>
    <row r="37" ht="14.25" customHeight="1">
      <c r="A37" s="32"/>
      <c r="B37" s="42" t="s">
        <v>63</v>
      </c>
      <c r="C37" s="43">
        <f>COUNTIFS(Results!$E:$E,"&gt;="&amp;$I$2,Results!$E:$E,"&lt;="&amp;$I$3,Results!$F:$F,"Positive",Results!$G:$G,"Positive",Results!$S:$S,"*DX*")</f>
        <v>0</v>
      </c>
      <c r="D37" s="43">
        <f>COUNTIFS(Results!$E:$E,"&gt;="&amp;$I$2,Results!$E:$E,"&lt;="&amp;$I$3,Results!$F:$F,"Positive",Results!$G:$G,"Positive",Results!$S:$S,"*fu*")</f>
        <v>0</v>
      </c>
      <c r="E37" s="43">
        <f>COUNTIFS(Results!$E:$E,"&gt;="&amp;$I$2,Results!$E:$E,"&lt;="&amp;$I$3,Results!$F:$F,"Positive",Results!$G:$G,"Positive",Results!$S:$S,"*mdr*")</f>
        <v>0</v>
      </c>
      <c r="F37" s="43">
        <f>COUNTIFS(Results!$E:$E,"&gt;="&amp;$I$2,Results!$E:$E,"&lt;="&amp;$I$3,Results!$F:$F,"Positive",Results!$G:$G,"Positive",Results!$S:$S,"*dm*")</f>
        <v>0</v>
      </c>
      <c r="G37" s="43">
        <f>COUNTIFS(Results!$E:$E,"&gt;="&amp;$I$2,Results!$E:$E,"&lt;="&amp;$I$3,Results!$F:$F,"Positive",Results!$G:$G,"Positive",Results!$S:$S,"*na*")</f>
        <v>0</v>
      </c>
      <c r="H37" s="43">
        <f>COUNTIFS(Results!$E:$E,"&gt;="&amp;$I$2,Results!$E:$E,"&lt;="&amp;$I$3,Results!$F:$F,"Positive",Results!$G:$G,"Positive", Results!$O:$O,"&lt;&gt;Not on Form", Results!$O:$O,"&lt;&gt;N/A")</f>
        <v>0</v>
      </c>
      <c r="I37" s="40"/>
      <c r="J37" s="40"/>
      <c r="K37" s="40"/>
      <c r="L37" s="40"/>
      <c r="M37" s="40"/>
      <c r="N37" s="40"/>
      <c r="O37" s="40"/>
      <c r="P37" s="40"/>
      <c r="Q37" s="40"/>
      <c r="R37" s="40"/>
      <c r="S37" s="40"/>
      <c r="T37" s="40"/>
      <c r="U37" s="40"/>
      <c r="V37" s="40"/>
      <c r="W37" s="40"/>
      <c r="X37" s="40"/>
      <c r="Y37" s="40"/>
      <c r="Z37" s="40"/>
    </row>
    <row r="38" ht="14.25" customHeight="1">
      <c r="A38" s="32"/>
      <c r="B38" s="42" t="s">
        <v>64</v>
      </c>
      <c r="C38" s="43">
        <f>COUNTIFS(Results!$E:$E,"&gt;="&amp;$I$2,Results!$E:$E,"&lt;="&amp;$I$3,Results!$F:$F,"Positive",Results!$G:$G,"Indeterminate",Results!$S:$S,"*DX*")</f>
        <v>0</v>
      </c>
      <c r="D38" s="43">
        <f>COUNTIFS(Results!$E:$E,"&gt;="&amp;$I$2,Results!$E:$E,"&lt;="&amp;$I$3,Results!$F:$F,"Positive",Results!$G:$G,"Indeterminate",Results!$S:$S,"*fu*")</f>
        <v>0</v>
      </c>
      <c r="E38" s="43">
        <f>COUNTIFS(Results!$E:$E,"&gt;="&amp;$I$2,Results!$E:$E,"&lt;="&amp;$I$3,Results!$F:$F,"Positive",Results!$G:$G,"Indeterminate",Results!$S:$S,"*mdr*")</f>
        <v>0</v>
      </c>
      <c r="F38" s="43">
        <f>COUNTIFS(Results!$E:$E,"&gt;="&amp;$I$2,Results!$E:$E,"&lt;="&amp;$I$3,Results!$F:$F,"Positive",Results!$G:$G,"Indeterminate",Results!$S:$S,"*dm*")</f>
        <v>0</v>
      </c>
      <c r="G38" s="43">
        <f>COUNTIFS(Results!$E:$E,"&gt;="&amp;$I$2,Results!$E:$E,"&lt;="&amp;$I$3,Results!$F:$F,"Positive",Results!$G:$G,"Indeterminate",Results!$S:$S,"*na*")</f>
        <v>0</v>
      </c>
      <c r="H38" s="43">
        <f>COUNTIFS(Results!$E:$E,"&gt;="&amp;$I$2,Results!$E:$E,"&lt;="&amp;$I$3,Results!$F:$F,"Positive",Results!$G:$G,"Indeterminate", Results!$O:$O,"&lt;&gt;Not on Form", Results!$O:$O,"&lt;&gt;N/A")</f>
        <v>0</v>
      </c>
      <c r="I38" s="40"/>
      <c r="J38" s="40"/>
      <c r="K38" s="40"/>
      <c r="L38" s="40"/>
      <c r="M38" s="40"/>
      <c r="N38" s="40"/>
      <c r="O38" s="40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</row>
    <row r="39" ht="14.25" customHeight="1">
      <c r="A39" s="26"/>
      <c r="B39" s="42" t="s">
        <v>75</v>
      </c>
      <c r="C39" s="43">
        <f>COUNTIFS(Results!$E:$E,"&gt;="&amp;$I$2,Results!$E:$E,"&lt;="&amp;$I$3,Results!$F:$F,"Trace",Results!$G:$G,"Indeterminate",Results!$S:$S,"*DX*")</f>
        <v>0</v>
      </c>
      <c r="D39" s="43">
        <f>COUNTIFS(Results!$E:$E,"&gt;="&amp;$I$2,Results!$E:$E,"&lt;="&amp;$I$3,Results!$F:$F,"Trace",Results!$G:$G,"Indeterminate",Results!$S:$S,"*fu*")</f>
        <v>0</v>
      </c>
      <c r="E39" s="43">
        <f>COUNTIFS(Results!$E:$E,"&gt;="&amp;$I$2,Results!$E:$E,"&lt;="&amp;$I$3,Results!$F:$F,"Trace",Results!$G:$G,"Indeterminate",Results!$S:$S,"*mdr*")</f>
        <v>0</v>
      </c>
      <c r="F39" s="43">
        <f>COUNTIFS(Results!$E:$E,"&gt;="&amp;$I$2,Results!$E:$E,"&lt;="&amp;$I$3,Results!$F:$F,"Trace",Results!$G:$G,"Indeterminate",Results!$S:$S,"*dm*")</f>
        <v>0</v>
      </c>
      <c r="G39" s="43">
        <f>COUNTIFS(Results!$E:$E,"&gt;="&amp;$I$2,Results!$E:$E,"&lt;="&amp;$I$3,Results!$F:$F,"Trace",Results!$G:$G,"Indeterminate",Results!$S:$S,"*na*")</f>
        <v>0</v>
      </c>
      <c r="H39" s="43">
        <f>COUNTIFS(Results!$E:$E,"&gt;="&amp;$I$2,Results!$E:$E,"&lt;="&amp;$I$3,Results!$F:$F,"Trace",Results!$G:$G,"Indeterminate", Results!$O:$O,"&lt;&gt;Not on Form", Results!$O:$O,"&lt;&gt;N/A")</f>
        <v>0</v>
      </c>
      <c r="I39" s="40"/>
      <c r="J39" s="40"/>
      <c r="K39" s="40"/>
      <c r="L39" s="40"/>
      <c r="M39" s="40"/>
      <c r="N39" s="40"/>
      <c r="O39" s="40"/>
      <c r="P39" s="40"/>
      <c r="Q39" s="40"/>
      <c r="R39" s="40"/>
      <c r="S39" s="40"/>
      <c r="T39" s="40"/>
      <c r="U39" s="40"/>
      <c r="V39" s="40"/>
      <c r="W39" s="40"/>
      <c r="X39" s="40"/>
      <c r="Y39" s="40"/>
      <c r="Z39" s="40"/>
    </row>
    <row r="40" ht="14.25" customHeight="1">
      <c r="A40" s="15"/>
      <c r="B40" s="15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t="14.25" customHeight="1">
      <c r="A41" s="15"/>
      <c r="B41" s="15"/>
      <c r="C41" s="23" t="s">
        <v>47</v>
      </c>
      <c r="D41" s="24"/>
      <c r="E41" s="23" t="s">
        <v>48</v>
      </c>
      <c r="F41" s="24"/>
      <c r="G41" s="22" t="s">
        <v>49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t="14.25" customHeight="1">
      <c r="A42" s="28" t="s">
        <v>76</v>
      </c>
      <c r="B42" s="28"/>
      <c r="C42" s="23">
        <f>COUNTIFS(Results!$E:$E,"&gt;="&amp;$I$2,Results!$E:$E,"&lt;="&amp;$I$3,Results!$I:$I,"Male",Results!$F:$F,"Positive",Results!$G:$G,"Positive")</f>
        <v>0</v>
      </c>
      <c r="D42" s="24"/>
      <c r="E42" s="23">
        <f>COUNTIFS(Results!$E:$E,"&gt;="&amp;$I$2,Results!$E:$E,"&lt;="&amp;$I$3,Results!$I:$I,"Female",Results!$F:$F,"Positive",Results!$G:$G,"Positive")</f>
        <v>0</v>
      </c>
      <c r="F42" s="24"/>
      <c r="G42" s="28">
        <f>COUNTIFS(Results!$E:$E,"&gt;="&amp;$I$2,Results!$E:$E,"&lt;="&amp;$I$3,Results!$F:$F,"Positive",Results!$G:$G,"Positive", Results!$I:$I,"&lt;&gt;Not on Form", Results!$I:$I,"&lt;&gt;N/A")</f>
        <v>0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t="14.25" customHeight="1">
      <c r="A43" s="15"/>
      <c r="B43" s="15"/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t="14.25" customHeight="1">
      <c r="A44" s="15" t="s">
        <v>77</v>
      </c>
      <c r="B44" s="15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t="14.25" customHeight="1">
      <c r="A45" s="28"/>
      <c r="B45" s="28"/>
      <c r="C45" s="23" t="s">
        <v>78</v>
      </c>
      <c r="D45" s="24"/>
      <c r="E45" s="23" t="s">
        <v>79</v>
      </c>
      <c r="F45" s="24"/>
      <c r="G45" s="28" t="s">
        <v>49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t="14.25" customHeight="1">
      <c r="A46" s="44" t="s">
        <v>80</v>
      </c>
      <c r="B46" s="45"/>
      <c r="C46" s="23">
        <f>COUNTIFS(Results!$E:$E,"&gt;="&amp;$I$2,Results!$E:$E,"&lt;="&amp;$I$3,Results!$F:$F,"Positive",Results!$L:$L,"Positive")</f>
        <v>0</v>
      </c>
      <c r="D46" s="24"/>
      <c r="E46" s="23">
        <f>COUNTIFS(Results!$E:$E,"&gt;="&amp;$I$2,Results!$E:$E,"&lt;="&amp;$I$3,Results!$F:$F,"Negative",Results!$L:$L,"Positive")</f>
        <v>0</v>
      </c>
      <c r="F46" s="24"/>
      <c r="G46" s="28">
        <f>COUNTIFS(Results!$E:$E,"&gt;="&amp;$I$2,Results!$E:$E,"&lt;="&amp;$I$3,Results!$L:$L,"Positive", Results!$F:$F,"*tive", Results!$L:$L,"&lt;&gt;Not on Form", Results!$L:$L,"&lt;&gt;N/A")</f>
        <v>0</v>
      </c>
      <c r="H46" s="31" t="s">
        <v>81</v>
      </c>
      <c r="J46" s="15" t="str">
        <f t="shared" ref="J46:J48" si="3">IF(SUM(C46:F46)=G46,"","Check Total Value &amp; Category")</f>
        <v/>
      </c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t="14.25" customHeight="1">
      <c r="A47" s="44" t="s">
        <v>82</v>
      </c>
      <c r="B47" s="45"/>
      <c r="C47" s="23">
        <f>COUNTIFS(Results!$E:$E,"&gt;="&amp;$I$2,Results!$E:$E,"&lt;="&amp;$I$3,Results!$F:$F,"Positive",Results!$L:$L,"Negative")</f>
        <v>0</v>
      </c>
      <c r="D47" s="24"/>
      <c r="E47" s="23">
        <f>COUNTIFS(Results!$E:$E,"&gt;="&amp;$I$2,Results!$E:$E,"&lt;="&amp;$I$3,Results!$F:$F,"Negative",Results!$L:$L,"Negative")</f>
        <v>0</v>
      </c>
      <c r="F47" s="24"/>
      <c r="G47" s="28">
        <f>COUNTIFS(Results!$E:$E,"&gt;="&amp;$I$2,Results!$E:$E,"&lt;="&amp;$I$3,Results!$L:$L,"Negative", Results!$F:$F,"*tive", Results!$F:$F,"*tive", Results!$L:$L,"&lt;&gt;Not on Form", Results!$L:$L,"&lt;&gt;N/A")</f>
        <v>0</v>
      </c>
      <c r="H47" s="33"/>
      <c r="J47" s="15" t="str">
        <f t="shared" si="3"/>
        <v/>
      </c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t="14.25" customHeight="1">
      <c r="A48" s="44" t="s">
        <v>83</v>
      </c>
      <c r="B48" s="45"/>
      <c r="C48" s="23">
        <f>COUNTIFS(Results!$E:$E,"&gt;="&amp;$I$2,Results!$E:$E,"&lt;="&amp;$I$3,Results!$F:$F,"Positive",Results!$L:$L,"Not Done")</f>
        <v>0</v>
      </c>
      <c r="D48" s="24"/>
      <c r="E48" s="23">
        <f>COUNTIFS(Results!$E:$E,"&gt;="&amp;$I$2,Results!$E:$E,"&lt;="&amp;$I$3,Results!$F:$F,"Negative",Results!$L:$L,"Not Done")</f>
        <v>0</v>
      </c>
      <c r="F48" s="24"/>
      <c r="G48" s="28">
        <f>COUNTIFS(Results!$E:$E,"&gt;="&amp;$I$2,Results!$E:$E,"&lt;="&amp;$I$3,Results!$L:$L,"Not Done", Results!$F:$F,"*tive", Results!$F:$F,"*tive", Results!$L:$L,"&lt;&gt;Not on Form", Results!$L:$L,"&lt;&gt;N/A")</f>
        <v>0</v>
      </c>
      <c r="H48" s="33"/>
      <c r="J48" s="15" t="str">
        <f t="shared" si="3"/>
        <v/>
      </c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t="14.25" customHeight="1">
      <c r="A49" s="15"/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t="14.25" customHeight="1">
      <c r="A50" s="36"/>
      <c r="B50" s="36"/>
      <c r="C50" s="46" t="s">
        <v>78</v>
      </c>
      <c r="D50" s="24"/>
      <c r="E50" s="46" t="s">
        <v>79</v>
      </c>
      <c r="F50" s="24"/>
      <c r="G50" s="47" t="s">
        <v>49</v>
      </c>
      <c r="H50" s="36"/>
      <c r="I50" s="36"/>
      <c r="J50" s="36"/>
      <c r="K50" s="36"/>
      <c r="L50" s="36"/>
      <c r="M50" s="36"/>
      <c r="N50" s="36"/>
      <c r="O50" s="36"/>
      <c r="P50" s="36"/>
      <c r="Q50" s="36"/>
      <c r="R50" s="36"/>
      <c r="S50" s="36"/>
      <c r="T50" s="36"/>
      <c r="U50" s="36"/>
      <c r="V50" s="36"/>
      <c r="W50" s="36"/>
      <c r="X50" s="36"/>
      <c r="Y50" s="36"/>
      <c r="Z50" s="36"/>
    </row>
    <row r="51" ht="14.25" customHeight="1">
      <c r="A51" s="42" t="s">
        <v>84</v>
      </c>
      <c r="B51" s="37"/>
      <c r="C51" s="48">
        <f>COUNTIFS(Results!$E:$E,"&gt;="&amp;$I$2,Results!$E:$E,"&lt;="&amp;$I$3,Results!$F:$F,"Positive",Results!$P:$P,"CXR")</f>
        <v>0</v>
      </c>
      <c r="D51" s="24"/>
      <c r="E51" s="48">
        <f>COUNTIFS(Results!$E:$E,"&gt;="&amp;$I$2,Results!$E:$E,"&lt;="&amp;$I$3,Results!$F:$F,"Negative",Results!$P:$P,"CXR")</f>
        <v>0</v>
      </c>
      <c r="F51" s="24"/>
      <c r="G51" s="49">
        <f>COUNTIFS(Results!$E:$E,"&gt;="&amp;$I$2,Results!$E:$E,"&lt;="&amp;$I$3,Results!$F:$F,"Negative",Results!$P:$P,"CXR")</f>
        <v>0</v>
      </c>
      <c r="H51" s="40"/>
      <c r="I51" s="40"/>
      <c r="J51" s="40"/>
      <c r="K51" s="40"/>
      <c r="L51" s="40"/>
      <c r="M51" s="40"/>
      <c r="N51" s="40"/>
      <c r="O51" s="40"/>
      <c r="P51" s="40"/>
      <c r="Q51" s="40"/>
      <c r="R51" s="40"/>
      <c r="S51" s="40"/>
      <c r="T51" s="40"/>
      <c r="U51" s="40"/>
      <c r="V51" s="40"/>
      <c r="W51" s="40"/>
      <c r="X51" s="40"/>
      <c r="Y51" s="40"/>
      <c r="Z51" s="40"/>
    </row>
    <row r="52" ht="14.25" customHeight="1">
      <c r="A52" s="15"/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t="14.25" customHeight="1">
      <c r="A53" s="15" t="s">
        <v>85</v>
      </c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t="14.25" customHeight="1">
      <c r="A54" s="28"/>
      <c r="B54" s="28"/>
      <c r="C54" s="23" t="s">
        <v>86</v>
      </c>
      <c r="D54" s="24"/>
      <c r="E54" s="23" t="s">
        <v>87</v>
      </c>
      <c r="F54" s="24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t="14.25" customHeight="1">
      <c r="A55" s="44" t="s">
        <v>88</v>
      </c>
      <c r="B55" s="45"/>
      <c r="C55" s="23"/>
      <c r="D55" s="24"/>
      <c r="E55" s="23"/>
      <c r="F55" s="24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t="14.25" customHeight="1">
      <c r="A56" s="44" t="s">
        <v>89</v>
      </c>
      <c r="B56" s="45"/>
      <c r="C56" s="23"/>
      <c r="D56" s="24"/>
      <c r="E56" s="23"/>
      <c r="F56" s="24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t="14.25" customHeight="1">
      <c r="A57" s="44" t="s">
        <v>90</v>
      </c>
      <c r="B57" s="45"/>
      <c r="C57" s="23">
        <f>COUNTIFS(Results!$E:$E,"&gt;="&amp;$I$2,Results!$E:$E,"&lt;="&amp;$I$3)</f>
        <v>0</v>
      </c>
      <c r="D57" s="24"/>
      <c r="E57" s="23"/>
      <c r="F57" s="24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t="14.25" customHeight="1">
      <c r="A58" s="44" t="s">
        <v>91</v>
      </c>
      <c r="B58" s="45"/>
      <c r="C58" s="23">
        <f>C55+C56-C57</f>
        <v>0</v>
      </c>
      <c r="D58" s="24"/>
      <c r="E58" s="23"/>
      <c r="F58" s="24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t="14.25" customHeight="1">
      <c r="A59" s="50" t="s">
        <v>92</v>
      </c>
      <c r="B59" s="50"/>
      <c r="C59" s="50">
        <f>COUNTIFS(Results!$E:$E,"&gt;="&amp;$I$2,Results!$E:$E,"&lt;="&amp;$I$3,Results!$F:$F,"Error")+COUNTIFS(Results!$E:$E,"&gt;="&amp;$I$2,Results!$E:$E,"&lt;="&amp;$I$3,Results!$F:$F,"Invalid")</f>
        <v>0</v>
      </c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t="14.25" customHeight="1">
      <c r="A60" s="50" t="s">
        <v>93</v>
      </c>
      <c r="B60" s="15"/>
      <c r="C60" s="50">
        <f>COUNTIFS(Results!$E:$E,"&gt;="&amp;$I$2,Results!$E:$E,"&lt;="&amp;$I$3,Results!$F:$F,"No Result")</f>
        <v>0</v>
      </c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t="14.25" customHeight="1">
      <c r="A61" s="15"/>
      <c r="B61" s="15"/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t="14.25" customHeight="1">
      <c r="A62" s="15"/>
      <c r="B62" s="15"/>
      <c r="C62" s="15"/>
      <c r="D62" s="15"/>
      <c r="E62" s="15" t="s">
        <v>94</v>
      </c>
      <c r="F62" s="51"/>
      <c r="G62" s="51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t="14.25" customHeight="1">
      <c r="A63" s="15"/>
      <c r="B63" s="15"/>
      <c r="C63" s="15"/>
      <c r="D63" s="15"/>
      <c r="E63" s="15" t="s">
        <v>95</v>
      </c>
      <c r="F63" s="52"/>
      <c r="G63" s="52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t="14.25" customHeight="1">
      <c r="A64" s="15"/>
      <c r="B64" s="15"/>
      <c r="C64" s="15"/>
      <c r="D64" s="15"/>
      <c r="E64" s="15" t="s">
        <v>96</v>
      </c>
      <c r="F64" s="52"/>
      <c r="G64" s="52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t="14.25" customHeight="1">
      <c r="A65" s="15"/>
      <c r="B65" s="15"/>
      <c r="C65" s="15"/>
      <c r="D65" s="15"/>
      <c r="E65" s="15" t="s">
        <v>97</v>
      </c>
      <c r="F65" s="52"/>
      <c r="G65" s="52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t="14.25" customHeight="1">
      <c r="A66" s="15"/>
      <c r="B66" s="15"/>
      <c r="C66" s="15"/>
      <c r="D66" s="15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t="14.25" customHeight="1">
      <c r="A67" s="15"/>
      <c r="B67" s="15"/>
      <c r="C67" s="15"/>
      <c r="D67" s="15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t="14.25" customHeight="1">
      <c r="A68" s="15"/>
      <c r="B68" s="15"/>
      <c r="C68" s="15"/>
      <c r="D68" s="15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t="14.25" customHeight="1">
      <c r="A69" s="15"/>
      <c r="B69" s="15"/>
      <c r="C69" s="15"/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t="14.25" customHeight="1">
      <c r="A70" s="15"/>
      <c r="B70" s="15"/>
      <c r="C70" s="15"/>
      <c r="D70" s="15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t="14.25" customHeight="1">
      <c r="A71" s="15"/>
      <c r="B71" s="15"/>
      <c r="C71" s="15"/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t="14.25" customHeight="1">
      <c r="A72" s="15"/>
      <c r="B72" s="15"/>
      <c r="C72" s="15"/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t="14.25" customHeight="1">
      <c r="A73" s="15"/>
      <c r="B73" s="15"/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t="14.25" customHeight="1">
      <c r="A74" s="15"/>
      <c r="B74" s="15"/>
      <c r="C74" s="15"/>
      <c r="D74" s="15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t="14.25" customHeight="1">
      <c r="A75" s="15"/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t="14.25" customHeight="1">
      <c r="A76" s="15"/>
      <c r="B76" s="15"/>
      <c r="C76" s="15"/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t="14.25" customHeight="1">
      <c r="A77" s="15"/>
      <c r="B77" s="15"/>
      <c r="C77" s="15"/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t="14.25" customHeight="1">
      <c r="A78" s="15"/>
      <c r="B78" s="15"/>
      <c r="C78" s="15"/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t="14.25" customHeight="1">
      <c r="A79" s="15"/>
      <c r="B79" s="15"/>
      <c r="C79" s="15"/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t="14.25" customHeight="1">
      <c r="A80" s="15"/>
      <c r="B80" s="15"/>
      <c r="C80" s="15"/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t="14.25" customHeight="1">
      <c r="A81" s="15"/>
      <c r="B81" s="15"/>
      <c r="C81" s="15"/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t="14.25" customHeight="1">
      <c r="A82" s="15"/>
      <c r="B82" s="15"/>
      <c r="C82" s="15"/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t="14.25" customHeight="1">
      <c r="A83" s="15"/>
      <c r="B83" s="15"/>
      <c r="C83" s="15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t="14.25" customHeight="1">
      <c r="A84" s="15"/>
      <c r="B84" s="15"/>
      <c r="C84" s="15"/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t="14.25" customHeight="1">
      <c r="A85" s="15"/>
      <c r="B85" s="15"/>
      <c r="C85" s="15"/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t="14.25" customHeight="1">
      <c r="A86" s="15"/>
      <c r="B86" s="15"/>
      <c r="C86" s="15"/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t="14.25" customHeight="1">
      <c r="A87" s="15"/>
      <c r="B87" s="15"/>
      <c r="C87" s="15"/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t="14.25" customHeight="1">
      <c r="A88" s="15"/>
      <c r="B88" s="15"/>
      <c r="C88" s="15"/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t="14.25" customHeight="1">
      <c r="A89" s="15"/>
      <c r="B89" s="15"/>
      <c r="C89" s="15"/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t="14.25" customHeight="1">
      <c r="A90" s="15"/>
      <c r="B90" s="15"/>
      <c r="C90" s="15"/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t="14.25" customHeight="1">
      <c r="A91" s="15"/>
      <c r="B91" s="15"/>
      <c r="C91" s="15"/>
      <c r="D91" s="15"/>
      <c r="E91" s="15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t="14.25" customHeight="1">
      <c r="A92" s="15"/>
      <c r="B92" s="15"/>
      <c r="C92" s="15"/>
      <c r="D92" s="15"/>
      <c r="E92" s="15"/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t="14.25" customHeight="1">
      <c r="A93" s="15"/>
      <c r="B93" s="15"/>
      <c r="C93" s="15"/>
      <c r="D93" s="15"/>
      <c r="E93" s="15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t="14.25" customHeight="1">
      <c r="A94" s="15"/>
      <c r="B94" s="15"/>
      <c r="C94" s="15"/>
      <c r="D94" s="15"/>
      <c r="E94" s="15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t="14.25" customHeight="1">
      <c r="A95" s="15"/>
      <c r="B95" s="15"/>
      <c r="C95" s="15"/>
      <c r="D95" s="15"/>
      <c r="E95" s="15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t="14.25" customHeight="1">
      <c r="A96" s="15"/>
      <c r="B96" s="15"/>
      <c r="C96" s="15"/>
      <c r="D96" s="15"/>
      <c r="E96" s="15"/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t="14.25" customHeight="1">
      <c r="A97" s="15"/>
      <c r="B97" s="15"/>
      <c r="C97" s="15"/>
      <c r="D97" s="15"/>
      <c r="E97" s="15"/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t="14.25" customHeight="1">
      <c r="A98" s="15"/>
      <c r="B98" s="15"/>
      <c r="C98" s="15"/>
      <c r="D98" s="15"/>
      <c r="E98" s="15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t="14.25" customHeight="1">
      <c r="A99" s="15"/>
      <c r="B99" s="15"/>
      <c r="C99" s="15"/>
      <c r="D99" s="15"/>
      <c r="E99" s="15"/>
      <c r="F99" s="15"/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t="14.25" customHeight="1">
      <c r="A100" s="15"/>
      <c r="B100" s="15"/>
      <c r="C100" s="15"/>
      <c r="D100" s="15"/>
      <c r="E100" s="15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t="14.25" customHeight="1">
      <c r="A101" s="15"/>
      <c r="B101" s="15"/>
      <c r="C101" s="15"/>
      <c r="D101" s="15"/>
      <c r="E101" s="15"/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t="14.25" customHeight="1">
      <c r="A102" s="15"/>
      <c r="B102" s="15"/>
      <c r="C102" s="15"/>
      <c r="D102" s="15"/>
      <c r="E102" s="15"/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t="14.25" customHeight="1">
      <c r="A103" s="15"/>
      <c r="B103" s="15"/>
      <c r="C103" s="15"/>
      <c r="D103" s="15"/>
      <c r="E103" s="15"/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t="14.25" customHeight="1">
      <c r="A104" s="15"/>
      <c r="B104" s="15"/>
      <c r="C104" s="15"/>
      <c r="D104" s="15"/>
      <c r="E104" s="15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t="14.25" customHeight="1">
      <c r="A105" s="15"/>
      <c r="B105" s="15"/>
      <c r="C105" s="15"/>
      <c r="D105" s="15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t="14.25" customHeight="1">
      <c r="A106" s="15"/>
      <c r="B106" s="15"/>
      <c r="C106" s="15"/>
      <c r="D106" s="15"/>
      <c r="E106" s="15"/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t="14.25" customHeight="1">
      <c r="A107" s="15"/>
      <c r="B107" s="15"/>
      <c r="C107" s="15"/>
      <c r="D107" s="15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t="14.25" customHeight="1">
      <c r="A108" s="15"/>
      <c r="B108" s="15"/>
      <c r="C108" s="15"/>
      <c r="D108" s="15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t="14.25" customHeight="1">
      <c r="A109" s="15"/>
      <c r="B109" s="15"/>
      <c r="C109" s="15"/>
      <c r="D109" s="15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t="14.25" customHeight="1">
      <c r="A110" s="15"/>
      <c r="B110" s="15"/>
      <c r="C110" s="15"/>
      <c r="D110" s="15"/>
      <c r="E110" s="15"/>
      <c r="F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t="14.25" customHeight="1">
      <c r="A111" s="15"/>
      <c r="B111" s="15"/>
      <c r="C111" s="15"/>
      <c r="D111" s="15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t="14.25" customHeight="1">
      <c r="A112" s="15"/>
      <c r="B112" s="15"/>
      <c r="C112" s="15"/>
      <c r="D112" s="15"/>
      <c r="E112" s="15"/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t="14.25" customHeight="1">
      <c r="A113" s="15"/>
      <c r="B113" s="15"/>
      <c r="C113" s="15"/>
      <c r="D113" s="15"/>
      <c r="E113" s="15"/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t="14.25" customHeight="1">
      <c r="A114" s="15"/>
      <c r="B114" s="15"/>
      <c r="C114" s="15"/>
      <c r="D114" s="15"/>
      <c r="E114" s="15"/>
      <c r="F114" s="15"/>
      <c r="G114" s="15"/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t="14.25" customHeight="1">
      <c r="A115" s="15"/>
      <c r="B115" s="15"/>
      <c r="C115" s="15"/>
      <c r="D115" s="15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t="14.25" customHeight="1">
      <c r="A116" s="15"/>
      <c r="B116" s="15"/>
      <c r="C116" s="15"/>
      <c r="D116" s="15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t="14.25" customHeight="1">
      <c r="A117" s="15"/>
      <c r="B117" s="15"/>
      <c r="C117" s="15"/>
      <c r="D117" s="15"/>
      <c r="E117" s="15"/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t="14.25" customHeight="1">
      <c r="A118" s="15"/>
      <c r="B118" s="15"/>
      <c r="C118" s="15"/>
      <c r="D118" s="15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t="14.25" customHeight="1">
      <c r="A119" s="15"/>
      <c r="B119" s="15"/>
      <c r="C119" s="15"/>
      <c r="D119" s="15"/>
      <c r="E119" s="15"/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t="14.25" customHeight="1">
      <c r="A120" s="15"/>
      <c r="B120" s="15"/>
      <c r="C120" s="15"/>
      <c r="D120" s="15"/>
      <c r="E120" s="15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t="14.25" customHeight="1">
      <c r="A121" s="15"/>
      <c r="B121" s="15"/>
      <c r="C121" s="15"/>
      <c r="D121" s="15"/>
      <c r="E121" s="15"/>
      <c r="F121" s="15"/>
      <c r="G121" s="15"/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t="14.25" customHeight="1">
      <c r="A122" s="15"/>
      <c r="B122" s="15"/>
      <c r="C122" s="15"/>
      <c r="D122" s="15"/>
      <c r="E122" s="15"/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t="14.25" customHeight="1">
      <c r="A123" s="15"/>
      <c r="B123" s="15"/>
      <c r="C123" s="15"/>
      <c r="D123" s="15"/>
      <c r="E123" s="15"/>
      <c r="F123" s="15"/>
      <c r="G123" s="15"/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t="14.25" customHeight="1">
      <c r="A124" s="15"/>
      <c r="B124" s="15"/>
      <c r="C124" s="15"/>
      <c r="D124" s="15"/>
      <c r="E124" s="15"/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t="14.25" customHeight="1">
      <c r="A125" s="15"/>
      <c r="B125" s="15"/>
      <c r="C125" s="15"/>
      <c r="D125" s="15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t="14.25" customHeight="1">
      <c r="A126" s="15"/>
      <c r="B126" s="15"/>
      <c r="C126" s="15"/>
      <c r="D126" s="15"/>
      <c r="E126" s="15"/>
      <c r="F126" s="15"/>
      <c r="G126" s="15"/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t="14.25" customHeight="1">
      <c r="A127" s="15"/>
      <c r="B127" s="15"/>
      <c r="C127" s="15"/>
      <c r="D127" s="15"/>
      <c r="E127" s="15"/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t="14.25" customHeight="1">
      <c r="A128" s="15"/>
      <c r="B128" s="15"/>
      <c r="C128" s="15"/>
      <c r="D128" s="15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t="14.25" customHeight="1">
      <c r="A129" s="15"/>
      <c r="B129" s="15"/>
      <c r="C129" s="15"/>
      <c r="D129" s="15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t="14.25" customHeight="1">
      <c r="A130" s="15"/>
      <c r="B130" s="15"/>
      <c r="C130" s="15"/>
      <c r="D130" s="15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t="14.25" customHeight="1">
      <c r="A131" s="15"/>
      <c r="B131" s="15"/>
      <c r="C131" s="15"/>
      <c r="D131" s="15"/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t="14.25" customHeight="1">
      <c r="A132" s="15"/>
      <c r="B132" s="15"/>
      <c r="C132" s="15"/>
      <c r="D132" s="15"/>
      <c r="E132" s="15"/>
      <c r="F132" s="15"/>
      <c r="G132" s="15"/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t="14.25" customHeight="1">
      <c r="A133" s="15"/>
      <c r="B133" s="15"/>
      <c r="C133" s="15"/>
      <c r="D133" s="15"/>
      <c r="E133" s="15"/>
      <c r="F133" s="15"/>
      <c r="G133" s="15"/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t="14.25" customHeight="1">
      <c r="A134" s="15"/>
      <c r="B134" s="15"/>
      <c r="C134" s="15"/>
      <c r="D134" s="15"/>
      <c r="E134" s="15"/>
      <c r="F134" s="15"/>
      <c r="G134" s="15"/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t="14.25" customHeight="1">
      <c r="A135" s="15"/>
      <c r="B135" s="15"/>
      <c r="C135" s="15"/>
      <c r="D135" s="15"/>
      <c r="E135" s="15"/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t="14.25" customHeight="1">
      <c r="A136" s="15"/>
      <c r="B136" s="15"/>
      <c r="C136" s="15"/>
      <c r="D136" s="15"/>
      <c r="E136" s="15"/>
      <c r="F136" s="15"/>
      <c r="G136" s="15"/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t="14.25" customHeight="1">
      <c r="A137" s="15"/>
      <c r="B137" s="15"/>
      <c r="C137" s="15"/>
      <c r="D137" s="15"/>
      <c r="E137" s="15"/>
      <c r="F137" s="15"/>
      <c r="G137" s="15"/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t="14.25" customHeight="1">
      <c r="A138" s="15"/>
      <c r="B138" s="15"/>
      <c r="C138" s="15"/>
      <c r="D138" s="15"/>
      <c r="E138" s="15"/>
      <c r="F138" s="15"/>
      <c r="G138" s="15"/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t="14.25" customHeight="1">
      <c r="A139" s="15"/>
      <c r="B139" s="15"/>
      <c r="C139" s="15"/>
      <c r="D139" s="15"/>
      <c r="E139" s="15"/>
      <c r="F139" s="15"/>
      <c r="G139" s="15"/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t="14.25" customHeight="1">
      <c r="A140" s="15"/>
      <c r="B140" s="15"/>
      <c r="C140" s="15"/>
      <c r="D140" s="15"/>
      <c r="E140" s="15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t="14.25" customHeight="1">
      <c r="A141" s="15"/>
      <c r="B141" s="15"/>
      <c r="C141" s="15"/>
      <c r="D141" s="15"/>
      <c r="E141" s="15"/>
      <c r="F141" s="15"/>
      <c r="G141" s="15"/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t="14.25" customHeight="1">
      <c r="A142" s="15"/>
      <c r="B142" s="15"/>
      <c r="C142" s="15"/>
      <c r="D142" s="15"/>
      <c r="E142" s="15"/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t="14.25" customHeight="1">
      <c r="A143" s="15"/>
      <c r="B143" s="15"/>
      <c r="C143" s="15"/>
      <c r="D143" s="15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t="14.25" customHeight="1">
      <c r="A144" s="15"/>
      <c r="B144" s="15"/>
      <c r="C144" s="15"/>
      <c r="D144" s="15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t="14.25" customHeight="1">
      <c r="A145" s="15"/>
      <c r="B145" s="15"/>
      <c r="C145" s="15"/>
      <c r="D145" s="15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t="14.25" customHeight="1">
      <c r="A146" s="15"/>
      <c r="B146" s="15"/>
      <c r="C146" s="15"/>
      <c r="D146" s="15"/>
      <c r="E146" s="15"/>
      <c r="F146" s="15"/>
      <c r="G146" s="15"/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t="14.25" customHeight="1">
      <c r="A147" s="15"/>
      <c r="B147" s="15"/>
      <c r="C147" s="15"/>
      <c r="D147" s="15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t="14.25" customHeight="1">
      <c r="A148" s="15"/>
      <c r="B148" s="15"/>
      <c r="C148" s="15"/>
      <c r="D148" s="15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t="14.25" customHeight="1">
      <c r="A149" s="15"/>
      <c r="B149" s="15"/>
      <c r="C149" s="15"/>
      <c r="D149" s="15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t="14.25" customHeight="1">
      <c r="A150" s="15"/>
      <c r="B150" s="15"/>
      <c r="C150" s="15"/>
      <c r="D150" s="15"/>
      <c r="E150" s="15"/>
      <c r="F150" s="15"/>
      <c r="G150" s="15"/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t="14.25" customHeight="1">
      <c r="A151" s="15"/>
      <c r="B151" s="15"/>
      <c r="C151" s="15"/>
      <c r="D151" s="15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t="14.25" customHeight="1">
      <c r="A152" s="15"/>
      <c r="B152" s="15"/>
      <c r="C152" s="15"/>
      <c r="D152" s="15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t="14.25" customHeight="1">
      <c r="A153" s="15"/>
      <c r="B153" s="15"/>
      <c r="C153" s="15"/>
      <c r="D153" s="15"/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t="14.25" customHeight="1">
      <c r="A154" s="15"/>
      <c r="B154" s="15"/>
      <c r="C154" s="15"/>
      <c r="D154" s="15"/>
      <c r="E154" s="15"/>
      <c r="F154" s="15"/>
      <c r="G154" s="15"/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t="14.25" customHeight="1">
      <c r="A155" s="15"/>
      <c r="B155" s="15"/>
      <c r="C155" s="15"/>
      <c r="D155" s="15"/>
      <c r="E155" s="15"/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t="14.25" customHeight="1">
      <c r="A156" s="15"/>
      <c r="B156" s="15"/>
      <c r="C156" s="15"/>
      <c r="D156" s="15"/>
      <c r="E156" s="15"/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t="14.25" customHeight="1">
      <c r="A157" s="15"/>
      <c r="B157" s="15"/>
      <c r="C157" s="15"/>
      <c r="D157" s="15"/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t="14.25" customHeight="1">
      <c r="A158" s="15"/>
      <c r="B158" s="15"/>
      <c r="C158" s="15"/>
      <c r="D158" s="15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t="14.25" customHeight="1">
      <c r="A159" s="15"/>
      <c r="B159" s="15"/>
      <c r="C159" s="15"/>
      <c r="D159" s="15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t="14.25" customHeight="1">
      <c r="A160" s="15"/>
      <c r="B160" s="15"/>
      <c r="C160" s="15"/>
      <c r="D160" s="15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t="14.25" customHeight="1">
      <c r="A161" s="15"/>
      <c r="B161" s="15"/>
      <c r="C161" s="15"/>
      <c r="D161" s="15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t="14.25" customHeight="1">
      <c r="A162" s="15"/>
      <c r="B162" s="15"/>
      <c r="C162" s="15"/>
      <c r="D162" s="15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t="14.25" customHeight="1">
      <c r="A163" s="15"/>
      <c r="B163" s="15"/>
      <c r="C163" s="15"/>
      <c r="D163" s="15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t="14.25" customHeight="1">
      <c r="A164" s="15"/>
      <c r="B164" s="15"/>
      <c r="C164" s="15"/>
      <c r="D164" s="15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t="14.25" customHeight="1">
      <c r="A165" s="15"/>
      <c r="B165" s="15"/>
      <c r="C165" s="15"/>
      <c r="D165" s="15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t="14.25" customHeight="1">
      <c r="A166" s="15"/>
      <c r="B166" s="15"/>
      <c r="C166" s="15"/>
      <c r="D166" s="15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t="14.25" customHeight="1">
      <c r="A167" s="15"/>
      <c r="B167" s="15"/>
      <c r="C167" s="15"/>
      <c r="D167" s="15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t="14.25" customHeight="1">
      <c r="A168" s="15"/>
      <c r="B168" s="15"/>
      <c r="C168" s="15"/>
      <c r="D168" s="15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t="14.25" customHeight="1">
      <c r="A169" s="15"/>
      <c r="B169" s="15"/>
      <c r="C169" s="15"/>
      <c r="D169" s="15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t="14.25" customHeight="1">
      <c r="A170" s="15"/>
      <c r="B170" s="15"/>
      <c r="C170" s="15"/>
      <c r="D170" s="15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t="14.25" customHeight="1">
      <c r="A171" s="15"/>
      <c r="B171" s="15"/>
      <c r="C171" s="15"/>
      <c r="D171" s="15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t="14.25" customHeight="1">
      <c r="A172" s="15"/>
      <c r="B172" s="15"/>
      <c r="C172" s="15"/>
      <c r="D172" s="15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t="14.25" customHeight="1">
      <c r="A173" s="15"/>
      <c r="B173" s="15"/>
      <c r="C173" s="15"/>
      <c r="D173" s="15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t="14.25" customHeight="1">
      <c r="A174" s="15"/>
      <c r="B174" s="15"/>
      <c r="C174" s="15"/>
      <c r="D174" s="15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t="14.25" customHeight="1">
      <c r="A175" s="15"/>
      <c r="B175" s="15"/>
      <c r="C175" s="15"/>
      <c r="D175" s="15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t="14.25" customHeight="1">
      <c r="A176" s="15"/>
      <c r="B176" s="15"/>
      <c r="C176" s="15"/>
      <c r="D176" s="15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t="14.25" customHeight="1">
      <c r="A177" s="15"/>
      <c r="B177" s="15"/>
      <c r="C177" s="15"/>
      <c r="D177" s="15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t="14.25" customHeight="1">
      <c r="A178" s="15"/>
      <c r="B178" s="15"/>
      <c r="C178" s="15"/>
      <c r="D178" s="15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t="14.25" customHeight="1">
      <c r="A179" s="15"/>
      <c r="B179" s="15"/>
      <c r="C179" s="15"/>
      <c r="D179" s="15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t="14.25" customHeight="1">
      <c r="A180" s="15"/>
      <c r="B180" s="15"/>
      <c r="C180" s="15"/>
      <c r="D180" s="15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t="14.25" customHeight="1">
      <c r="A181" s="15"/>
      <c r="B181" s="15"/>
      <c r="C181" s="15"/>
      <c r="D181" s="15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t="14.25" customHeight="1">
      <c r="A182" s="15"/>
      <c r="B182" s="15"/>
      <c r="C182" s="15"/>
      <c r="D182" s="15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t="14.25" customHeight="1">
      <c r="A183" s="15"/>
      <c r="B183" s="15"/>
      <c r="C183" s="15"/>
      <c r="D183" s="15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t="14.25" customHeight="1">
      <c r="A184" s="15"/>
      <c r="B184" s="15"/>
      <c r="C184" s="15"/>
      <c r="D184" s="15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t="14.25" customHeight="1">
      <c r="A185" s="15"/>
      <c r="B185" s="15"/>
      <c r="C185" s="15"/>
      <c r="D185" s="15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t="14.25" customHeight="1">
      <c r="A186" s="15"/>
      <c r="B186" s="15"/>
      <c r="C186" s="15"/>
      <c r="D186" s="15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t="14.25" customHeight="1">
      <c r="A187" s="15"/>
      <c r="B187" s="15"/>
      <c r="C187" s="15"/>
      <c r="D187" s="15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t="14.25" customHeight="1">
      <c r="A188" s="15"/>
      <c r="B188" s="15"/>
      <c r="C188" s="15"/>
      <c r="D188" s="15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t="14.25" customHeight="1">
      <c r="A189" s="15"/>
      <c r="B189" s="15"/>
      <c r="C189" s="15"/>
      <c r="D189" s="15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t="14.25" customHeight="1">
      <c r="A190" s="15"/>
      <c r="B190" s="15"/>
      <c r="C190" s="15"/>
      <c r="D190" s="15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t="14.25" customHeight="1">
      <c r="A191" s="15"/>
      <c r="B191" s="15"/>
      <c r="C191" s="15"/>
      <c r="D191" s="15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t="14.25" customHeight="1">
      <c r="A192" s="15"/>
      <c r="B192" s="15"/>
      <c r="C192" s="15"/>
      <c r="D192" s="15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t="14.25" customHeight="1">
      <c r="A193" s="15"/>
      <c r="B193" s="15"/>
      <c r="C193" s="15"/>
      <c r="D193" s="15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t="14.25" customHeight="1">
      <c r="A194" s="15"/>
      <c r="B194" s="15"/>
      <c r="C194" s="15"/>
      <c r="D194" s="15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t="14.25" customHeight="1">
      <c r="A195" s="15"/>
      <c r="B195" s="15"/>
      <c r="C195" s="15"/>
      <c r="D195" s="15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t="14.25" customHeight="1">
      <c r="A196" s="15"/>
      <c r="B196" s="15"/>
      <c r="C196" s="15"/>
      <c r="D196" s="15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t="14.25" customHeight="1">
      <c r="A197" s="15"/>
      <c r="B197" s="15"/>
      <c r="C197" s="15"/>
      <c r="D197" s="15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t="14.25" customHeight="1">
      <c r="A198" s="15"/>
      <c r="B198" s="15"/>
      <c r="C198" s="15"/>
      <c r="D198" s="15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t="14.25" customHeight="1">
      <c r="A199" s="15"/>
      <c r="B199" s="15"/>
      <c r="C199" s="15"/>
      <c r="D199" s="15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t="14.25" customHeight="1">
      <c r="A200" s="15"/>
      <c r="B200" s="15"/>
      <c r="C200" s="15"/>
      <c r="D200" s="15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t="14.25" customHeight="1">
      <c r="A201" s="15"/>
      <c r="B201" s="15"/>
      <c r="C201" s="15"/>
      <c r="D201" s="15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t="14.25" customHeight="1">
      <c r="A202" s="15"/>
      <c r="B202" s="15"/>
      <c r="C202" s="15"/>
      <c r="D202" s="15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t="14.25" customHeight="1">
      <c r="A203" s="15"/>
      <c r="B203" s="15"/>
      <c r="C203" s="15"/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t="14.25" customHeight="1">
      <c r="A204" s="15"/>
      <c r="B204" s="15"/>
      <c r="C204" s="15"/>
      <c r="D204" s="15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t="14.25" customHeight="1">
      <c r="A205" s="15"/>
      <c r="B205" s="15"/>
      <c r="C205" s="15"/>
      <c r="D205" s="15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t="14.25" customHeight="1">
      <c r="A206" s="15"/>
      <c r="B206" s="15"/>
      <c r="C206" s="15"/>
      <c r="D206" s="15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t="14.25" customHeight="1">
      <c r="A207" s="15"/>
      <c r="B207" s="15"/>
      <c r="C207" s="15"/>
      <c r="D207" s="15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t="14.25" customHeight="1">
      <c r="A208" s="15"/>
      <c r="B208" s="15"/>
      <c r="C208" s="15"/>
      <c r="D208" s="15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t="14.25" customHeight="1">
      <c r="A209" s="15"/>
      <c r="B209" s="15"/>
      <c r="C209" s="15"/>
      <c r="D209" s="15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t="14.25" customHeight="1">
      <c r="A210" s="15"/>
      <c r="B210" s="15"/>
      <c r="C210" s="15"/>
      <c r="D210" s="15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t="14.25" customHeight="1">
      <c r="A211" s="15"/>
      <c r="B211" s="15"/>
      <c r="C211" s="15"/>
      <c r="D211" s="15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t="14.25" customHeight="1">
      <c r="A212" s="15"/>
      <c r="B212" s="15"/>
      <c r="C212" s="15"/>
      <c r="D212" s="15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t="14.25" customHeight="1">
      <c r="A213" s="15"/>
      <c r="B213" s="15"/>
      <c r="C213" s="15"/>
      <c r="D213" s="15"/>
      <c r="E213" s="15"/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t="14.25" customHeight="1">
      <c r="A214" s="15"/>
      <c r="B214" s="15"/>
      <c r="C214" s="15"/>
      <c r="D214" s="15"/>
      <c r="E214" s="15"/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t="14.25" customHeight="1">
      <c r="A215" s="15"/>
      <c r="B215" s="15"/>
      <c r="C215" s="15"/>
      <c r="D215" s="15"/>
      <c r="E215" s="15"/>
      <c r="F215" s="15"/>
      <c r="G215" s="15"/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t="14.25" customHeight="1">
      <c r="A216" s="15"/>
      <c r="B216" s="15"/>
      <c r="C216" s="15"/>
      <c r="D216" s="15"/>
      <c r="E216" s="15"/>
      <c r="F216" s="15"/>
      <c r="G216" s="15"/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t="14.25" customHeight="1">
      <c r="A217" s="15"/>
      <c r="B217" s="15"/>
      <c r="C217" s="15"/>
      <c r="D217" s="15"/>
      <c r="E217" s="15"/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t="14.25" customHeight="1">
      <c r="A218" s="15"/>
      <c r="B218" s="15"/>
      <c r="C218" s="15"/>
      <c r="D218" s="15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t="14.25" customHeight="1">
      <c r="A219" s="15"/>
      <c r="B219" s="15"/>
      <c r="C219" s="15"/>
      <c r="D219" s="15"/>
      <c r="E219" s="15"/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t="14.25" customHeight="1">
      <c r="A220" s="15"/>
      <c r="B220" s="15"/>
      <c r="C220" s="15"/>
      <c r="D220" s="15"/>
      <c r="E220" s="15"/>
      <c r="F220" s="15"/>
      <c r="G220" s="15"/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t="14.25" customHeight="1">
      <c r="A221" s="15"/>
      <c r="B221" s="15"/>
      <c r="C221" s="15"/>
      <c r="D221" s="15"/>
      <c r="E221" s="15"/>
      <c r="F221" s="15"/>
      <c r="G221" s="15"/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t="14.25" customHeight="1">
      <c r="A222" s="15"/>
      <c r="B222" s="15"/>
      <c r="C222" s="15"/>
      <c r="D222" s="15"/>
      <c r="E222" s="15"/>
      <c r="F222" s="15"/>
      <c r="G222" s="15"/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t="14.25" customHeight="1">
      <c r="A223" s="15"/>
      <c r="B223" s="15"/>
      <c r="C223" s="15"/>
      <c r="D223" s="15"/>
      <c r="E223" s="15"/>
      <c r="F223" s="15"/>
      <c r="G223" s="15"/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t="14.25" customHeight="1">
      <c r="A224" s="15"/>
      <c r="B224" s="15"/>
      <c r="C224" s="15"/>
      <c r="D224" s="15"/>
      <c r="E224" s="15"/>
      <c r="F224" s="15"/>
      <c r="G224" s="15"/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t="14.25" customHeight="1">
      <c r="A225" s="15"/>
      <c r="B225" s="15"/>
      <c r="C225" s="15"/>
      <c r="D225" s="15"/>
      <c r="E225" s="15"/>
      <c r="F225" s="15"/>
      <c r="G225" s="15"/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t="14.25" customHeight="1">
      <c r="A226" s="15"/>
      <c r="B226" s="15"/>
      <c r="C226" s="15"/>
      <c r="D226" s="15"/>
      <c r="E226" s="15"/>
      <c r="F226" s="15"/>
      <c r="G226" s="15"/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t="14.25" customHeight="1">
      <c r="A227" s="15"/>
      <c r="B227" s="15"/>
      <c r="C227" s="15"/>
      <c r="D227" s="15"/>
      <c r="E227" s="15"/>
      <c r="F227" s="15"/>
      <c r="G227" s="15"/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t="14.25" customHeight="1">
      <c r="A228" s="15"/>
      <c r="B228" s="15"/>
      <c r="C228" s="15"/>
      <c r="D228" s="15"/>
      <c r="E228" s="15"/>
      <c r="F228" s="15"/>
      <c r="G228" s="15"/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t="14.25" customHeight="1">
      <c r="A229" s="15"/>
      <c r="B229" s="15"/>
      <c r="C229" s="15"/>
      <c r="D229" s="15"/>
      <c r="E229" s="15"/>
      <c r="F229" s="15"/>
      <c r="G229" s="15"/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t="14.25" customHeight="1">
      <c r="A230" s="15"/>
      <c r="B230" s="15"/>
      <c r="C230" s="15"/>
      <c r="D230" s="15"/>
      <c r="E230" s="15"/>
      <c r="F230" s="15"/>
      <c r="G230" s="15"/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t="14.25" customHeight="1">
      <c r="A231" s="15"/>
      <c r="B231" s="15"/>
      <c r="C231" s="15"/>
      <c r="D231" s="15"/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t="14.25" customHeight="1">
      <c r="A232" s="15"/>
      <c r="B232" s="15"/>
      <c r="C232" s="15"/>
      <c r="D232" s="15"/>
      <c r="E232" s="15"/>
      <c r="F232" s="15"/>
      <c r="G232" s="15"/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t="14.25" customHeight="1">
      <c r="A233" s="15"/>
      <c r="B233" s="15"/>
      <c r="C233" s="15"/>
      <c r="D233" s="15"/>
      <c r="E233" s="15"/>
      <c r="F233" s="15"/>
      <c r="G233" s="15"/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t="14.25" customHeight="1">
      <c r="A234" s="15"/>
      <c r="B234" s="15"/>
      <c r="C234" s="15"/>
      <c r="D234" s="15"/>
      <c r="E234" s="15"/>
      <c r="F234" s="15"/>
      <c r="G234" s="15"/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t="14.25" customHeight="1">
      <c r="A235" s="15"/>
      <c r="B235" s="15"/>
      <c r="C235" s="15"/>
      <c r="D235" s="15"/>
      <c r="E235" s="15"/>
      <c r="F235" s="15"/>
      <c r="G235" s="15"/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t="14.25" customHeight="1">
      <c r="A236" s="15"/>
      <c r="B236" s="15"/>
      <c r="C236" s="15"/>
      <c r="D236" s="15"/>
      <c r="E236" s="15"/>
      <c r="F236" s="15"/>
      <c r="G236" s="15"/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t="14.25" customHeight="1">
      <c r="A237" s="15"/>
      <c r="B237" s="15"/>
      <c r="C237" s="15"/>
      <c r="D237" s="15"/>
      <c r="E237" s="15"/>
      <c r="F237" s="15"/>
      <c r="G237" s="15"/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t="14.25" customHeight="1">
      <c r="A238" s="15"/>
      <c r="B238" s="15"/>
      <c r="C238" s="15"/>
      <c r="D238" s="15"/>
      <c r="E238" s="15"/>
      <c r="F238" s="15"/>
      <c r="G238" s="15"/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t="14.25" customHeight="1">
      <c r="A239" s="15"/>
      <c r="B239" s="15"/>
      <c r="C239" s="15"/>
      <c r="D239" s="15"/>
      <c r="E239" s="15"/>
      <c r="F239" s="15"/>
      <c r="G239" s="15"/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t="14.25" customHeight="1">
      <c r="A240" s="15"/>
      <c r="B240" s="15"/>
      <c r="C240" s="15"/>
      <c r="D240" s="15"/>
      <c r="E240" s="15"/>
      <c r="F240" s="15"/>
      <c r="G240" s="15"/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t="14.25" customHeight="1">
      <c r="A241" s="15"/>
      <c r="B241" s="15"/>
      <c r="C241" s="15"/>
      <c r="D241" s="15"/>
      <c r="E241" s="15"/>
      <c r="F241" s="15"/>
      <c r="G241" s="15"/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t="14.25" customHeight="1">
      <c r="A242" s="15"/>
      <c r="B242" s="15"/>
      <c r="C242" s="15"/>
      <c r="D242" s="15"/>
      <c r="E242" s="15"/>
      <c r="F242" s="15"/>
      <c r="G242" s="15"/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t="14.25" customHeight="1">
      <c r="A243" s="15"/>
      <c r="B243" s="15"/>
      <c r="C243" s="15"/>
      <c r="D243" s="15"/>
      <c r="E243" s="15"/>
      <c r="F243" s="15"/>
      <c r="G243" s="15"/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t="14.25" customHeight="1">
      <c r="A244" s="15"/>
      <c r="B244" s="15"/>
      <c r="C244" s="15"/>
      <c r="D244" s="15"/>
      <c r="E244" s="15"/>
      <c r="F244" s="15"/>
      <c r="G244" s="15"/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t="14.25" customHeight="1">
      <c r="A245" s="15"/>
      <c r="B245" s="15"/>
      <c r="C245" s="15"/>
      <c r="D245" s="15"/>
      <c r="E245" s="15"/>
      <c r="F245" s="15"/>
      <c r="G245" s="15"/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t="14.25" customHeight="1">
      <c r="A246" s="15"/>
      <c r="B246" s="15"/>
      <c r="C246" s="15"/>
      <c r="D246" s="15"/>
      <c r="E246" s="15"/>
      <c r="F246" s="15"/>
      <c r="G246" s="15"/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t="14.25" customHeight="1">
      <c r="A247" s="15"/>
      <c r="B247" s="15"/>
      <c r="C247" s="15"/>
      <c r="D247" s="15"/>
      <c r="E247" s="15"/>
      <c r="F247" s="15"/>
      <c r="G247" s="15"/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t="14.25" customHeight="1">
      <c r="A248" s="15"/>
      <c r="B248" s="15"/>
      <c r="C248" s="15"/>
      <c r="D248" s="15"/>
      <c r="E248" s="15"/>
      <c r="F248" s="15"/>
      <c r="G248" s="15"/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t="14.25" customHeight="1">
      <c r="A249" s="15"/>
      <c r="B249" s="15"/>
      <c r="C249" s="15"/>
      <c r="D249" s="15"/>
      <c r="E249" s="15"/>
      <c r="F249" s="15"/>
      <c r="G249" s="15"/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t="14.25" customHeight="1">
      <c r="A250" s="15"/>
      <c r="B250" s="15"/>
      <c r="C250" s="15"/>
      <c r="D250" s="15"/>
      <c r="E250" s="15"/>
      <c r="F250" s="15"/>
      <c r="G250" s="15"/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t="14.25" customHeight="1">
      <c r="A251" s="15"/>
      <c r="B251" s="15"/>
      <c r="C251" s="15"/>
      <c r="D251" s="15"/>
      <c r="E251" s="15"/>
      <c r="F251" s="15"/>
      <c r="G251" s="15"/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t="14.25" customHeight="1">
      <c r="A252" s="15"/>
      <c r="B252" s="15"/>
      <c r="C252" s="15"/>
      <c r="D252" s="15"/>
      <c r="E252" s="15"/>
      <c r="F252" s="15"/>
      <c r="G252" s="15"/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t="14.25" customHeight="1">
      <c r="A253" s="15"/>
      <c r="B253" s="15"/>
      <c r="C253" s="15"/>
      <c r="D253" s="15"/>
      <c r="E253" s="15"/>
      <c r="F253" s="15"/>
      <c r="G253" s="15"/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t="14.25" customHeight="1">
      <c r="A254" s="15"/>
      <c r="B254" s="15"/>
      <c r="C254" s="15"/>
      <c r="D254" s="15"/>
      <c r="E254" s="15"/>
      <c r="F254" s="15"/>
      <c r="G254" s="15"/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t="14.25" customHeight="1">
      <c r="A255" s="15"/>
      <c r="B255" s="15"/>
      <c r="C255" s="15"/>
      <c r="D255" s="15"/>
      <c r="E255" s="15"/>
      <c r="F255" s="15"/>
      <c r="G255" s="15"/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t="14.25" customHeight="1">
      <c r="A256" s="15"/>
      <c r="B256" s="15"/>
      <c r="C256" s="15"/>
      <c r="D256" s="15"/>
      <c r="E256" s="15"/>
      <c r="F256" s="15"/>
      <c r="G256" s="15"/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t="14.25" customHeight="1">
      <c r="A257" s="15"/>
      <c r="B257" s="15"/>
      <c r="C257" s="15"/>
      <c r="D257" s="15"/>
      <c r="E257" s="15"/>
      <c r="F257" s="15"/>
      <c r="G257" s="15"/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t="14.25" customHeight="1">
      <c r="A258" s="15"/>
      <c r="B258" s="15"/>
      <c r="C258" s="15"/>
      <c r="D258" s="15"/>
      <c r="E258" s="15"/>
      <c r="F258" s="15"/>
      <c r="G258" s="15"/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t="14.25" customHeight="1">
      <c r="A259" s="15"/>
      <c r="B259" s="15"/>
      <c r="C259" s="15"/>
      <c r="D259" s="15"/>
      <c r="E259" s="15"/>
      <c r="F259" s="15"/>
      <c r="G259" s="15"/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t="14.25" customHeight="1">
      <c r="A260" s="15"/>
      <c r="B260" s="15"/>
      <c r="C260" s="15"/>
      <c r="D260" s="15"/>
      <c r="E260" s="15"/>
      <c r="F260" s="15"/>
      <c r="G260" s="15"/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t="14.25" customHeight="1">
      <c r="A261" s="15"/>
      <c r="B261" s="15"/>
      <c r="C261" s="15"/>
      <c r="D261" s="15"/>
      <c r="E261" s="15"/>
      <c r="F261" s="15"/>
      <c r="G261" s="15"/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t="14.25" customHeight="1">
      <c r="A262" s="15"/>
      <c r="B262" s="15"/>
      <c r="C262" s="15"/>
      <c r="D262" s="15"/>
      <c r="E262" s="15"/>
      <c r="F262" s="15"/>
      <c r="G262" s="15"/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t="14.25" customHeight="1">
      <c r="A263" s="15"/>
      <c r="B263" s="15"/>
      <c r="C263" s="15"/>
      <c r="D263" s="15"/>
      <c r="E263" s="15"/>
      <c r="F263" s="15"/>
      <c r="G263" s="15"/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t="14.25" customHeight="1">
      <c r="A264" s="15"/>
      <c r="B264" s="15"/>
      <c r="C264" s="15"/>
      <c r="D264" s="15"/>
      <c r="E264" s="15"/>
      <c r="F264" s="15"/>
      <c r="G264" s="15"/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t="14.25" customHeight="1">
      <c r="A265" s="15"/>
      <c r="B265" s="15"/>
      <c r="C265" s="15"/>
      <c r="D265" s="15"/>
      <c r="E265" s="15"/>
      <c r="F265" s="15"/>
      <c r="G265" s="15"/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1">
    <mergeCell ref="G13:H15"/>
    <mergeCell ref="G16:H20"/>
    <mergeCell ref="G24:H26"/>
    <mergeCell ref="G27:H31"/>
    <mergeCell ref="A1:F1"/>
    <mergeCell ref="A7:A8"/>
    <mergeCell ref="B7:C7"/>
    <mergeCell ref="D7:E7"/>
    <mergeCell ref="F7:F8"/>
    <mergeCell ref="A13:A15"/>
    <mergeCell ref="A16:A20"/>
    <mergeCell ref="A24:A26"/>
    <mergeCell ref="A27:A31"/>
    <mergeCell ref="C41:D41"/>
    <mergeCell ref="E41:F41"/>
    <mergeCell ref="C42:D42"/>
    <mergeCell ref="E42:F42"/>
    <mergeCell ref="A35:A39"/>
    <mergeCell ref="C45:D45"/>
    <mergeCell ref="E45:F45"/>
    <mergeCell ref="C46:D46"/>
    <mergeCell ref="E46:F46"/>
    <mergeCell ref="H46:I48"/>
    <mergeCell ref="C47:D47"/>
    <mergeCell ref="E47:F47"/>
    <mergeCell ref="C54:D54"/>
    <mergeCell ref="C55:D55"/>
    <mergeCell ref="C56:D56"/>
    <mergeCell ref="C57:D57"/>
    <mergeCell ref="C58:D58"/>
    <mergeCell ref="E55:F55"/>
    <mergeCell ref="E56:F56"/>
    <mergeCell ref="E57:F57"/>
    <mergeCell ref="E58:F58"/>
    <mergeCell ref="C48:D48"/>
    <mergeCell ref="E48:F48"/>
    <mergeCell ref="E54:F54"/>
    <mergeCell ref="C50:D50"/>
    <mergeCell ref="E50:F50"/>
    <mergeCell ref="C51:D51"/>
    <mergeCell ref="E51:F51"/>
  </mergeCells>
  <conditionalFormatting sqref="G9">
    <cfRule type="notContainsBlanks" dxfId="0" priority="1">
      <formula>LEN(TRIM(G9))&gt;0</formula>
    </cfRule>
  </conditionalFormatting>
  <conditionalFormatting sqref="G13">
    <cfRule type="notContainsBlanks" dxfId="1" priority="2">
      <formula>LEN(TRIM(G13))&gt;0</formula>
    </cfRule>
  </conditionalFormatting>
  <conditionalFormatting sqref="G16">
    <cfRule type="notContainsBlanks" dxfId="1" priority="3">
      <formula>LEN(TRIM(G16))&gt;0</formula>
    </cfRule>
  </conditionalFormatting>
  <conditionalFormatting sqref="G24">
    <cfRule type="notContainsBlanks" dxfId="1" priority="4">
      <formula>LEN(TRIM(G24))&gt;0</formula>
    </cfRule>
  </conditionalFormatting>
  <conditionalFormatting sqref="G27">
    <cfRule type="notContainsBlanks" dxfId="1" priority="5">
      <formula>LEN(TRIM(G27))&gt;0</formula>
    </cfRule>
  </conditionalFormatting>
  <conditionalFormatting sqref="H46">
    <cfRule type="notContainsBlanks" dxfId="1" priority="6">
      <formula>LEN(TRIM(H46))&gt;0</formula>
    </cfRule>
  </conditionalFormatting>
  <conditionalFormatting sqref="I13:I20">
    <cfRule type="notContainsBlanks" dxfId="0" priority="7">
      <formula>LEN(TRIM(I13))&gt;0</formula>
    </cfRule>
  </conditionalFormatting>
  <conditionalFormatting sqref="I24:I31">
    <cfRule type="notContainsBlanks" dxfId="0" priority="8">
      <formula>LEN(TRIM(I24))&gt;0</formula>
    </cfRule>
  </conditionalFormatting>
  <conditionalFormatting sqref="J46:J48">
    <cfRule type="notContainsBlanks" dxfId="0" priority="9">
      <formula>LEN(TRIM(J46))&gt;0</formula>
    </cfRule>
  </conditionalFormatting>
  <printOptions/>
  <pageMargins bottom="0.75" footer="0.0" header="0.0" left="0.7" right="0.7" top="0.75"/>
  <pageSetup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13.78"/>
    <col customWidth="1" min="2" max="2" width="25.0"/>
    <col customWidth="1" min="3" max="3" width="8.0"/>
    <col customWidth="1" min="4" max="4" width="11.33"/>
    <col customWidth="1" min="5" max="5" width="9.33"/>
    <col customWidth="1" min="6" max="6" width="6.0"/>
    <col customWidth="1" min="7" max="7" width="9.44"/>
    <col customWidth="1" min="8" max="8" width="20.33"/>
    <col customWidth="1" min="9" max="9" width="20.44"/>
    <col customWidth="1" min="10" max="10" width="11.0"/>
    <col customWidth="1" min="11" max="12" width="10.78"/>
    <col customWidth="1" min="13" max="26" width="11.0"/>
  </cols>
  <sheetData>
    <row r="1" ht="14.25" customHeight="1">
      <c r="A1" s="14" t="s">
        <v>38</v>
      </c>
      <c r="G1" s="15"/>
      <c r="H1" s="15"/>
      <c r="I1" s="16" t="s">
        <v>39</v>
      </c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14.25" customHeight="1">
      <c r="A2" s="15"/>
      <c r="B2" s="15"/>
      <c r="C2" s="15"/>
      <c r="D2" s="15"/>
      <c r="E2" s="15"/>
      <c r="F2" s="15"/>
      <c r="G2" s="15"/>
      <c r="H2" s="17" t="s">
        <v>40</v>
      </c>
      <c r="I2" s="18" t="str">
        <f>DATE(F3, 4, 1)</f>
        <v>#VALUE!</v>
      </c>
      <c r="J2" s="15"/>
      <c r="K2" s="19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t="14.25" customHeight="1">
      <c r="A3" s="15" t="s">
        <v>41</v>
      </c>
      <c r="B3" s="15"/>
      <c r="C3" s="20" t="s">
        <v>102</v>
      </c>
      <c r="D3" s="15"/>
      <c r="E3" s="15" t="s">
        <v>43</v>
      </c>
      <c r="F3" s="20" t="str">
        <f>YEAR(Results!E3)</f>
        <v>#VALUE!</v>
      </c>
      <c r="G3" s="15"/>
      <c r="H3" s="17" t="s">
        <v>44</v>
      </c>
      <c r="I3" s="18" t="str">
        <f>EOMONTH(I2,0)</f>
        <v>#VALUE!</v>
      </c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t="14.25" customHeight="1">
      <c r="A4" s="15" t="s">
        <v>45</v>
      </c>
      <c r="B4" s="15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t="14.25" customHeight="1">
      <c r="A5" s="15"/>
      <c r="B5" s="15"/>
      <c r="C5" s="15"/>
      <c r="D5" s="15"/>
      <c r="E5" s="15"/>
      <c r="F5" s="15"/>
      <c r="G5" s="15"/>
      <c r="H5" s="15"/>
      <c r="I5" s="15"/>
      <c r="J5" s="15"/>
      <c r="K5" s="15"/>
      <c r="L5" s="15"/>
      <c r="M5" s="15"/>
      <c r="N5" s="15"/>
      <c r="O5" s="21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t="14.25" customHeight="1">
      <c r="A6" s="15" t="s">
        <v>46</v>
      </c>
      <c r="B6" s="15"/>
      <c r="C6" s="15"/>
      <c r="D6" s="15"/>
      <c r="E6" s="15"/>
      <c r="F6" s="15"/>
      <c r="G6" s="15"/>
      <c r="H6" s="15"/>
      <c r="I6" s="20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t="14.25" customHeight="1">
      <c r="A7" s="22"/>
      <c r="B7" s="23" t="s">
        <v>47</v>
      </c>
      <c r="C7" s="24"/>
      <c r="D7" s="23" t="s">
        <v>48</v>
      </c>
      <c r="E7" s="24"/>
      <c r="F7" s="25" t="s">
        <v>49</v>
      </c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t="14.25" customHeight="1">
      <c r="A8" s="26"/>
      <c r="B8" s="27" t="s">
        <v>50</v>
      </c>
      <c r="C8" s="27" t="s">
        <v>51</v>
      </c>
      <c r="D8" s="27" t="s">
        <v>50</v>
      </c>
      <c r="E8" s="27" t="s">
        <v>51</v>
      </c>
      <c r="F8" s="26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t="14.25" customHeight="1">
      <c r="A9" s="28"/>
      <c r="B9" s="28">
        <f>COUNTIFS(Results!$E:$E,"&gt;="&amp;$I$2,Results!$E:$E,"&lt;="&amp;$I$3,Results!$I:$I,"Male",Results!$J:$J,"&lt;15", Results!$F:$F,"*tive")</f>
        <v>0</v>
      </c>
      <c r="C9" s="28">
        <f>COUNTIFS(Results!$E:$E,"&gt;="&amp;$I$2,Results!$E:$E,"&lt;="&amp;$I$3,Results!$I:$I,"Male",Results!$J:$J,"&gt;=15", Results!$F:$F,"*tive")</f>
        <v>0</v>
      </c>
      <c r="D9" s="28">
        <f>COUNTIFS(Results!$E:$E,"&gt;="&amp;$I$2,Results!$E:$E,"&lt;="&amp;$I$3,Results!$I:$I,"Female",Results!$J:$J,"&lt;15", Results!$F:$F,"*tive")</f>
        <v>0</v>
      </c>
      <c r="E9" s="28">
        <f>COUNTIFS(Results!$E:$E,"&gt;="&amp;$I$2,Results!$E:$E,"&lt;="&amp;$I$3,Results!$I:$I,"Female",Results!$J:$J,"&gt;=15", Results!$F:$F,"*tive")</f>
        <v>0</v>
      </c>
      <c r="F9" s="28">
        <f>COUNTIFS(Results!$E:$E,"&gt;="&amp;$I$2,Results!$E:$E,"&lt;="&amp;$I$3, Results!$F:$F,"*tive", Results!$J:$J,"&lt;&gt;Not on Form", Results!$J:$J,"&lt;&gt;N/A", Results!$I:$I,"&lt;&gt;Not on Form", Results!$I:$I,"&lt;&gt;N/A")</f>
        <v>0</v>
      </c>
      <c r="G9" s="15" t="str">
        <f>IF(SUM(B9:E9)=F9,"","Check Total Value &amp; Category")</f>
        <v/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t="14.25" customHeight="1">
      <c r="A10" s="15"/>
      <c r="B10" s="15"/>
      <c r="C10" s="15"/>
      <c r="D10" s="15"/>
      <c r="E10" s="15"/>
      <c r="F10" s="15"/>
      <c r="G10" s="15"/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t="14.25" customHeight="1">
      <c r="A11" s="15" t="s">
        <v>52</v>
      </c>
      <c r="B11" s="15"/>
      <c r="C11" s="15"/>
      <c r="D11" s="15"/>
      <c r="E11" s="15"/>
      <c r="F11" s="15"/>
      <c r="G11" s="15"/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t="14.25" customHeight="1">
      <c r="A12" s="28"/>
      <c r="B12" s="28"/>
      <c r="C12" s="29" t="s">
        <v>53</v>
      </c>
      <c r="D12" s="29" t="s">
        <v>54</v>
      </c>
      <c r="E12" s="29" t="s">
        <v>55</v>
      </c>
      <c r="F12" s="29" t="s">
        <v>49</v>
      </c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t="15.75" customHeight="1">
      <c r="A13" s="30" t="s">
        <v>56</v>
      </c>
      <c r="B13" s="28" t="s">
        <v>57</v>
      </c>
      <c r="C13" s="28">
        <f>COUNTIFS(Results!$E:$E,"&gt;="&amp;$I$2,Results!$E:$E,"&lt;="&amp;$I$3,Results!$L:$L,"Positive",Results!$K:$K,"No", Results!$F:$F,"*tive") + COUNTIFS(Results!$E:$E,"&gt;="&amp;$I$2,Results!$E:$E,"&lt;="&amp;$I$3,Results!$L:$L,"Positive",Results!$K:$K,"On Treatment", Results!$F:$F,"*tive")</f>
        <v>0</v>
      </c>
      <c r="D13" s="28">
        <f>COUNTIFS(Results!$E:$E,"&gt;="&amp;$I$2,Results!$E:$E,"&lt;="&amp;$I$3,Results!$L:$L,"Positive",Results!$K:$K,"Yes", Results!$F:$F,"*tive")</f>
        <v>0</v>
      </c>
      <c r="E13" s="28">
        <f>COUNTIFS(Results!$E:$E,"&gt;="&amp;$I$2,Results!$E:$E,"&lt;="&amp;$I$3,Results!$L:$L,"Positive",Results!$K:$K,"Unknown", Results!$F:$F,"*tive")</f>
        <v>0</v>
      </c>
      <c r="F13" s="28">
        <f>COUNTIFS(Results!$E:$E,"&gt;="&amp;$I$2,Results!$E:$E,"&lt;="&amp;$I$3,Results!$L:$L,"Positive", Results!$F:$F,"*tive", Results!$K:$K,"&lt;&gt;Not on Form", Results!$K:$K,"&lt;&gt;N/A", Results!$L:$L,"&lt;&gt;Not on Form", Results!$L:$L,"&lt;&gt;N/A")</f>
        <v>0</v>
      </c>
      <c r="G13" s="31" t="str">
        <f>IF($F$9=SUM(F13:F15),"","Error! Microscopy result does NOT match, cross check: Missing information in Microscopy Result")</f>
        <v/>
      </c>
      <c r="I13" s="15" t="str">
        <f t="shared" ref="I13:I18" si="1">IF(SUM(C13:E13)=F13,"","Check Total Value &amp; Category")</f>
        <v/>
      </c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t="14.25" customHeight="1">
      <c r="A14" s="32"/>
      <c r="B14" s="28" t="s">
        <v>58</v>
      </c>
      <c r="C14" s="28">
        <f>COUNTIFS(Results!$E:$E,"&gt;="&amp;$I$2,Results!$E:$E,"&lt;="&amp;$I$3,Results!$L:$L,"Negative",Results!$K:$K,"No", Results!$F:$F,"*tive") + COUNTIFS(Results!$E:$E,"&gt;="&amp;$I$2,Results!$E:$E,"&lt;="&amp;$I$3,Results!$L:$L,"Negative",Results!$K:$K,"On Treatment", Results!$F:$F,"*tive")</f>
        <v>0</v>
      </c>
      <c r="D14" s="28">
        <f>COUNTIFS(Results!$E:$E,"&gt;="&amp;$I$2,Results!$E:$E,"&lt;="&amp;$I$3,Results!$L:$L,"Negative",Results!$K:$K,"Yes", Results!$F:$F,"*tive")</f>
        <v>0</v>
      </c>
      <c r="E14" s="28">
        <f>COUNTIFS(Results!$E:$E,"&gt;="&amp;$I$2,Results!$E:$E,"&lt;="&amp;$I$3,Results!$L:$L,"Negative",Results!$K:$K,"Unknown", Results!$F:$F,"*tive")</f>
        <v>0</v>
      </c>
      <c r="F14" s="28">
        <f>COUNTIFS(Results!$E:$E,"&gt;="&amp;$I$2,Results!$E:$E,"&lt;="&amp;$I$3,Results!$L:$L,"Negative", Results!$F:$F,"*tive",Results!$K:$K,"&lt;&gt;Not on Form", Results!$K:$K,"&lt;&gt;N/A", Results!$L:$L,"&lt;&gt;Not on Form", Results!$L:$L,"&lt;&gt;N/A")</f>
        <v>0</v>
      </c>
      <c r="G14" s="33"/>
      <c r="I14" s="15" t="str">
        <f t="shared" si="1"/>
        <v/>
      </c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t="14.25" customHeight="1">
      <c r="A15" s="26"/>
      <c r="B15" s="28" t="s">
        <v>59</v>
      </c>
      <c r="C15" s="28">
        <f>COUNTIFS(Results!$E:$E,"&gt;="&amp;$I$2,Results!$E:$E,"&lt;="&amp;$I$3,Results!$L:$L,"Not Done",Results!$K:$K,"No", Results!$F:$F,"*tive") + COUNTIFS(Results!$E:$E,"&gt;="&amp;$I$2,Results!$E:$E,"&lt;="&amp;$I$3,Results!$L:$L,"Not Done",Results!$K:$K,"On Treatment", Results!$F:$F,"*tive")</f>
        <v>0</v>
      </c>
      <c r="D15" s="28">
        <f>COUNTIFS(Results!$E:$E,"&gt;="&amp;$I$2,Results!$E:$E,"&lt;="&amp;$I$3,Results!$L:$L,"Not Done",Results!$K:$K,"Yes", Results!$F:$F,"*tive")</f>
        <v>0</v>
      </c>
      <c r="E15" s="28">
        <f>COUNTIFS(Results!$E:$E,"&gt;="&amp;$I$2,Results!$E:$E,"&lt;="&amp;$I$3,Results!$L:$L,"Not Done",Results!$K:$K,"Unknown", Results!$F:$F,"*tive")</f>
        <v>0</v>
      </c>
      <c r="F15" s="28">
        <f>COUNTIFS(Results!$E:$E,"&gt;="&amp;$I$2,Results!$E:$E,"&lt;="&amp;$I$3,Results!$L:$L,"Not Done", Results!$F:$F,"*tive", Results!$K:$K,"&lt;&gt;Not on Form", Results!$K:$K,"&lt;&gt;N/A", Results!$L:$L,"&lt;&gt;Not on Form", Results!$L:$L,"&lt;&gt;N/A")</f>
        <v>0</v>
      </c>
      <c r="G15" s="33"/>
      <c r="I15" s="15" t="str">
        <f t="shared" si="1"/>
        <v/>
      </c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t="14.25" customHeight="1">
      <c r="A16" s="25" t="s">
        <v>60</v>
      </c>
      <c r="B16" s="28" t="s">
        <v>61</v>
      </c>
      <c r="C16" s="28">
        <f>COUNTIFS(Results!$E:$E,"&gt;="&amp;$I$2,Results!$E:$E,"&lt;="&amp;$I$3,Results!$F:$F,"Negative",Results!$K:$K,"No") + COUNTIFS(Results!$E:$E,"&gt;="&amp;$I$2,Results!$E:$E,"&lt;="&amp;$I$3,Results!$F:$F,"Negative",Results!$K:$K,"On Treatment")</f>
        <v>0</v>
      </c>
      <c r="D16" s="28">
        <f>COUNTIFS(Results!$E:$E,"&gt;="&amp;$I$2,Results!$E:$E,"&lt;="&amp;$I$3,Results!$F:$F,"Negative",Results!$K:$K,"Yes")</f>
        <v>0</v>
      </c>
      <c r="E16" s="28">
        <f>COUNTIFS(Results!$E:$E,"&gt;="&amp;$I$2,Results!$E:$E,"&lt;="&amp;$I$3,Results!$F:$F,"Negative",Results!$K:$K,"Unknown")</f>
        <v>0</v>
      </c>
      <c r="F16" s="28">
        <f>COUNTIFS(Results!$E:$E,"&gt;="&amp;$I$2,Results!$E:$E,"&lt;="&amp;$I$3,Results!$F:$F,"Negative", Results!$K:$K,"&lt;&gt;Not on Form", Results!$K:$K,"&lt;&gt;N/A")</f>
        <v>0</v>
      </c>
      <c r="G16" s="31" t="str">
        <f>IF($F$9=SUM(F16:F20),"","Error! Cross information between Xpert result and treatment category are not match; possibly there will be Erorr or missing information on MTB result OR RIF result")</f>
        <v/>
      </c>
      <c r="I16" s="15" t="str">
        <f t="shared" si="1"/>
        <v/>
      </c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t="14.25" customHeight="1">
      <c r="A17" s="32"/>
      <c r="B17" s="28" t="s">
        <v>62</v>
      </c>
      <c r="C17" s="28">
        <f>COUNTIFS(Results!$E:$E,"&gt;="&amp;$I$2,Results!$E:$E,"&lt;="&amp;$I$3,Results!$F:$F,"Positive",Results!$G:$G,"Negative",Results!$K:$K,"No") + COUNTIFS(Results!$E:$E,"&gt;="&amp;$I$2,Results!$E:$E,"&lt;="&amp;$I$3,Results!$F:$F,"Positive",Results!$G:$G,"Negative",Results!$K:$K,"On Treatment")</f>
        <v>0</v>
      </c>
      <c r="D17" s="28">
        <f>COUNTIFS(Results!$E:$E,"&gt;="&amp;$I$2,Results!$E:$E,"&lt;="&amp;$I$3,Results!$F:$F,"Positive",Results!$G:$G,"Negative",Results!$K:$K,"Yes")</f>
        <v>0</v>
      </c>
      <c r="E17" s="28">
        <f>COUNTIFS(Results!$E:$E,"&gt;="&amp;$I$2,Results!$E:$E,"&lt;="&amp;$I$3,Results!$F:$F,"Positive",Results!$G:$G,"Negative",Results!$K:$K,"Unknown")</f>
        <v>0</v>
      </c>
      <c r="F17" s="28">
        <f>COUNTIFS(Results!$E:$E,"&gt;="&amp;$I$2,Results!$E:$E,"&lt;="&amp;$I$3,Results!$F:$F,"Positive",Results!$G:$G,"Negative", Results!$K:$K,"&lt;&gt;Not on Form", Results!$K:$K,"&lt;&gt;N/A")</f>
        <v>0</v>
      </c>
      <c r="G17" s="33"/>
      <c r="I17" s="15" t="str">
        <f t="shared" si="1"/>
        <v/>
      </c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t="14.25" customHeight="1">
      <c r="A18" s="32"/>
      <c r="B18" s="28" t="s">
        <v>63</v>
      </c>
      <c r="C18" s="28">
        <f>COUNTIFS(Results!$E:$E,"&gt;="&amp;$I$2,Results!$E:$E,"&lt;="&amp;$I$3,Results!$F:$F,"Positive",Results!$G:$G,"Positive",Results!$K:$K,"No") + COUNTIFS(Results!$E:$E,"&gt;="&amp;$I$2,Results!$E:$E,"&lt;="&amp;$I$3,Results!$F:$F,"Positive",Results!$G:$G,"Positive",Results!$K:$K,"On Treatment")</f>
        <v>0</v>
      </c>
      <c r="D18" s="28">
        <f>COUNTIFS(Results!$E:$E,"&gt;="&amp;$I$2,Results!$E:$E,"&lt;="&amp;$I$3,Results!$F:$F,"Positive",Results!$G:$G,"Positive",Results!$K:$K,"Yes")</f>
        <v>0</v>
      </c>
      <c r="E18" s="28">
        <f>COUNTIFS(Results!$E:$E,"&gt;="&amp;$I$2,Results!$E:$E,"&lt;="&amp;$I$3,Results!$F:$F,"Positive",Results!$G:$G,"Positive",Results!$K:$K,"Unknown")</f>
        <v>0</v>
      </c>
      <c r="F18" s="28">
        <f>COUNTIFS(Results!$E:$E,"&gt;="&amp;$I$2,Results!$E:$E,"&lt;="&amp;$I$3,Results!$F:$F,"Positive",Results!$G:$G,"Positive", Results!$K:$K,"&lt;&gt;Not on Form", Results!$K:$K,"&lt;&gt;N/A")</f>
        <v>0</v>
      </c>
      <c r="G18" s="33"/>
      <c r="I18" s="15" t="str">
        <f t="shared" si="1"/>
        <v/>
      </c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t="14.25" customHeight="1">
      <c r="A19" s="32"/>
      <c r="B19" s="28" t="s">
        <v>64</v>
      </c>
      <c r="C19" s="28">
        <f>COUNTIFS(Results!$E:$E,"&gt;="&amp;$I$2,Results!$E:$E,"&lt;="&amp;$I$3,Results!$F:$F,"Positive",Results!$G:$G,"Indeterminate",Results!$K:$K,"No") + COUNTIFS(Results!$E:$E,"&gt;="&amp;$I$2,Results!$E:$E,"&lt;="&amp;$I$3,Results!$F:$F,"Positive",Results!$G:$G,"Indeterminate",Results!$K:$K,"On Treatment")</f>
        <v>0</v>
      </c>
      <c r="D19" s="28">
        <f>COUNTIFS(Results!$E:$E,"&gt;="&amp;$I$2,Results!$E:$E,"&lt;="&amp;$I$3,Results!$F:$F,"Positive",Results!$G:$G,"Indeterminate",Results!$K:$K,"Yes")</f>
        <v>0</v>
      </c>
      <c r="E19" s="28">
        <f>COUNTIFS(Results!$E:$E,"&gt;="&amp;$I$2,Results!$E:$E,"&lt;="&amp;$I$3,Results!$F:$F,"Positive",Results!$G:$G,"Indeterminate",Results!$K:$K,"Unknown")</f>
        <v>0</v>
      </c>
      <c r="F19" s="28">
        <f>COUNTIFS(Results!$E:$E,"&gt;="&amp;$I$2,Results!$E:$E,"&lt;="&amp;$I$3,Results!$F:$F,"Positive",Results!$G:$G,"Indeterminate", Results!$K:$K,"&lt;&gt;Not on Form", Results!$K:$K,"&lt;&gt;N/A")</f>
        <v>0</v>
      </c>
      <c r="G19" s="33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t="14.25" customHeight="1">
      <c r="A20" s="26"/>
      <c r="B20" s="28" t="s">
        <v>65</v>
      </c>
      <c r="C20" s="28">
        <f>COUNTIFS(Results!$E:$E,"&gt;="&amp;$I$2,Results!$E:$E,"&lt;="&amp;$I$3,Results!$F:$F,"Trace",Results!$G:$G,"Indeterminate",Results!$K:$K,"No") + COUNTIFS(Results!$E:$E,"&gt;="&amp;$I$2,Results!$E:$E,"&lt;="&amp;$I$3,Results!$F:$F,"Trace",Results!$G:$G,"Indeterminate",Results!$K:$K,"On Treatment")</f>
        <v>0</v>
      </c>
      <c r="D20" s="28">
        <f>COUNTIFS(Results!$E:$E,"&gt;="&amp;$I$2,Results!$E:$E,"&lt;="&amp;$I$3,Results!$F:$F,"Trace",Results!$G:$G,"Indeterminate",Results!$K:$K,"Yes")</f>
        <v>0</v>
      </c>
      <c r="E20" s="28">
        <f>COUNTIFS(Results!$E:$E,"&gt;="&amp;$I$2,Results!$E:$E,"&lt;="&amp;$I$3,Results!$F:$F,"Trace",Results!$G:$G,"Indeterminate",Results!$K:$K,"Unknown")</f>
        <v>0</v>
      </c>
      <c r="F20" s="28">
        <f>COUNTIFS(Results!$E:$E,"&gt;="&amp;$I$2,Results!$E:$E,"&lt;="&amp;$I$3,Results!$F:$F,"Trace",Results!$G:$G,"Indeterminate", Results!$K:$K,"&lt;&gt;Not on Form", Results!$K:$K,"&lt;&gt;N/A")</f>
        <v>0</v>
      </c>
      <c r="G20" s="33"/>
      <c r="I20" s="15" t="str">
        <f>IF(SUM(C20:E20)=F20,"","Check Total Value &amp; Category")</f>
        <v/>
      </c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t="14.25" customHeight="1">
      <c r="A21" s="15"/>
      <c r="B21" s="15"/>
      <c r="C21" s="15"/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t="14.25" customHeight="1">
      <c r="A22" s="15" t="s">
        <v>66</v>
      </c>
      <c r="B22" s="15"/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t="14.25" customHeight="1">
      <c r="A23" s="28"/>
      <c r="B23" s="28"/>
      <c r="C23" s="34" t="s">
        <v>67</v>
      </c>
      <c r="D23" s="34" t="s">
        <v>68</v>
      </c>
      <c r="E23" s="27" t="s">
        <v>55</v>
      </c>
      <c r="F23" s="27" t="s">
        <v>49</v>
      </c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t="15.75" hidden="1" customHeight="1">
      <c r="A24" s="30" t="s">
        <v>56</v>
      </c>
      <c r="B24" s="28" t="s">
        <v>57</v>
      </c>
      <c r="C24" s="28">
        <f>COUNTIFS(Results!$E:$E,"&gt;="&amp;$I$2,Results!$E:$E,"&lt;="&amp;$I$3,Results!$L:$L,"Positive",Results!$H:$H,"Positive", Results!$F:$F,"*tive")</f>
        <v>0</v>
      </c>
      <c r="D24" s="28">
        <f>COUNTIFS(Results!$E:$E,"&gt;="&amp;$I$2,Results!$E:$E,"&lt;="&amp;$I$3,Results!$L:$L,"Positive",Results!$H:$H,"Negative", Results!$F:$F,"*tive")</f>
        <v>0</v>
      </c>
      <c r="E24" s="28">
        <f>COUNTIFS(Results!$E:$E,"&gt;="&amp;$I$2,Results!$E:$E,"&lt;="&amp;$I$3,Results!$L:$L,"Positive",Results!$H:$H,"Unknown", Results!$F:$F,"*tive")</f>
        <v>0</v>
      </c>
      <c r="F24" s="28">
        <f>COUNTIFS(Results!$E:$E,"&gt;="&amp;$I$2,Results!$E:$E,"&lt;="&amp;$I$3,Results!$L:$L,"Positive", Results!$F:$F,"*tive", Results!$H:$H,"&lt;&gt;Not on Form", Results!$H:$H,"&lt;&gt;N/A", Results!$L:$L,"&lt;&gt;Not on Form", Results!$L:$L,"&lt;&gt;N/A")</f>
        <v>0</v>
      </c>
      <c r="G24" s="31" t="str">
        <f>IF($F$9=SUM(F24:F26),"","Error! Microscope Result and HIV Status do NOT match; Crosscheck for missing information in Microscope Result OR HIV Status")</f>
        <v/>
      </c>
      <c r="I24" s="15" t="str">
        <f t="shared" ref="I24:I29" si="2">IF(SUM(C24:E24)=F24,"","Check Total Value &amp; Category")</f>
        <v/>
      </c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t="14.25" hidden="1" customHeight="1">
      <c r="A25" s="32"/>
      <c r="B25" s="28" t="s">
        <v>58</v>
      </c>
      <c r="C25" s="28">
        <f>COUNTIFS(Results!$E:$E,"&gt;="&amp;$I$2,Results!$E:$E,"&lt;="&amp;$I$3,Results!$L:$L,"Negative",Results!$H:$H,"Positive", Results!$F:$F,"*tive")</f>
        <v>0</v>
      </c>
      <c r="D25" s="28">
        <f>COUNTIFS(Results!$E:$E,"&gt;="&amp;$I$2,Results!$E:$E,"&lt;="&amp;$I$3,Results!$L:$L,"Negative",Results!$H:$H,"Negative", Results!$F:$F,"*tive")</f>
        <v>0</v>
      </c>
      <c r="E25" s="28">
        <f>COUNTIFS(Results!$E:$E,"&gt;="&amp;$I$2,Results!$E:$E,"&lt;="&amp;$I$3,Results!$L:$L,"Negative",Results!$H:$H,"Unknown", Results!$F:$F,"*tive")</f>
        <v>0</v>
      </c>
      <c r="F25" s="28">
        <f>COUNTIFS(Results!$E:$E,"&gt;="&amp;$I$2,Results!$E:$E,"&lt;="&amp;$I$3,Results!$L:$L,"Negative", Results!$F:$F,"*tive",  Results!$H:$H,"&lt;&gt;Not on Form", Results!$H:$H,"&lt;&gt;N/A", Results!$L:$L,"&lt;&gt;Not on Form", Results!$L:$L,"&lt;&gt;N/A")</f>
        <v>0</v>
      </c>
      <c r="G25" s="33"/>
      <c r="I25" s="15" t="str">
        <f t="shared" si="2"/>
        <v/>
      </c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t="14.25" hidden="1" customHeight="1">
      <c r="A26" s="26"/>
      <c r="B26" s="28" t="s">
        <v>59</v>
      </c>
      <c r="C26" s="28">
        <f>COUNTIFS(Results!$E:$E,"&gt;="&amp;$I$2,Results!$E:$E,"&lt;="&amp;$I$3,Results!$L:$L,"Not Done",Results!$H:$H,"Positive", Results!$F:$F,"*tive")</f>
        <v>0</v>
      </c>
      <c r="D26" s="28">
        <f>COUNTIFS(Results!$E:$E,"&gt;="&amp;$I$2,Results!$E:$E,"&lt;="&amp;$I$3,Results!$L:$L,"Not Done",Results!$H:$H,"Negative", Results!$F:$F,"*tive")</f>
        <v>0</v>
      </c>
      <c r="E26" s="28">
        <f>COUNTIFS(Results!$E:$E,"&gt;="&amp;$I$2,Results!$E:$E,"&lt;="&amp;$I$3,Results!$L:$L,"Not Done",Results!$H:$H,"Unknown", Results!$F:$F,"*tive")</f>
        <v>0</v>
      </c>
      <c r="F26" s="28">
        <f>COUNTIFS(Results!$E:$E,"&gt;="&amp;$I$2,Results!$E:$E,"&lt;="&amp;$I$3,Results!$L:$L,"Not Done",Results!$F:$F,"*tive",  Results!$H:$H,"&lt;&gt;Not on Form", Results!$H:$H,"&lt;&gt;N/A", Results!$L:$L,"&lt;&gt;Not on Form", Results!$L:$L,"&lt;&gt;N/A")</f>
        <v>0</v>
      </c>
      <c r="G26" s="33"/>
      <c r="I26" s="15" t="str">
        <f t="shared" si="2"/>
        <v/>
      </c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t="14.25" customHeight="1">
      <c r="A27" s="25" t="s">
        <v>60</v>
      </c>
      <c r="B27" s="28" t="s">
        <v>61</v>
      </c>
      <c r="C27" s="28">
        <f>COUNTIFS(Results!$E:$E,"&gt;="&amp;$I$2,Results!$E:$E,"&lt;="&amp;$I$3,Results!$F:$F,"Negative",Results!$H:$H,"Positive")</f>
        <v>0</v>
      </c>
      <c r="D27" s="28">
        <f>COUNTIFS(Results!$E:$E,"&gt;="&amp;$I$2,Results!$E:$E,"&lt;="&amp;$I$3,Results!$F:$F,"Negative",Results!$H:$H,"Negative")</f>
        <v>0</v>
      </c>
      <c r="E27" s="28">
        <f>COUNTIFS(Results!$E:$E,"&gt;="&amp;$I$2,Results!$E:$E,"&lt;="&amp;$I$3,Results!$F:$F,"Negative",Results!$H:$H,"Unknown")</f>
        <v>0</v>
      </c>
      <c r="F27" s="28">
        <f>COUNTIFS(Results!$E:$E,"&gt;="&amp;$I$2,Results!$E:$E,"&lt;="&amp;$I$3,Results!$F:$F,"Negative", Results!$H:$H,"&lt;&gt;Not on Form", Results!$H:$H,"&lt;&gt;N/A")</f>
        <v>0</v>
      </c>
      <c r="G27" s="31" t="str">
        <f>IF($F$9=SUM(F27:F31),"","Error! Cross information between Xpert result and HIV Status are not match; possibly there will be Erorr or missing information on MTB result OR HIV Status")</f>
        <v/>
      </c>
      <c r="I27" s="15" t="str">
        <f t="shared" si="2"/>
        <v/>
      </c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t="14.25" customHeight="1">
      <c r="A28" s="32"/>
      <c r="B28" s="28" t="s">
        <v>62</v>
      </c>
      <c r="C28" s="28">
        <f>COUNTIFS(Results!$E:$E,"&gt;="&amp;$I$2,Results!$E:$E,"&lt;="&amp;$I$3,Results!$F:$F,"Positive",Results!$G:$G,"Negative",Results!$H:$H,"Positive")</f>
        <v>0</v>
      </c>
      <c r="D28" s="28">
        <f>COUNTIFS(Results!$E:$E,"&gt;="&amp;$I$2,Results!$E:$E,"&lt;="&amp;$I$3,Results!$F:$F,"Positive",Results!$G:$G,"Negative",Results!$H:$H,"Negative")</f>
        <v>0</v>
      </c>
      <c r="E28" s="28">
        <f>COUNTIFS(Results!$E:$E,"&gt;="&amp;$I$2,Results!$E:$E,"&lt;="&amp;$I$3,Results!$F:$F,"Positive",Results!$G:$G,"Negative",Results!$H:$H,"Unknown")</f>
        <v>0</v>
      </c>
      <c r="F28" s="28">
        <f>COUNTIFS(Results!$E:$E,"&gt;="&amp;$I$2,Results!$E:$E,"&lt;="&amp;$I$3,Results!$F:$F,"Positive",Results!$G:$G,"Negative", Results!$H:$H,"&lt;&gt;Not on Form", Results!$H:$H,"&lt;&gt;N/A")</f>
        <v>0</v>
      </c>
      <c r="G28" s="33"/>
      <c r="I28" s="15" t="str">
        <f t="shared" si="2"/>
        <v/>
      </c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t="14.25" customHeight="1">
      <c r="A29" s="32"/>
      <c r="B29" s="28" t="s">
        <v>63</v>
      </c>
      <c r="C29" s="28">
        <f>COUNTIFS(Results!$E:$E,"&gt;="&amp;$I$2,Results!$E:$E,"&lt;="&amp;$I$3,Results!$F:$F,"Positive",Results!$G:$G,"Positive",Results!$H:$H,"Positive")</f>
        <v>0</v>
      </c>
      <c r="D29" s="28">
        <f>COUNTIFS(Results!$E:$E,"&gt;="&amp;$I$2,Results!$E:$E,"&lt;="&amp;$I$3,Results!$F:$F,"Positive",Results!$G:$G,"Positive",Results!$H:$H,"Negative")</f>
        <v>0</v>
      </c>
      <c r="E29" s="28">
        <f>COUNTIFS(Results!$E:$E,"&gt;="&amp;$I$2,Results!$E:$E,"&lt;="&amp;$I$3,Results!$F:$F,"Positive",Results!$G:$G,"Positive",Results!$H:$H,"Unknown")</f>
        <v>0</v>
      </c>
      <c r="F29" s="28">
        <f>COUNTIFS(Results!$E:$E,"&gt;="&amp;$I$2,Results!$E:$E,"&lt;="&amp;$I$3,Results!$F:$F,"Positive",Results!$G:$G,"Positive", Results!$H:$H,"&lt;&gt;Not on Form", Results!$H:$H,"&lt;&gt;N/A")</f>
        <v>0</v>
      </c>
      <c r="G29" s="33"/>
      <c r="I29" s="15" t="str">
        <f t="shared" si="2"/>
        <v/>
      </c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t="14.25" customHeight="1">
      <c r="A30" s="32"/>
      <c r="B30" s="28" t="s">
        <v>64</v>
      </c>
      <c r="C30" s="28">
        <f>COUNTIFS(Results!$E:$E,"&gt;="&amp;$I$2,Results!$E:$E,"&lt;="&amp;$I$3,Results!$F:$F,"Positive",Results!$G:$G,"Indeterminate",Results!$H:$H,"Positive")</f>
        <v>0</v>
      </c>
      <c r="D30" s="28">
        <f>COUNTIFS(Results!$E:$E,"&gt;="&amp;$I$2,Results!$E:$E,"&lt;="&amp;$I$3,Results!$F:$F,"Positive",Results!$G:$G,"Indeterminate",Results!$H:$H,"Negative")</f>
        <v>0</v>
      </c>
      <c r="E30" s="28">
        <f>COUNTIFS(Results!$E:$E,"&gt;="&amp;$I$2,Results!$E:$E,"&lt;="&amp;$I$3,Results!$F:$F,"Positive",Results!$G:$G,"Indeterminate",Results!$H:$H,"Unknown")</f>
        <v>0</v>
      </c>
      <c r="F30" s="28">
        <f>COUNTIFS(Results!$E:$E,"&gt;="&amp;$I$2,Results!$E:$E,"&lt;="&amp;$I$3,Results!$F:$F,"Positive",Results!$G:$G,"Indeterminate", Results!$H:$H,"&lt;&gt;Not on Form", Results!$H:$H,"&lt;&gt;N/A")</f>
        <v>0</v>
      </c>
      <c r="G30" s="33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t="14.25" customHeight="1">
      <c r="A31" s="26"/>
      <c r="B31" s="28" t="s">
        <v>65</v>
      </c>
      <c r="C31" s="28">
        <f>COUNTIFS(Results!$E:$E,"&gt;="&amp;$I$2,Results!$E:$E,"&lt;="&amp;$I$3,Results!$F:$F,"Trace",Results!$G:$G,"Indeterminate",Results!$H:$H,"Positive")</f>
        <v>0</v>
      </c>
      <c r="D31" s="28">
        <f>COUNTIFS(Results!$E:$E,"&gt;="&amp;$I$2,Results!$E:$E,"&lt;="&amp;$I$3,Results!$F:$F,"Trace",Results!$G:$G,"Indeterminate",Results!$H:$H,"Negative")</f>
        <v>0</v>
      </c>
      <c r="E31" s="28">
        <f>COUNTIFS(Results!$E:$E,"&gt;="&amp;$I$2,Results!$E:$E,"&lt;="&amp;$I$3,Results!$F:$F,"Trace",Results!$G:$G,"Indeterminate",Results!$H:$H,"Unknown")</f>
        <v>0</v>
      </c>
      <c r="F31" s="28">
        <f>COUNTIFS(Results!$E:$E,"&gt;="&amp;$I$2,Results!$E:$E,"&lt;="&amp;$I$3,Results!$F:$F,"Trace",Results!$G:$G,"Indeterminate", Results!$H:$H,"&lt;&gt;Not on Form", Results!$H:$H,"&lt;&gt;N/A")</f>
        <v>0</v>
      </c>
      <c r="G31" s="33"/>
      <c r="I31" s="15" t="str">
        <f>IF(SUM(C31:E31)=F31,"","Check Total Value &amp; Category")</f>
        <v/>
      </c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t="14.25" customHeight="1">
      <c r="A32" s="15"/>
      <c r="B32" s="15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t="14.25" customHeight="1">
      <c r="A33" s="35" t="s">
        <v>69</v>
      </c>
      <c r="B33" s="36"/>
      <c r="C33" s="36"/>
      <c r="D33" s="36"/>
      <c r="E33" s="36"/>
      <c r="F33" s="36"/>
      <c r="G33" s="36"/>
      <c r="H33" s="36"/>
      <c r="I33" s="36"/>
      <c r="J33" s="36"/>
      <c r="K33" s="36"/>
      <c r="L33" s="36"/>
      <c r="M33" s="36"/>
      <c r="N33" s="36"/>
      <c r="O33" s="36"/>
      <c r="P33" s="36"/>
      <c r="Q33" s="36"/>
      <c r="R33" s="36"/>
      <c r="S33" s="36"/>
      <c r="T33" s="36"/>
      <c r="U33" s="36"/>
      <c r="V33" s="36"/>
      <c r="W33" s="36"/>
      <c r="X33" s="36"/>
      <c r="Y33" s="36"/>
      <c r="Z33" s="36"/>
    </row>
    <row r="34" ht="14.25" customHeight="1">
      <c r="A34" s="37"/>
      <c r="B34" s="37"/>
      <c r="C34" s="38" t="s">
        <v>70</v>
      </c>
      <c r="D34" s="38" t="s">
        <v>71</v>
      </c>
      <c r="E34" s="38" t="s">
        <v>72</v>
      </c>
      <c r="F34" s="38" t="s">
        <v>73</v>
      </c>
      <c r="G34" s="38" t="s">
        <v>74</v>
      </c>
      <c r="H34" s="39" t="s">
        <v>49</v>
      </c>
      <c r="I34" s="40"/>
      <c r="J34" s="40"/>
      <c r="K34" s="40"/>
      <c r="L34" s="40"/>
      <c r="M34" s="40"/>
      <c r="N34" s="40"/>
      <c r="O34" s="40"/>
      <c r="P34" s="40"/>
      <c r="Q34" s="40"/>
      <c r="R34" s="40"/>
      <c r="S34" s="40"/>
      <c r="T34" s="40"/>
      <c r="U34" s="40"/>
      <c r="V34" s="40"/>
      <c r="W34" s="40"/>
      <c r="X34" s="40"/>
      <c r="Y34" s="40"/>
      <c r="Z34" s="40"/>
    </row>
    <row r="35" ht="14.25" customHeight="1">
      <c r="A35" s="41" t="s">
        <v>60</v>
      </c>
      <c r="B35" s="42" t="s">
        <v>61</v>
      </c>
      <c r="C35" s="43">
        <f>COUNTIFS(Results!$E:$E,"&gt;="&amp;$I$2,Results!$E:$E,"&lt;="&amp;$I$3,Results!$F:$F,"Negative",Results!$S:$S,"*DX*")</f>
        <v>0</v>
      </c>
      <c r="D35" s="43">
        <f>COUNTIFS(Results!$E:$E,"&gt;="&amp;$I$2,Results!$E:$E,"&lt;="&amp;$I$3,Results!$F:$F,"Negative",Results!$S:$S,"*fu*")</f>
        <v>0</v>
      </c>
      <c r="E35" s="43">
        <f>COUNTIFS(Results!$E:$E,"&gt;="&amp;$I$2,Results!$E:$E,"&lt;="&amp;$I$3,Results!$F:$F,"Negative",Results!$S:$S,"*mdr*")</f>
        <v>0</v>
      </c>
      <c r="F35" s="43">
        <f>COUNTIFS(Results!$E:$E,"&gt;="&amp;$I$2,Results!$E:$E,"&lt;="&amp;$I$3,Results!$F:$F,"Negative",Results!$S:$S,"*dm*")</f>
        <v>0</v>
      </c>
      <c r="G35" s="43">
        <f>COUNTIFS(Results!$E:$E,"&gt;="&amp;$I$2,Results!$E:$E,"&lt;="&amp;$I$3,Results!$F:$F,"Negative",Results!$S:$S,"*na*")</f>
        <v>0</v>
      </c>
      <c r="H35" s="43">
        <f>COUNTIFS(Results!$E:$E,"&gt;="&amp;$I$2,Results!$E:$E,"&lt;="&amp;$I$3,Results!$F:$F,"Negative", Results!$O:$O,"&lt;&gt;Not on Form", Results!$O:$O,"&lt;&gt;N/A")</f>
        <v>0</v>
      </c>
      <c r="I35" s="40"/>
      <c r="J35" s="40"/>
      <c r="K35" s="40"/>
      <c r="L35" s="40"/>
      <c r="M35" s="40"/>
      <c r="N35" s="40"/>
      <c r="O35" s="40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</row>
    <row r="36" ht="14.25" customHeight="1">
      <c r="A36" s="32"/>
      <c r="B36" s="42" t="s">
        <v>62</v>
      </c>
      <c r="C36" s="43">
        <f>COUNTIFS(Results!$E:$E,"&gt;="&amp;$I$2,Results!$E:$E,"&lt;="&amp;$I$3,Results!$F:$F,"Positive",Results!$G:$G,"Negative",Results!$S:$S,"*DX*")</f>
        <v>0</v>
      </c>
      <c r="D36" s="43">
        <f>COUNTIFS(Results!$E:$E,"&gt;="&amp;$I$2,Results!$E:$E,"&lt;="&amp;$I$3,Results!$F:$F,"Positive",Results!$G:$G,"Negative",Results!$S:$S,"*fu*")</f>
        <v>0</v>
      </c>
      <c r="E36" s="43">
        <f>COUNTIFS(Results!$E:$E,"&gt;="&amp;$I$2,Results!$E:$E,"&lt;="&amp;$I$3,Results!$F:$F,"Positive",Results!$G:$G,"Negative",Results!$S:$S,"*mdr*")</f>
        <v>0</v>
      </c>
      <c r="F36" s="43">
        <f>COUNTIFS(Results!$E:$E,"&gt;="&amp;$I$2,Results!$E:$E,"&lt;="&amp;$I$3,Results!$F:$F,"Positive",Results!$G:$G,"Negative",Results!$S:$S,"*Dm*")</f>
        <v>0</v>
      </c>
      <c r="G36" s="43">
        <f>COUNTIFS(Results!$E:$E,"&gt;="&amp;$I$2,Results!$E:$E,"&lt;="&amp;$I$3,Results!$F:$F,"Positive",Results!$G:$G,"Negative",Results!$S:$S,"*na*")</f>
        <v>0</v>
      </c>
      <c r="H36" s="43">
        <f>COUNTIFS(Results!$E:$E,"&gt;="&amp;$I$2,Results!$E:$E,"&lt;="&amp;$I$3,Results!$F:$F,"Positive",Results!$G:$G,"Negative", Results!$O:$O,"&lt;&gt;Not on Form", Results!$O:$O,"&lt;&gt;N/A")</f>
        <v>0</v>
      </c>
      <c r="I36" s="40"/>
      <c r="J36" s="40"/>
      <c r="K36" s="40"/>
      <c r="L36" s="40"/>
      <c r="M36" s="40"/>
      <c r="N36" s="40"/>
      <c r="O36" s="40"/>
      <c r="P36" s="40"/>
      <c r="Q36" s="40"/>
      <c r="R36" s="40"/>
      <c r="S36" s="40"/>
      <c r="T36" s="40"/>
      <c r="U36" s="40"/>
      <c r="V36" s="40"/>
      <c r="W36" s="40"/>
      <c r="X36" s="40"/>
      <c r="Y36" s="40"/>
      <c r="Z36" s="40"/>
    </row>
    <row r="37" ht="14.25" customHeight="1">
      <c r="A37" s="32"/>
      <c r="B37" s="42" t="s">
        <v>63</v>
      </c>
      <c r="C37" s="43">
        <f>COUNTIFS(Results!$E:$E,"&gt;="&amp;$I$2,Results!$E:$E,"&lt;="&amp;$I$3,Results!$F:$F,"Positive",Results!$G:$G,"Positive",Results!$S:$S,"*DX*")</f>
        <v>0</v>
      </c>
      <c r="D37" s="43">
        <f>COUNTIFS(Results!$E:$E,"&gt;="&amp;$I$2,Results!$E:$E,"&lt;="&amp;$I$3,Results!$F:$F,"Positive",Results!$G:$G,"Positive",Results!$S:$S,"*fu*")</f>
        <v>0</v>
      </c>
      <c r="E37" s="43">
        <f>COUNTIFS(Results!$E:$E,"&gt;="&amp;$I$2,Results!$E:$E,"&lt;="&amp;$I$3,Results!$F:$F,"Positive",Results!$G:$G,"Positive",Results!$S:$S,"*mdr*")</f>
        <v>0</v>
      </c>
      <c r="F37" s="43">
        <f>COUNTIFS(Results!$E:$E,"&gt;="&amp;$I$2,Results!$E:$E,"&lt;="&amp;$I$3,Results!$F:$F,"Positive",Results!$G:$G,"Positive",Results!$S:$S,"*dm*")</f>
        <v>0</v>
      </c>
      <c r="G37" s="43">
        <f>COUNTIFS(Results!$E:$E,"&gt;="&amp;$I$2,Results!$E:$E,"&lt;="&amp;$I$3,Results!$F:$F,"Positive",Results!$G:$G,"Positive",Results!$S:$S,"*na*")</f>
        <v>0</v>
      </c>
      <c r="H37" s="43">
        <f>COUNTIFS(Results!$E:$E,"&gt;="&amp;$I$2,Results!$E:$E,"&lt;="&amp;$I$3,Results!$F:$F,"Positive",Results!$G:$G,"Positive", Results!$O:$O,"&lt;&gt;Not on Form", Results!$O:$O,"&lt;&gt;N/A")</f>
        <v>0</v>
      </c>
      <c r="I37" s="40"/>
      <c r="J37" s="40"/>
      <c r="K37" s="40"/>
      <c r="L37" s="40"/>
      <c r="M37" s="40"/>
      <c r="N37" s="40"/>
      <c r="O37" s="40"/>
      <c r="P37" s="40"/>
      <c r="Q37" s="40"/>
      <c r="R37" s="40"/>
      <c r="S37" s="40"/>
      <c r="T37" s="40"/>
      <c r="U37" s="40"/>
      <c r="V37" s="40"/>
      <c r="W37" s="40"/>
      <c r="X37" s="40"/>
      <c r="Y37" s="40"/>
      <c r="Z37" s="40"/>
    </row>
    <row r="38" ht="14.25" customHeight="1">
      <c r="A38" s="32"/>
      <c r="B38" s="42" t="s">
        <v>64</v>
      </c>
      <c r="C38" s="43">
        <f>COUNTIFS(Results!$E:$E,"&gt;="&amp;$I$2,Results!$E:$E,"&lt;="&amp;$I$3,Results!$F:$F,"Positive",Results!$G:$G,"Indeterminate",Results!$S:$S,"*DX*")</f>
        <v>0</v>
      </c>
      <c r="D38" s="43">
        <f>COUNTIFS(Results!$E:$E,"&gt;="&amp;$I$2,Results!$E:$E,"&lt;="&amp;$I$3,Results!$F:$F,"Positive",Results!$G:$G,"Indeterminate",Results!$S:$S,"*fu*")</f>
        <v>0</v>
      </c>
      <c r="E38" s="43">
        <f>COUNTIFS(Results!$E:$E,"&gt;="&amp;$I$2,Results!$E:$E,"&lt;="&amp;$I$3,Results!$F:$F,"Positive",Results!$G:$G,"Indeterminate",Results!$S:$S,"*mdr*")</f>
        <v>0</v>
      </c>
      <c r="F38" s="43">
        <f>COUNTIFS(Results!$E:$E,"&gt;="&amp;$I$2,Results!$E:$E,"&lt;="&amp;$I$3,Results!$F:$F,"Positive",Results!$G:$G,"Indeterminate",Results!$S:$S,"*dm*")</f>
        <v>0</v>
      </c>
      <c r="G38" s="43">
        <f>COUNTIFS(Results!$E:$E,"&gt;="&amp;$I$2,Results!$E:$E,"&lt;="&amp;$I$3,Results!$F:$F,"Positive",Results!$G:$G,"Indeterminate",Results!$S:$S,"*na*")</f>
        <v>0</v>
      </c>
      <c r="H38" s="43">
        <f>COUNTIFS(Results!$E:$E,"&gt;="&amp;$I$2,Results!$E:$E,"&lt;="&amp;$I$3,Results!$F:$F,"Positive",Results!$G:$G,"Indeterminate", Results!$O:$O,"&lt;&gt;Not on Form", Results!$O:$O,"&lt;&gt;N/A")</f>
        <v>0</v>
      </c>
      <c r="I38" s="40"/>
      <c r="J38" s="40"/>
      <c r="K38" s="40"/>
      <c r="L38" s="40"/>
      <c r="M38" s="40"/>
      <c r="N38" s="40"/>
      <c r="O38" s="40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</row>
    <row r="39" ht="14.25" customHeight="1">
      <c r="A39" s="26"/>
      <c r="B39" s="42" t="s">
        <v>75</v>
      </c>
      <c r="C39" s="43">
        <f>COUNTIFS(Results!$E:$E,"&gt;="&amp;$I$2,Results!$E:$E,"&lt;="&amp;$I$3,Results!$F:$F,"Trace",Results!$G:$G,"Indeterminate",Results!$S:$S,"*DX*")</f>
        <v>0</v>
      </c>
      <c r="D39" s="43">
        <f>COUNTIFS(Results!$E:$E,"&gt;="&amp;$I$2,Results!$E:$E,"&lt;="&amp;$I$3,Results!$F:$F,"Trace",Results!$G:$G,"Indeterminate",Results!$S:$S,"*fu*")</f>
        <v>0</v>
      </c>
      <c r="E39" s="43">
        <f>COUNTIFS(Results!$E:$E,"&gt;="&amp;$I$2,Results!$E:$E,"&lt;="&amp;$I$3,Results!$F:$F,"Trace",Results!$G:$G,"Indeterminate",Results!$S:$S,"*mdr*")</f>
        <v>0</v>
      </c>
      <c r="F39" s="43">
        <f>COUNTIFS(Results!$E:$E,"&gt;="&amp;$I$2,Results!$E:$E,"&lt;="&amp;$I$3,Results!$F:$F,"Trace",Results!$G:$G,"Indeterminate",Results!$S:$S,"*dm*")</f>
        <v>0</v>
      </c>
      <c r="G39" s="43">
        <f>COUNTIFS(Results!$E:$E,"&gt;="&amp;$I$2,Results!$E:$E,"&lt;="&amp;$I$3,Results!$F:$F,"Trace",Results!$G:$G,"Indeterminate",Results!$S:$S,"*na*")</f>
        <v>0</v>
      </c>
      <c r="H39" s="43">
        <f>COUNTIFS(Results!$E:$E,"&gt;="&amp;$I$2,Results!$E:$E,"&lt;="&amp;$I$3,Results!$F:$F,"Trace",Results!$G:$G,"Indeterminate", Results!$O:$O,"&lt;&gt;Not on Form", Results!$O:$O,"&lt;&gt;N/A")</f>
        <v>0</v>
      </c>
      <c r="I39" s="40"/>
      <c r="J39" s="40"/>
      <c r="K39" s="40"/>
      <c r="L39" s="40"/>
      <c r="M39" s="40"/>
      <c r="N39" s="40"/>
      <c r="O39" s="40"/>
      <c r="P39" s="40"/>
      <c r="Q39" s="40"/>
      <c r="R39" s="40"/>
      <c r="S39" s="40"/>
      <c r="T39" s="40"/>
      <c r="U39" s="40"/>
      <c r="V39" s="40"/>
      <c r="W39" s="40"/>
      <c r="X39" s="40"/>
      <c r="Y39" s="40"/>
      <c r="Z39" s="40"/>
    </row>
    <row r="40" ht="14.25" customHeight="1">
      <c r="A40" s="15"/>
      <c r="B40" s="15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t="14.25" customHeight="1">
      <c r="A41" s="15"/>
      <c r="B41" s="15"/>
      <c r="C41" s="23" t="s">
        <v>47</v>
      </c>
      <c r="D41" s="24"/>
      <c r="E41" s="23" t="s">
        <v>48</v>
      </c>
      <c r="F41" s="24"/>
      <c r="G41" s="22" t="s">
        <v>49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t="14.25" customHeight="1">
      <c r="A42" s="28" t="s">
        <v>76</v>
      </c>
      <c r="B42" s="28"/>
      <c r="C42" s="23">
        <f>COUNTIFS(Results!$E:$E,"&gt;="&amp;$I$2,Results!$E:$E,"&lt;="&amp;$I$3,Results!$I:$I,"Male",Results!$F:$F,"Positive",Results!$G:$G,"Positive")</f>
        <v>0</v>
      </c>
      <c r="D42" s="24"/>
      <c r="E42" s="23">
        <f>COUNTIFS(Results!$E:$E,"&gt;="&amp;$I$2,Results!$E:$E,"&lt;="&amp;$I$3,Results!$I:$I,"Female",Results!$F:$F,"Positive",Results!$G:$G,"Positive")</f>
        <v>0</v>
      </c>
      <c r="F42" s="24"/>
      <c r="G42" s="28">
        <f>COUNTIFS(Results!$E:$E,"&gt;="&amp;$I$2,Results!$E:$E,"&lt;="&amp;$I$3,Results!$F:$F,"Positive",Results!$G:$G,"Positive", Results!$I:$I,"&lt;&gt;Not on Form", Results!$I:$I,"&lt;&gt;N/A")</f>
        <v>0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t="14.25" customHeight="1">
      <c r="A43" s="15"/>
      <c r="B43" s="15"/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t="14.25" customHeight="1">
      <c r="A44" s="15" t="s">
        <v>77</v>
      </c>
      <c r="B44" s="15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t="14.25" customHeight="1">
      <c r="A45" s="28"/>
      <c r="B45" s="28"/>
      <c r="C45" s="23" t="s">
        <v>78</v>
      </c>
      <c r="D45" s="24"/>
      <c r="E45" s="23" t="s">
        <v>79</v>
      </c>
      <c r="F45" s="24"/>
      <c r="G45" s="28" t="s">
        <v>49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t="14.25" customHeight="1">
      <c r="A46" s="44" t="s">
        <v>80</v>
      </c>
      <c r="B46" s="45"/>
      <c r="C46" s="23">
        <f>COUNTIFS(Results!$E:$E,"&gt;="&amp;$I$2,Results!$E:$E,"&lt;="&amp;$I$3,Results!$F:$F,"Positive",Results!$L:$L,"Positive")</f>
        <v>0</v>
      </c>
      <c r="D46" s="24"/>
      <c r="E46" s="23">
        <f>COUNTIFS(Results!$E:$E,"&gt;="&amp;$I$2,Results!$E:$E,"&lt;="&amp;$I$3,Results!$F:$F,"Negative",Results!$L:$L,"Positive")</f>
        <v>0</v>
      </c>
      <c r="F46" s="24"/>
      <c r="G46" s="28">
        <f>COUNTIFS(Results!$E:$E,"&gt;="&amp;$I$2,Results!$E:$E,"&lt;="&amp;$I$3,Results!$L:$L,"Positive", Results!$F:$F,"*tive", Results!$L:$L,"&lt;&gt;Not on Form", Results!$L:$L,"&lt;&gt;N/A")</f>
        <v>0</v>
      </c>
      <c r="H46" s="31" t="s">
        <v>81</v>
      </c>
      <c r="J46" s="15" t="str">
        <f t="shared" ref="J46:J48" si="3">IF(SUM(C46:F46)=G46,"","Check Total Value &amp; Category")</f>
        <v/>
      </c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t="14.25" customHeight="1">
      <c r="A47" s="44" t="s">
        <v>82</v>
      </c>
      <c r="B47" s="45"/>
      <c r="C47" s="23">
        <f>COUNTIFS(Results!$E:$E,"&gt;="&amp;$I$2,Results!$E:$E,"&lt;="&amp;$I$3,Results!$F:$F,"Positive",Results!$L:$L,"Negative")</f>
        <v>0</v>
      </c>
      <c r="D47" s="24"/>
      <c r="E47" s="23">
        <f>COUNTIFS(Results!$E:$E,"&gt;="&amp;$I$2,Results!$E:$E,"&lt;="&amp;$I$3,Results!$F:$F,"Negative",Results!$L:$L,"Negative")</f>
        <v>0</v>
      </c>
      <c r="F47" s="24"/>
      <c r="G47" s="28">
        <f>COUNTIFS(Results!$E:$E,"&gt;="&amp;$I$2,Results!$E:$E,"&lt;="&amp;$I$3,Results!$L:$L,"Negative", Results!$F:$F,"*tive", Results!$F:$F,"*tive", Results!$L:$L,"&lt;&gt;Not on Form", Results!$L:$L,"&lt;&gt;N/A")</f>
        <v>0</v>
      </c>
      <c r="H47" s="33"/>
      <c r="J47" s="15" t="str">
        <f t="shared" si="3"/>
        <v/>
      </c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t="14.25" customHeight="1">
      <c r="A48" s="44" t="s">
        <v>83</v>
      </c>
      <c r="B48" s="45"/>
      <c r="C48" s="23">
        <f>COUNTIFS(Results!$E:$E,"&gt;="&amp;$I$2,Results!$E:$E,"&lt;="&amp;$I$3,Results!$F:$F,"Positive",Results!$L:$L,"Not Done")</f>
        <v>0</v>
      </c>
      <c r="D48" s="24"/>
      <c r="E48" s="23">
        <f>COUNTIFS(Results!$E:$E,"&gt;="&amp;$I$2,Results!$E:$E,"&lt;="&amp;$I$3,Results!$F:$F,"Negative",Results!$L:$L,"Not Done")</f>
        <v>0</v>
      </c>
      <c r="F48" s="24"/>
      <c r="G48" s="28">
        <f>COUNTIFS(Results!$E:$E,"&gt;="&amp;$I$2,Results!$E:$E,"&lt;="&amp;$I$3,Results!$L:$L,"Not Done", Results!$F:$F,"*tive", Results!$F:$F,"*tive", Results!$L:$L,"&lt;&gt;Not on Form", Results!$L:$L,"&lt;&gt;N/A")</f>
        <v>0</v>
      </c>
      <c r="H48" s="33"/>
      <c r="J48" s="15" t="str">
        <f t="shared" si="3"/>
        <v/>
      </c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t="14.25" customHeight="1">
      <c r="A49" s="15"/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t="14.25" customHeight="1">
      <c r="A50" s="36"/>
      <c r="B50" s="36"/>
      <c r="C50" s="46" t="s">
        <v>78</v>
      </c>
      <c r="D50" s="24"/>
      <c r="E50" s="46" t="s">
        <v>79</v>
      </c>
      <c r="F50" s="24"/>
      <c r="G50" s="47" t="s">
        <v>49</v>
      </c>
      <c r="H50" s="36"/>
      <c r="I50" s="36"/>
      <c r="J50" s="36"/>
      <c r="K50" s="36"/>
      <c r="L50" s="36"/>
      <c r="M50" s="36"/>
      <c r="N50" s="36"/>
      <c r="O50" s="36"/>
      <c r="P50" s="36"/>
      <c r="Q50" s="36"/>
      <c r="R50" s="36"/>
      <c r="S50" s="36"/>
      <c r="T50" s="36"/>
      <c r="U50" s="36"/>
      <c r="V50" s="36"/>
      <c r="W50" s="36"/>
      <c r="X50" s="36"/>
      <c r="Y50" s="36"/>
      <c r="Z50" s="36"/>
    </row>
    <row r="51" ht="14.25" customHeight="1">
      <c r="A51" s="42" t="s">
        <v>84</v>
      </c>
      <c r="B51" s="37"/>
      <c r="C51" s="48">
        <f>COUNTIFS(Results!$E:$E,"&gt;="&amp;$I$2,Results!$E:$E,"&lt;="&amp;$I$3,Results!$F:$F,"Positive",Results!$P:$P,"CXR")</f>
        <v>0</v>
      </c>
      <c r="D51" s="24"/>
      <c r="E51" s="48">
        <f>COUNTIFS(Results!$E:$E,"&gt;="&amp;$I$2,Results!$E:$E,"&lt;="&amp;$I$3,Results!$F:$F,"Negative",Results!$P:$P,"CXR")</f>
        <v>0</v>
      </c>
      <c r="F51" s="24"/>
      <c r="G51" s="49">
        <f>COUNTIFS(Results!$E:$E,"&gt;="&amp;$I$2,Results!$E:$E,"&lt;="&amp;$I$3,Results!$F:$F,"Negative",Results!$P:$P,"CXR")</f>
        <v>0</v>
      </c>
      <c r="H51" s="40"/>
      <c r="I51" s="40"/>
      <c r="J51" s="40"/>
      <c r="K51" s="40"/>
      <c r="L51" s="40"/>
      <c r="M51" s="40"/>
      <c r="N51" s="40"/>
      <c r="O51" s="40"/>
      <c r="P51" s="40"/>
      <c r="Q51" s="40"/>
      <c r="R51" s="40"/>
      <c r="S51" s="40"/>
      <c r="T51" s="40"/>
      <c r="U51" s="40"/>
      <c r="V51" s="40"/>
      <c r="W51" s="40"/>
      <c r="X51" s="40"/>
      <c r="Y51" s="40"/>
      <c r="Z51" s="40"/>
    </row>
    <row r="52" ht="14.25" customHeight="1">
      <c r="A52" s="15"/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t="14.25" customHeight="1">
      <c r="A53" s="15" t="s">
        <v>85</v>
      </c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t="14.25" customHeight="1">
      <c r="A54" s="28"/>
      <c r="B54" s="28"/>
      <c r="C54" s="23" t="s">
        <v>86</v>
      </c>
      <c r="D54" s="24"/>
      <c r="E54" s="23" t="s">
        <v>87</v>
      </c>
      <c r="F54" s="24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t="14.25" customHeight="1">
      <c r="A55" s="44" t="s">
        <v>88</v>
      </c>
      <c r="B55" s="45"/>
      <c r="C55" s="23"/>
      <c r="D55" s="24"/>
      <c r="E55" s="23"/>
      <c r="F55" s="24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t="14.25" customHeight="1">
      <c r="A56" s="44" t="s">
        <v>89</v>
      </c>
      <c r="B56" s="45"/>
      <c r="C56" s="23"/>
      <c r="D56" s="24"/>
      <c r="E56" s="23"/>
      <c r="F56" s="24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t="14.25" customHeight="1">
      <c r="A57" s="44" t="s">
        <v>90</v>
      </c>
      <c r="B57" s="45"/>
      <c r="C57" s="23">
        <f>COUNTIFS(Results!$E:$E,"&gt;="&amp;$I$2,Results!$E:$E,"&lt;="&amp;$I$3)</f>
        <v>0</v>
      </c>
      <c r="D57" s="24"/>
      <c r="E57" s="23"/>
      <c r="F57" s="24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t="14.25" customHeight="1">
      <c r="A58" s="44" t="s">
        <v>91</v>
      </c>
      <c r="B58" s="45"/>
      <c r="C58" s="23">
        <f>C55+C56-C57</f>
        <v>0</v>
      </c>
      <c r="D58" s="24"/>
      <c r="E58" s="23"/>
      <c r="F58" s="24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t="14.25" customHeight="1">
      <c r="A59" s="50" t="s">
        <v>92</v>
      </c>
      <c r="B59" s="50"/>
      <c r="C59" s="50">
        <f>COUNTIFS(Results!$E:$E,"&gt;="&amp;$I$2,Results!$E:$E,"&lt;="&amp;$I$3,Results!$F:$F,"Error")+COUNTIFS(Results!$E:$E,"&gt;="&amp;$I$2,Results!$E:$E,"&lt;="&amp;$I$3,Results!$F:$F,"Invalid")</f>
        <v>0</v>
      </c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t="14.25" customHeight="1">
      <c r="A60" s="50" t="s">
        <v>93</v>
      </c>
      <c r="B60" s="15"/>
      <c r="C60" s="50">
        <f>COUNTIFS(Results!$E:$E,"&gt;="&amp;$I$2,Results!$E:$E,"&lt;="&amp;$I$3,Results!$F:$F,"No Result")</f>
        <v>0</v>
      </c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t="14.25" customHeight="1">
      <c r="A61" s="15"/>
      <c r="B61" s="15"/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t="14.25" customHeight="1">
      <c r="A62" s="15"/>
      <c r="B62" s="15"/>
      <c r="C62" s="15"/>
      <c r="D62" s="15"/>
      <c r="E62" s="15" t="s">
        <v>94</v>
      </c>
      <c r="F62" s="51"/>
      <c r="G62" s="51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t="14.25" customHeight="1">
      <c r="A63" s="15"/>
      <c r="B63" s="15"/>
      <c r="C63" s="15"/>
      <c r="D63" s="15"/>
      <c r="E63" s="15" t="s">
        <v>95</v>
      </c>
      <c r="F63" s="52"/>
      <c r="G63" s="52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t="14.25" customHeight="1">
      <c r="A64" s="15"/>
      <c r="B64" s="15"/>
      <c r="C64" s="15"/>
      <c r="D64" s="15"/>
      <c r="E64" s="15" t="s">
        <v>96</v>
      </c>
      <c r="F64" s="52"/>
      <c r="G64" s="52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t="14.25" customHeight="1">
      <c r="A65" s="15"/>
      <c r="B65" s="15"/>
      <c r="C65" s="15"/>
      <c r="D65" s="15"/>
      <c r="E65" s="15" t="s">
        <v>97</v>
      </c>
      <c r="F65" s="52"/>
      <c r="G65" s="52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t="14.25" customHeight="1">
      <c r="A66" s="15"/>
      <c r="B66" s="15"/>
      <c r="C66" s="15"/>
      <c r="D66" s="15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t="14.25" customHeight="1">
      <c r="A67" s="15"/>
      <c r="B67" s="15"/>
      <c r="C67" s="15"/>
      <c r="D67" s="15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t="14.25" customHeight="1">
      <c r="A68" s="15"/>
      <c r="B68" s="15"/>
      <c r="C68" s="15"/>
      <c r="D68" s="15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t="14.25" customHeight="1">
      <c r="A69" s="15"/>
      <c r="B69" s="15"/>
      <c r="C69" s="15"/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t="14.25" customHeight="1">
      <c r="A70" s="15"/>
      <c r="B70" s="15"/>
      <c r="C70" s="15"/>
      <c r="D70" s="15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t="14.25" customHeight="1">
      <c r="A71" s="15"/>
      <c r="B71" s="15"/>
      <c r="C71" s="15"/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t="14.25" customHeight="1">
      <c r="A72" s="15"/>
      <c r="B72" s="15"/>
      <c r="C72" s="15"/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t="14.25" customHeight="1">
      <c r="A73" s="15"/>
      <c r="B73" s="15"/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t="14.25" customHeight="1">
      <c r="A74" s="15"/>
      <c r="B74" s="15"/>
      <c r="C74" s="15"/>
      <c r="D74" s="15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t="14.25" customHeight="1">
      <c r="A75" s="15"/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t="14.25" customHeight="1">
      <c r="A76" s="15"/>
      <c r="B76" s="15"/>
      <c r="C76" s="15"/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t="14.25" customHeight="1">
      <c r="A77" s="15"/>
      <c r="B77" s="15"/>
      <c r="C77" s="15"/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t="14.25" customHeight="1">
      <c r="A78" s="15"/>
      <c r="B78" s="15"/>
      <c r="C78" s="15"/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t="14.25" customHeight="1">
      <c r="A79" s="15"/>
      <c r="B79" s="15"/>
      <c r="C79" s="15"/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t="14.25" customHeight="1">
      <c r="A80" s="15"/>
      <c r="B80" s="15"/>
      <c r="C80" s="15"/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t="14.25" customHeight="1">
      <c r="A81" s="15"/>
      <c r="B81" s="15"/>
      <c r="C81" s="15"/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t="14.25" customHeight="1">
      <c r="A82" s="15"/>
      <c r="B82" s="15"/>
      <c r="C82" s="15"/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t="14.25" customHeight="1">
      <c r="A83" s="15"/>
      <c r="B83" s="15"/>
      <c r="C83" s="15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t="14.25" customHeight="1">
      <c r="A84" s="15"/>
      <c r="B84" s="15"/>
      <c r="C84" s="15"/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t="14.25" customHeight="1">
      <c r="A85" s="15"/>
      <c r="B85" s="15"/>
      <c r="C85" s="15"/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t="14.25" customHeight="1">
      <c r="A86" s="15"/>
      <c r="B86" s="15"/>
      <c r="C86" s="15"/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t="14.25" customHeight="1">
      <c r="A87" s="15"/>
      <c r="B87" s="15"/>
      <c r="C87" s="15"/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t="14.25" customHeight="1">
      <c r="A88" s="15"/>
      <c r="B88" s="15"/>
      <c r="C88" s="15"/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t="14.25" customHeight="1">
      <c r="A89" s="15"/>
      <c r="B89" s="15"/>
      <c r="C89" s="15"/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t="14.25" customHeight="1">
      <c r="A90" s="15"/>
      <c r="B90" s="15"/>
      <c r="C90" s="15"/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t="14.25" customHeight="1">
      <c r="A91" s="15"/>
      <c r="B91" s="15"/>
      <c r="C91" s="15"/>
      <c r="D91" s="15"/>
      <c r="E91" s="15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t="14.25" customHeight="1">
      <c r="A92" s="15"/>
      <c r="B92" s="15"/>
      <c r="C92" s="15"/>
      <c r="D92" s="15"/>
      <c r="E92" s="15"/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t="14.25" customHeight="1">
      <c r="A93" s="15"/>
      <c r="B93" s="15"/>
      <c r="C93" s="15"/>
      <c r="D93" s="15"/>
      <c r="E93" s="15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t="14.25" customHeight="1">
      <c r="A94" s="15"/>
      <c r="B94" s="15"/>
      <c r="C94" s="15"/>
      <c r="D94" s="15"/>
      <c r="E94" s="15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t="14.25" customHeight="1">
      <c r="A95" s="15"/>
      <c r="B95" s="15"/>
      <c r="C95" s="15"/>
      <c r="D95" s="15"/>
      <c r="E95" s="15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t="14.25" customHeight="1">
      <c r="A96" s="15"/>
      <c r="B96" s="15"/>
      <c r="C96" s="15"/>
      <c r="D96" s="15"/>
      <c r="E96" s="15"/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t="14.25" customHeight="1">
      <c r="A97" s="15"/>
      <c r="B97" s="15"/>
      <c r="C97" s="15"/>
      <c r="D97" s="15"/>
      <c r="E97" s="15"/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t="14.25" customHeight="1">
      <c r="A98" s="15"/>
      <c r="B98" s="15"/>
      <c r="C98" s="15"/>
      <c r="D98" s="15"/>
      <c r="E98" s="15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t="14.25" customHeight="1">
      <c r="A99" s="15"/>
      <c r="B99" s="15"/>
      <c r="C99" s="15"/>
      <c r="D99" s="15"/>
      <c r="E99" s="15"/>
      <c r="F99" s="15"/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t="14.25" customHeight="1">
      <c r="A100" s="15"/>
      <c r="B100" s="15"/>
      <c r="C100" s="15"/>
      <c r="D100" s="15"/>
      <c r="E100" s="15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t="14.25" customHeight="1">
      <c r="A101" s="15"/>
      <c r="B101" s="15"/>
      <c r="C101" s="15"/>
      <c r="D101" s="15"/>
      <c r="E101" s="15"/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t="14.25" customHeight="1">
      <c r="A102" s="15"/>
      <c r="B102" s="15"/>
      <c r="C102" s="15"/>
      <c r="D102" s="15"/>
      <c r="E102" s="15"/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t="14.25" customHeight="1">
      <c r="A103" s="15"/>
      <c r="B103" s="15"/>
      <c r="C103" s="15"/>
      <c r="D103" s="15"/>
      <c r="E103" s="15"/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t="14.25" customHeight="1">
      <c r="A104" s="15"/>
      <c r="B104" s="15"/>
      <c r="C104" s="15"/>
      <c r="D104" s="15"/>
      <c r="E104" s="15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t="14.25" customHeight="1">
      <c r="A105" s="15"/>
      <c r="B105" s="15"/>
      <c r="C105" s="15"/>
      <c r="D105" s="15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t="14.25" customHeight="1">
      <c r="A106" s="15"/>
      <c r="B106" s="15"/>
      <c r="C106" s="15"/>
      <c r="D106" s="15"/>
      <c r="E106" s="15"/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t="14.25" customHeight="1">
      <c r="A107" s="15"/>
      <c r="B107" s="15"/>
      <c r="C107" s="15"/>
      <c r="D107" s="15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t="14.25" customHeight="1">
      <c r="A108" s="15"/>
      <c r="B108" s="15"/>
      <c r="C108" s="15"/>
      <c r="D108" s="15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t="14.25" customHeight="1">
      <c r="A109" s="15"/>
      <c r="B109" s="15"/>
      <c r="C109" s="15"/>
      <c r="D109" s="15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t="14.25" customHeight="1">
      <c r="A110" s="15"/>
      <c r="B110" s="15"/>
      <c r="C110" s="15"/>
      <c r="D110" s="15"/>
      <c r="E110" s="15"/>
      <c r="F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t="14.25" customHeight="1">
      <c r="A111" s="15"/>
      <c r="B111" s="15"/>
      <c r="C111" s="15"/>
      <c r="D111" s="15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t="14.25" customHeight="1">
      <c r="A112" s="15"/>
      <c r="B112" s="15"/>
      <c r="C112" s="15"/>
      <c r="D112" s="15"/>
      <c r="E112" s="15"/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t="14.25" customHeight="1">
      <c r="A113" s="15"/>
      <c r="B113" s="15"/>
      <c r="C113" s="15"/>
      <c r="D113" s="15"/>
      <c r="E113" s="15"/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t="14.25" customHeight="1">
      <c r="A114" s="15"/>
      <c r="B114" s="15"/>
      <c r="C114" s="15"/>
      <c r="D114" s="15"/>
      <c r="E114" s="15"/>
      <c r="F114" s="15"/>
      <c r="G114" s="15"/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t="14.25" customHeight="1">
      <c r="A115" s="15"/>
      <c r="B115" s="15"/>
      <c r="C115" s="15"/>
      <c r="D115" s="15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t="14.25" customHeight="1">
      <c r="A116" s="15"/>
      <c r="B116" s="15"/>
      <c r="C116" s="15"/>
      <c r="D116" s="15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t="14.25" customHeight="1">
      <c r="A117" s="15"/>
      <c r="B117" s="15"/>
      <c r="C117" s="15"/>
      <c r="D117" s="15"/>
      <c r="E117" s="15"/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t="14.25" customHeight="1">
      <c r="A118" s="15"/>
      <c r="B118" s="15"/>
      <c r="C118" s="15"/>
      <c r="D118" s="15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t="14.25" customHeight="1">
      <c r="A119" s="15"/>
      <c r="B119" s="15"/>
      <c r="C119" s="15"/>
      <c r="D119" s="15"/>
      <c r="E119" s="15"/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t="14.25" customHeight="1">
      <c r="A120" s="15"/>
      <c r="B120" s="15"/>
      <c r="C120" s="15"/>
      <c r="D120" s="15"/>
      <c r="E120" s="15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t="14.25" customHeight="1">
      <c r="A121" s="15"/>
      <c r="B121" s="15"/>
      <c r="C121" s="15"/>
      <c r="D121" s="15"/>
      <c r="E121" s="15"/>
      <c r="F121" s="15"/>
      <c r="G121" s="15"/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t="14.25" customHeight="1">
      <c r="A122" s="15"/>
      <c r="B122" s="15"/>
      <c r="C122" s="15"/>
      <c r="D122" s="15"/>
      <c r="E122" s="15"/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t="14.25" customHeight="1">
      <c r="A123" s="15"/>
      <c r="B123" s="15"/>
      <c r="C123" s="15"/>
      <c r="D123" s="15"/>
      <c r="E123" s="15"/>
      <c r="F123" s="15"/>
      <c r="G123" s="15"/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t="14.25" customHeight="1">
      <c r="A124" s="15"/>
      <c r="B124" s="15"/>
      <c r="C124" s="15"/>
      <c r="D124" s="15"/>
      <c r="E124" s="15"/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t="14.25" customHeight="1">
      <c r="A125" s="15"/>
      <c r="B125" s="15"/>
      <c r="C125" s="15"/>
      <c r="D125" s="15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t="14.25" customHeight="1">
      <c r="A126" s="15"/>
      <c r="B126" s="15"/>
      <c r="C126" s="15"/>
      <c r="D126" s="15"/>
      <c r="E126" s="15"/>
      <c r="F126" s="15"/>
      <c r="G126" s="15"/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t="14.25" customHeight="1">
      <c r="A127" s="15"/>
      <c r="B127" s="15"/>
      <c r="C127" s="15"/>
      <c r="D127" s="15"/>
      <c r="E127" s="15"/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t="14.25" customHeight="1">
      <c r="A128" s="15"/>
      <c r="B128" s="15"/>
      <c r="C128" s="15"/>
      <c r="D128" s="15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t="14.25" customHeight="1">
      <c r="A129" s="15"/>
      <c r="B129" s="15"/>
      <c r="C129" s="15"/>
      <c r="D129" s="15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t="14.25" customHeight="1">
      <c r="A130" s="15"/>
      <c r="B130" s="15"/>
      <c r="C130" s="15"/>
      <c r="D130" s="15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t="14.25" customHeight="1">
      <c r="A131" s="15"/>
      <c r="B131" s="15"/>
      <c r="C131" s="15"/>
      <c r="D131" s="15"/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t="14.25" customHeight="1">
      <c r="A132" s="15"/>
      <c r="B132" s="15"/>
      <c r="C132" s="15"/>
      <c r="D132" s="15"/>
      <c r="E132" s="15"/>
      <c r="F132" s="15"/>
      <c r="G132" s="15"/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t="14.25" customHeight="1">
      <c r="A133" s="15"/>
      <c r="B133" s="15"/>
      <c r="C133" s="15"/>
      <c r="D133" s="15"/>
      <c r="E133" s="15"/>
      <c r="F133" s="15"/>
      <c r="G133" s="15"/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t="14.25" customHeight="1">
      <c r="A134" s="15"/>
      <c r="B134" s="15"/>
      <c r="C134" s="15"/>
      <c r="D134" s="15"/>
      <c r="E134" s="15"/>
      <c r="F134" s="15"/>
      <c r="G134" s="15"/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t="14.25" customHeight="1">
      <c r="A135" s="15"/>
      <c r="B135" s="15"/>
      <c r="C135" s="15"/>
      <c r="D135" s="15"/>
      <c r="E135" s="15"/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t="14.25" customHeight="1">
      <c r="A136" s="15"/>
      <c r="B136" s="15"/>
      <c r="C136" s="15"/>
      <c r="D136" s="15"/>
      <c r="E136" s="15"/>
      <c r="F136" s="15"/>
      <c r="G136" s="15"/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t="14.25" customHeight="1">
      <c r="A137" s="15"/>
      <c r="B137" s="15"/>
      <c r="C137" s="15"/>
      <c r="D137" s="15"/>
      <c r="E137" s="15"/>
      <c r="F137" s="15"/>
      <c r="G137" s="15"/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t="14.25" customHeight="1">
      <c r="A138" s="15"/>
      <c r="B138" s="15"/>
      <c r="C138" s="15"/>
      <c r="D138" s="15"/>
      <c r="E138" s="15"/>
      <c r="F138" s="15"/>
      <c r="G138" s="15"/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t="14.25" customHeight="1">
      <c r="A139" s="15"/>
      <c r="B139" s="15"/>
      <c r="C139" s="15"/>
      <c r="D139" s="15"/>
      <c r="E139" s="15"/>
      <c r="F139" s="15"/>
      <c r="G139" s="15"/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t="14.25" customHeight="1">
      <c r="A140" s="15"/>
      <c r="B140" s="15"/>
      <c r="C140" s="15"/>
      <c r="D140" s="15"/>
      <c r="E140" s="15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t="14.25" customHeight="1">
      <c r="A141" s="15"/>
      <c r="B141" s="15"/>
      <c r="C141" s="15"/>
      <c r="D141" s="15"/>
      <c r="E141" s="15"/>
      <c r="F141" s="15"/>
      <c r="G141" s="15"/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t="14.25" customHeight="1">
      <c r="A142" s="15"/>
      <c r="B142" s="15"/>
      <c r="C142" s="15"/>
      <c r="D142" s="15"/>
      <c r="E142" s="15"/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t="14.25" customHeight="1">
      <c r="A143" s="15"/>
      <c r="B143" s="15"/>
      <c r="C143" s="15"/>
      <c r="D143" s="15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t="14.25" customHeight="1">
      <c r="A144" s="15"/>
      <c r="B144" s="15"/>
      <c r="C144" s="15"/>
      <c r="D144" s="15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t="14.25" customHeight="1">
      <c r="A145" s="15"/>
      <c r="B145" s="15"/>
      <c r="C145" s="15"/>
      <c r="D145" s="15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t="14.25" customHeight="1">
      <c r="A146" s="15"/>
      <c r="B146" s="15"/>
      <c r="C146" s="15"/>
      <c r="D146" s="15"/>
      <c r="E146" s="15"/>
      <c r="F146" s="15"/>
      <c r="G146" s="15"/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t="14.25" customHeight="1">
      <c r="A147" s="15"/>
      <c r="B147" s="15"/>
      <c r="C147" s="15"/>
      <c r="D147" s="15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t="14.25" customHeight="1">
      <c r="A148" s="15"/>
      <c r="B148" s="15"/>
      <c r="C148" s="15"/>
      <c r="D148" s="15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t="14.25" customHeight="1">
      <c r="A149" s="15"/>
      <c r="B149" s="15"/>
      <c r="C149" s="15"/>
      <c r="D149" s="15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t="14.25" customHeight="1">
      <c r="A150" s="15"/>
      <c r="B150" s="15"/>
      <c r="C150" s="15"/>
      <c r="D150" s="15"/>
      <c r="E150" s="15"/>
      <c r="F150" s="15"/>
      <c r="G150" s="15"/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t="14.25" customHeight="1">
      <c r="A151" s="15"/>
      <c r="B151" s="15"/>
      <c r="C151" s="15"/>
      <c r="D151" s="15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t="14.25" customHeight="1">
      <c r="A152" s="15"/>
      <c r="B152" s="15"/>
      <c r="C152" s="15"/>
      <c r="D152" s="15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t="14.25" customHeight="1">
      <c r="A153" s="15"/>
      <c r="B153" s="15"/>
      <c r="C153" s="15"/>
      <c r="D153" s="15"/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t="14.25" customHeight="1">
      <c r="A154" s="15"/>
      <c r="B154" s="15"/>
      <c r="C154" s="15"/>
      <c r="D154" s="15"/>
      <c r="E154" s="15"/>
      <c r="F154" s="15"/>
      <c r="G154" s="15"/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t="14.25" customHeight="1">
      <c r="A155" s="15"/>
      <c r="B155" s="15"/>
      <c r="C155" s="15"/>
      <c r="D155" s="15"/>
      <c r="E155" s="15"/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t="14.25" customHeight="1">
      <c r="A156" s="15"/>
      <c r="B156" s="15"/>
      <c r="C156" s="15"/>
      <c r="D156" s="15"/>
      <c r="E156" s="15"/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t="14.25" customHeight="1">
      <c r="A157" s="15"/>
      <c r="B157" s="15"/>
      <c r="C157" s="15"/>
      <c r="D157" s="15"/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t="14.25" customHeight="1">
      <c r="A158" s="15"/>
      <c r="B158" s="15"/>
      <c r="C158" s="15"/>
      <c r="D158" s="15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t="14.25" customHeight="1">
      <c r="A159" s="15"/>
      <c r="B159" s="15"/>
      <c r="C159" s="15"/>
      <c r="D159" s="15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t="14.25" customHeight="1">
      <c r="A160" s="15"/>
      <c r="B160" s="15"/>
      <c r="C160" s="15"/>
      <c r="D160" s="15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t="14.25" customHeight="1">
      <c r="A161" s="15"/>
      <c r="B161" s="15"/>
      <c r="C161" s="15"/>
      <c r="D161" s="15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t="14.25" customHeight="1">
      <c r="A162" s="15"/>
      <c r="B162" s="15"/>
      <c r="C162" s="15"/>
      <c r="D162" s="15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t="14.25" customHeight="1">
      <c r="A163" s="15"/>
      <c r="B163" s="15"/>
      <c r="C163" s="15"/>
      <c r="D163" s="15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t="14.25" customHeight="1">
      <c r="A164" s="15"/>
      <c r="B164" s="15"/>
      <c r="C164" s="15"/>
      <c r="D164" s="15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t="14.25" customHeight="1">
      <c r="A165" s="15"/>
      <c r="B165" s="15"/>
      <c r="C165" s="15"/>
      <c r="D165" s="15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t="14.25" customHeight="1">
      <c r="A166" s="15"/>
      <c r="B166" s="15"/>
      <c r="C166" s="15"/>
      <c r="D166" s="15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t="14.25" customHeight="1">
      <c r="A167" s="15"/>
      <c r="B167" s="15"/>
      <c r="C167" s="15"/>
      <c r="D167" s="15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t="14.25" customHeight="1">
      <c r="A168" s="15"/>
      <c r="B168" s="15"/>
      <c r="C168" s="15"/>
      <c r="D168" s="15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t="14.25" customHeight="1">
      <c r="A169" s="15"/>
      <c r="B169" s="15"/>
      <c r="C169" s="15"/>
      <c r="D169" s="15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t="14.25" customHeight="1">
      <c r="A170" s="15"/>
      <c r="B170" s="15"/>
      <c r="C170" s="15"/>
      <c r="D170" s="15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t="14.25" customHeight="1">
      <c r="A171" s="15"/>
      <c r="B171" s="15"/>
      <c r="C171" s="15"/>
      <c r="D171" s="15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t="14.25" customHeight="1">
      <c r="A172" s="15"/>
      <c r="B172" s="15"/>
      <c r="C172" s="15"/>
      <c r="D172" s="15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t="14.25" customHeight="1">
      <c r="A173" s="15"/>
      <c r="B173" s="15"/>
      <c r="C173" s="15"/>
      <c r="D173" s="15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t="14.25" customHeight="1">
      <c r="A174" s="15"/>
      <c r="B174" s="15"/>
      <c r="C174" s="15"/>
      <c r="D174" s="15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t="14.25" customHeight="1">
      <c r="A175" s="15"/>
      <c r="B175" s="15"/>
      <c r="C175" s="15"/>
      <c r="D175" s="15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t="14.25" customHeight="1">
      <c r="A176" s="15"/>
      <c r="B176" s="15"/>
      <c r="C176" s="15"/>
      <c r="D176" s="15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t="14.25" customHeight="1">
      <c r="A177" s="15"/>
      <c r="B177" s="15"/>
      <c r="C177" s="15"/>
      <c r="D177" s="15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t="14.25" customHeight="1">
      <c r="A178" s="15"/>
      <c r="B178" s="15"/>
      <c r="C178" s="15"/>
      <c r="D178" s="15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t="14.25" customHeight="1">
      <c r="A179" s="15"/>
      <c r="B179" s="15"/>
      <c r="C179" s="15"/>
      <c r="D179" s="15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t="14.25" customHeight="1">
      <c r="A180" s="15"/>
      <c r="B180" s="15"/>
      <c r="C180" s="15"/>
      <c r="D180" s="15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t="14.25" customHeight="1">
      <c r="A181" s="15"/>
      <c r="B181" s="15"/>
      <c r="C181" s="15"/>
      <c r="D181" s="15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t="14.25" customHeight="1">
      <c r="A182" s="15"/>
      <c r="B182" s="15"/>
      <c r="C182" s="15"/>
      <c r="D182" s="15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t="14.25" customHeight="1">
      <c r="A183" s="15"/>
      <c r="B183" s="15"/>
      <c r="C183" s="15"/>
      <c r="D183" s="15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t="14.25" customHeight="1">
      <c r="A184" s="15"/>
      <c r="B184" s="15"/>
      <c r="C184" s="15"/>
      <c r="D184" s="15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t="14.25" customHeight="1">
      <c r="A185" s="15"/>
      <c r="B185" s="15"/>
      <c r="C185" s="15"/>
      <c r="D185" s="15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t="14.25" customHeight="1">
      <c r="A186" s="15"/>
      <c r="B186" s="15"/>
      <c r="C186" s="15"/>
      <c r="D186" s="15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t="14.25" customHeight="1">
      <c r="A187" s="15"/>
      <c r="B187" s="15"/>
      <c r="C187" s="15"/>
      <c r="D187" s="15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t="14.25" customHeight="1">
      <c r="A188" s="15"/>
      <c r="B188" s="15"/>
      <c r="C188" s="15"/>
      <c r="D188" s="15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t="14.25" customHeight="1">
      <c r="A189" s="15"/>
      <c r="B189" s="15"/>
      <c r="C189" s="15"/>
      <c r="D189" s="15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t="14.25" customHeight="1">
      <c r="A190" s="15"/>
      <c r="B190" s="15"/>
      <c r="C190" s="15"/>
      <c r="D190" s="15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t="14.25" customHeight="1">
      <c r="A191" s="15"/>
      <c r="B191" s="15"/>
      <c r="C191" s="15"/>
      <c r="D191" s="15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t="14.25" customHeight="1">
      <c r="A192" s="15"/>
      <c r="B192" s="15"/>
      <c r="C192" s="15"/>
      <c r="D192" s="15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t="14.25" customHeight="1">
      <c r="A193" s="15"/>
      <c r="B193" s="15"/>
      <c r="C193" s="15"/>
      <c r="D193" s="15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t="14.25" customHeight="1">
      <c r="A194" s="15"/>
      <c r="B194" s="15"/>
      <c r="C194" s="15"/>
      <c r="D194" s="15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t="14.25" customHeight="1">
      <c r="A195" s="15"/>
      <c r="B195" s="15"/>
      <c r="C195" s="15"/>
      <c r="D195" s="15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t="14.25" customHeight="1">
      <c r="A196" s="15"/>
      <c r="B196" s="15"/>
      <c r="C196" s="15"/>
      <c r="D196" s="15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t="14.25" customHeight="1">
      <c r="A197" s="15"/>
      <c r="B197" s="15"/>
      <c r="C197" s="15"/>
      <c r="D197" s="15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t="14.25" customHeight="1">
      <c r="A198" s="15"/>
      <c r="B198" s="15"/>
      <c r="C198" s="15"/>
      <c r="D198" s="15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t="14.25" customHeight="1">
      <c r="A199" s="15"/>
      <c r="B199" s="15"/>
      <c r="C199" s="15"/>
      <c r="D199" s="15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t="14.25" customHeight="1">
      <c r="A200" s="15"/>
      <c r="B200" s="15"/>
      <c r="C200" s="15"/>
      <c r="D200" s="15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t="14.25" customHeight="1">
      <c r="A201" s="15"/>
      <c r="B201" s="15"/>
      <c r="C201" s="15"/>
      <c r="D201" s="15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t="14.25" customHeight="1">
      <c r="A202" s="15"/>
      <c r="B202" s="15"/>
      <c r="C202" s="15"/>
      <c r="D202" s="15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t="14.25" customHeight="1">
      <c r="A203" s="15"/>
      <c r="B203" s="15"/>
      <c r="C203" s="15"/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t="14.25" customHeight="1">
      <c r="A204" s="15"/>
      <c r="B204" s="15"/>
      <c r="C204" s="15"/>
      <c r="D204" s="15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t="14.25" customHeight="1">
      <c r="A205" s="15"/>
      <c r="B205" s="15"/>
      <c r="C205" s="15"/>
      <c r="D205" s="15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t="14.25" customHeight="1">
      <c r="A206" s="15"/>
      <c r="B206" s="15"/>
      <c r="C206" s="15"/>
      <c r="D206" s="15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t="14.25" customHeight="1">
      <c r="A207" s="15"/>
      <c r="B207" s="15"/>
      <c r="C207" s="15"/>
      <c r="D207" s="15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t="14.25" customHeight="1">
      <c r="A208" s="15"/>
      <c r="B208" s="15"/>
      <c r="C208" s="15"/>
      <c r="D208" s="15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t="14.25" customHeight="1">
      <c r="A209" s="15"/>
      <c r="B209" s="15"/>
      <c r="C209" s="15"/>
      <c r="D209" s="15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t="14.25" customHeight="1">
      <c r="A210" s="15"/>
      <c r="B210" s="15"/>
      <c r="C210" s="15"/>
      <c r="D210" s="15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t="14.25" customHeight="1">
      <c r="A211" s="15"/>
      <c r="B211" s="15"/>
      <c r="C211" s="15"/>
      <c r="D211" s="15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t="14.25" customHeight="1">
      <c r="A212" s="15"/>
      <c r="B212" s="15"/>
      <c r="C212" s="15"/>
      <c r="D212" s="15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t="14.25" customHeight="1">
      <c r="A213" s="15"/>
      <c r="B213" s="15"/>
      <c r="C213" s="15"/>
      <c r="D213" s="15"/>
      <c r="E213" s="15"/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t="14.25" customHeight="1">
      <c r="A214" s="15"/>
      <c r="B214" s="15"/>
      <c r="C214" s="15"/>
      <c r="D214" s="15"/>
      <c r="E214" s="15"/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t="14.25" customHeight="1">
      <c r="A215" s="15"/>
      <c r="B215" s="15"/>
      <c r="C215" s="15"/>
      <c r="D215" s="15"/>
      <c r="E215" s="15"/>
      <c r="F215" s="15"/>
      <c r="G215" s="15"/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t="14.25" customHeight="1">
      <c r="A216" s="15"/>
      <c r="B216" s="15"/>
      <c r="C216" s="15"/>
      <c r="D216" s="15"/>
      <c r="E216" s="15"/>
      <c r="F216" s="15"/>
      <c r="G216" s="15"/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t="14.25" customHeight="1">
      <c r="A217" s="15"/>
      <c r="B217" s="15"/>
      <c r="C217" s="15"/>
      <c r="D217" s="15"/>
      <c r="E217" s="15"/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t="14.25" customHeight="1">
      <c r="A218" s="15"/>
      <c r="B218" s="15"/>
      <c r="C218" s="15"/>
      <c r="D218" s="15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t="14.25" customHeight="1">
      <c r="A219" s="15"/>
      <c r="B219" s="15"/>
      <c r="C219" s="15"/>
      <c r="D219" s="15"/>
      <c r="E219" s="15"/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t="14.25" customHeight="1">
      <c r="A220" s="15"/>
      <c r="B220" s="15"/>
      <c r="C220" s="15"/>
      <c r="D220" s="15"/>
      <c r="E220" s="15"/>
      <c r="F220" s="15"/>
      <c r="G220" s="15"/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t="14.25" customHeight="1">
      <c r="A221" s="15"/>
      <c r="B221" s="15"/>
      <c r="C221" s="15"/>
      <c r="D221" s="15"/>
      <c r="E221" s="15"/>
      <c r="F221" s="15"/>
      <c r="G221" s="15"/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t="14.25" customHeight="1">
      <c r="A222" s="15"/>
      <c r="B222" s="15"/>
      <c r="C222" s="15"/>
      <c r="D222" s="15"/>
      <c r="E222" s="15"/>
      <c r="F222" s="15"/>
      <c r="G222" s="15"/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t="14.25" customHeight="1">
      <c r="A223" s="15"/>
      <c r="B223" s="15"/>
      <c r="C223" s="15"/>
      <c r="D223" s="15"/>
      <c r="E223" s="15"/>
      <c r="F223" s="15"/>
      <c r="G223" s="15"/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t="14.25" customHeight="1">
      <c r="A224" s="15"/>
      <c r="B224" s="15"/>
      <c r="C224" s="15"/>
      <c r="D224" s="15"/>
      <c r="E224" s="15"/>
      <c r="F224" s="15"/>
      <c r="G224" s="15"/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t="14.25" customHeight="1">
      <c r="A225" s="15"/>
      <c r="B225" s="15"/>
      <c r="C225" s="15"/>
      <c r="D225" s="15"/>
      <c r="E225" s="15"/>
      <c r="F225" s="15"/>
      <c r="G225" s="15"/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t="14.25" customHeight="1">
      <c r="A226" s="15"/>
      <c r="B226" s="15"/>
      <c r="C226" s="15"/>
      <c r="D226" s="15"/>
      <c r="E226" s="15"/>
      <c r="F226" s="15"/>
      <c r="G226" s="15"/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t="14.25" customHeight="1">
      <c r="A227" s="15"/>
      <c r="B227" s="15"/>
      <c r="C227" s="15"/>
      <c r="D227" s="15"/>
      <c r="E227" s="15"/>
      <c r="F227" s="15"/>
      <c r="G227" s="15"/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t="14.25" customHeight="1">
      <c r="A228" s="15"/>
      <c r="B228" s="15"/>
      <c r="C228" s="15"/>
      <c r="D228" s="15"/>
      <c r="E228" s="15"/>
      <c r="F228" s="15"/>
      <c r="G228" s="15"/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t="14.25" customHeight="1">
      <c r="A229" s="15"/>
      <c r="B229" s="15"/>
      <c r="C229" s="15"/>
      <c r="D229" s="15"/>
      <c r="E229" s="15"/>
      <c r="F229" s="15"/>
      <c r="G229" s="15"/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t="14.25" customHeight="1">
      <c r="A230" s="15"/>
      <c r="B230" s="15"/>
      <c r="C230" s="15"/>
      <c r="D230" s="15"/>
      <c r="E230" s="15"/>
      <c r="F230" s="15"/>
      <c r="G230" s="15"/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t="14.25" customHeight="1">
      <c r="A231" s="15"/>
      <c r="B231" s="15"/>
      <c r="C231" s="15"/>
      <c r="D231" s="15"/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t="14.25" customHeight="1">
      <c r="A232" s="15"/>
      <c r="B232" s="15"/>
      <c r="C232" s="15"/>
      <c r="D232" s="15"/>
      <c r="E232" s="15"/>
      <c r="F232" s="15"/>
      <c r="G232" s="15"/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t="14.25" customHeight="1">
      <c r="A233" s="15"/>
      <c r="B233" s="15"/>
      <c r="C233" s="15"/>
      <c r="D233" s="15"/>
      <c r="E233" s="15"/>
      <c r="F233" s="15"/>
      <c r="G233" s="15"/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t="14.25" customHeight="1">
      <c r="A234" s="15"/>
      <c r="B234" s="15"/>
      <c r="C234" s="15"/>
      <c r="D234" s="15"/>
      <c r="E234" s="15"/>
      <c r="F234" s="15"/>
      <c r="G234" s="15"/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t="14.25" customHeight="1">
      <c r="A235" s="15"/>
      <c r="B235" s="15"/>
      <c r="C235" s="15"/>
      <c r="D235" s="15"/>
      <c r="E235" s="15"/>
      <c r="F235" s="15"/>
      <c r="G235" s="15"/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t="14.25" customHeight="1">
      <c r="A236" s="15"/>
      <c r="B236" s="15"/>
      <c r="C236" s="15"/>
      <c r="D236" s="15"/>
      <c r="E236" s="15"/>
      <c r="F236" s="15"/>
      <c r="G236" s="15"/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t="14.25" customHeight="1">
      <c r="A237" s="15"/>
      <c r="B237" s="15"/>
      <c r="C237" s="15"/>
      <c r="D237" s="15"/>
      <c r="E237" s="15"/>
      <c r="F237" s="15"/>
      <c r="G237" s="15"/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t="14.25" customHeight="1">
      <c r="A238" s="15"/>
      <c r="B238" s="15"/>
      <c r="C238" s="15"/>
      <c r="D238" s="15"/>
      <c r="E238" s="15"/>
      <c r="F238" s="15"/>
      <c r="G238" s="15"/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t="14.25" customHeight="1">
      <c r="A239" s="15"/>
      <c r="B239" s="15"/>
      <c r="C239" s="15"/>
      <c r="D239" s="15"/>
      <c r="E239" s="15"/>
      <c r="F239" s="15"/>
      <c r="G239" s="15"/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t="14.25" customHeight="1">
      <c r="A240" s="15"/>
      <c r="B240" s="15"/>
      <c r="C240" s="15"/>
      <c r="D240" s="15"/>
      <c r="E240" s="15"/>
      <c r="F240" s="15"/>
      <c r="G240" s="15"/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t="14.25" customHeight="1">
      <c r="A241" s="15"/>
      <c r="B241" s="15"/>
      <c r="C241" s="15"/>
      <c r="D241" s="15"/>
      <c r="E241" s="15"/>
      <c r="F241" s="15"/>
      <c r="G241" s="15"/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t="14.25" customHeight="1">
      <c r="A242" s="15"/>
      <c r="B242" s="15"/>
      <c r="C242" s="15"/>
      <c r="D242" s="15"/>
      <c r="E242" s="15"/>
      <c r="F242" s="15"/>
      <c r="G242" s="15"/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t="14.25" customHeight="1">
      <c r="A243" s="15"/>
      <c r="B243" s="15"/>
      <c r="C243" s="15"/>
      <c r="D243" s="15"/>
      <c r="E243" s="15"/>
      <c r="F243" s="15"/>
      <c r="G243" s="15"/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t="14.25" customHeight="1">
      <c r="A244" s="15"/>
      <c r="B244" s="15"/>
      <c r="C244" s="15"/>
      <c r="D244" s="15"/>
      <c r="E244" s="15"/>
      <c r="F244" s="15"/>
      <c r="G244" s="15"/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t="14.25" customHeight="1">
      <c r="A245" s="15"/>
      <c r="B245" s="15"/>
      <c r="C245" s="15"/>
      <c r="D245" s="15"/>
      <c r="E245" s="15"/>
      <c r="F245" s="15"/>
      <c r="G245" s="15"/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t="14.25" customHeight="1">
      <c r="A246" s="15"/>
      <c r="B246" s="15"/>
      <c r="C246" s="15"/>
      <c r="D246" s="15"/>
      <c r="E246" s="15"/>
      <c r="F246" s="15"/>
      <c r="G246" s="15"/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t="14.25" customHeight="1">
      <c r="A247" s="15"/>
      <c r="B247" s="15"/>
      <c r="C247" s="15"/>
      <c r="D247" s="15"/>
      <c r="E247" s="15"/>
      <c r="F247" s="15"/>
      <c r="G247" s="15"/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t="14.25" customHeight="1">
      <c r="A248" s="15"/>
      <c r="B248" s="15"/>
      <c r="C248" s="15"/>
      <c r="D248" s="15"/>
      <c r="E248" s="15"/>
      <c r="F248" s="15"/>
      <c r="G248" s="15"/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t="14.25" customHeight="1">
      <c r="A249" s="15"/>
      <c r="B249" s="15"/>
      <c r="C249" s="15"/>
      <c r="D249" s="15"/>
      <c r="E249" s="15"/>
      <c r="F249" s="15"/>
      <c r="G249" s="15"/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t="14.25" customHeight="1">
      <c r="A250" s="15"/>
      <c r="B250" s="15"/>
      <c r="C250" s="15"/>
      <c r="D250" s="15"/>
      <c r="E250" s="15"/>
      <c r="F250" s="15"/>
      <c r="G250" s="15"/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t="14.25" customHeight="1">
      <c r="A251" s="15"/>
      <c r="B251" s="15"/>
      <c r="C251" s="15"/>
      <c r="D251" s="15"/>
      <c r="E251" s="15"/>
      <c r="F251" s="15"/>
      <c r="G251" s="15"/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t="14.25" customHeight="1">
      <c r="A252" s="15"/>
      <c r="B252" s="15"/>
      <c r="C252" s="15"/>
      <c r="D252" s="15"/>
      <c r="E252" s="15"/>
      <c r="F252" s="15"/>
      <c r="G252" s="15"/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t="14.25" customHeight="1">
      <c r="A253" s="15"/>
      <c r="B253" s="15"/>
      <c r="C253" s="15"/>
      <c r="D253" s="15"/>
      <c r="E253" s="15"/>
      <c r="F253" s="15"/>
      <c r="G253" s="15"/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t="14.25" customHeight="1">
      <c r="A254" s="15"/>
      <c r="B254" s="15"/>
      <c r="C254" s="15"/>
      <c r="D254" s="15"/>
      <c r="E254" s="15"/>
      <c r="F254" s="15"/>
      <c r="G254" s="15"/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t="14.25" customHeight="1">
      <c r="A255" s="15"/>
      <c r="B255" s="15"/>
      <c r="C255" s="15"/>
      <c r="D255" s="15"/>
      <c r="E255" s="15"/>
      <c r="F255" s="15"/>
      <c r="G255" s="15"/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t="14.25" customHeight="1">
      <c r="A256" s="15"/>
      <c r="B256" s="15"/>
      <c r="C256" s="15"/>
      <c r="D256" s="15"/>
      <c r="E256" s="15"/>
      <c r="F256" s="15"/>
      <c r="G256" s="15"/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t="14.25" customHeight="1">
      <c r="A257" s="15"/>
      <c r="B257" s="15"/>
      <c r="C257" s="15"/>
      <c r="D257" s="15"/>
      <c r="E257" s="15"/>
      <c r="F257" s="15"/>
      <c r="G257" s="15"/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t="14.25" customHeight="1">
      <c r="A258" s="15"/>
      <c r="B258" s="15"/>
      <c r="C258" s="15"/>
      <c r="D258" s="15"/>
      <c r="E258" s="15"/>
      <c r="F258" s="15"/>
      <c r="G258" s="15"/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t="14.25" customHeight="1">
      <c r="A259" s="15"/>
      <c r="B259" s="15"/>
      <c r="C259" s="15"/>
      <c r="D259" s="15"/>
      <c r="E259" s="15"/>
      <c r="F259" s="15"/>
      <c r="G259" s="15"/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t="14.25" customHeight="1">
      <c r="A260" s="15"/>
      <c r="B260" s="15"/>
      <c r="C260" s="15"/>
      <c r="D260" s="15"/>
      <c r="E260" s="15"/>
      <c r="F260" s="15"/>
      <c r="G260" s="15"/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t="14.25" customHeight="1">
      <c r="A261" s="15"/>
      <c r="B261" s="15"/>
      <c r="C261" s="15"/>
      <c r="D261" s="15"/>
      <c r="E261" s="15"/>
      <c r="F261" s="15"/>
      <c r="G261" s="15"/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t="14.25" customHeight="1">
      <c r="A262" s="15"/>
      <c r="B262" s="15"/>
      <c r="C262" s="15"/>
      <c r="D262" s="15"/>
      <c r="E262" s="15"/>
      <c r="F262" s="15"/>
      <c r="G262" s="15"/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t="14.25" customHeight="1">
      <c r="A263" s="15"/>
      <c r="B263" s="15"/>
      <c r="C263" s="15"/>
      <c r="D263" s="15"/>
      <c r="E263" s="15"/>
      <c r="F263" s="15"/>
      <c r="G263" s="15"/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t="14.25" customHeight="1">
      <c r="A264" s="15"/>
      <c r="B264" s="15"/>
      <c r="C264" s="15"/>
      <c r="D264" s="15"/>
      <c r="E264" s="15"/>
      <c r="F264" s="15"/>
      <c r="G264" s="15"/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t="14.25" customHeight="1">
      <c r="A265" s="15"/>
      <c r="B265" s="15"/>
      <c r="C265" s="15"/>
      <c r="D265" s="15"/>
      <c r="E265" s="15"/>
      <c r="F265" s="15"/>
      <c r="G265" s="15"/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1">
    <mergeCell ref="G13:H15"/>
    <mergeCell ref="G16:H20"/>
    <mergeCell ref="G24:H26"/>
    <mergeCell ref="G27:H31"/>
    <mergeCell ref="A1:F1"/>
    <mergeCell ref="A7:A8"/>
    <mergeCell ref="B7:C7"/>
    <mergeCell ref="D7:E7"/>
    <mergeCell ref="F7:F8"/>
    <mergeCell ref="A13:A15"/>
    <mergeCell ref="A16:A20"/>
    <mergeCell ref="A24:A26"/>
    <mergeCell ref="A27:A31"/>
    <mergeCell ref="C41:D41"/>
    <mergeCell ref="E41:F41"/>
    <mergeCell ref="C42:D42"/>
    <mergeCell ref="E42:F42"/>
    <mergeCell ref="A35:A39"/>
    <mergeCell ref="C45:D45"/>
    <mergeCell ref="E45:F45"/>
    <mergeCell ref="C46:D46"/>
    <mergeCell ref="E46:F46"/>
    <mergeCell ref="H46:I48"/>
    <mergeCell ref="C47:D47"/>
    <mergeCell ref="E47:F47"/>
    <mergeCell ref="C54:D54"/>
    <mergeCell ref="C55:D55"/>
    <mergeCell ref="C56:D56"/>
    <mergeCell ref="C57:D57"/>
    <mergeCell ref="C58:D58"/>
    <mergeCell ref="E55:F55"/>
    <mergeCell ref="E56:F56"/>
    <mergeCell ref="E57:F57"/>
    <mergeCell ref="E58:F58"/>
    <mergeCell ref="C48:D48"/>
    <mergeCell ref="E48:F48"/>
    <mergeCell ref="E54:F54"/>
    <mergeCell ref="C50:D50"/>
    <mergeCell ref="E50:F50"/>
    <mergeCell ref="C51:D51"/>
    <mergeCell ref="E51:F51"/>
  </mergeCells>
  <conditionalFormatting sqref="G9">
    <cfRule type="notContainsBlanks" dxfId="0" priority="1">
      <formula>LEN(TRIM(G9))&gt;0</formula>
    </cfRule>
  </conditionalFormatting>
  <conditionalFormatting sqref="G13">
    <cfRule type="notContainsBlanks" dxfId="1" priority="2">
      <formula>LEN(TRIM(G13))&gt;0</formula>
    </cfRule>
  </conditionalFormatting>
  <conditionalFormatting sqref="G16">
    <cfRule type="notContainsBlanks" dxfId="1" priority="3">
      <formula>LEN(TRIM(G16))&gt;0</formula>
    </cfRule>
  </conditionalFormatting>
  <conditionalFormatting sqref="G24">
    <cfRule type="notContainsBlanks" dxfId="1" priority="4">
      <formula>LEN(TRIM(G24))&gt;0</formula>
    </cfRule>
  </conditionalFormatting>
  <conditionalFormatting sqref="G27">
    <cfRule type="notContainsBlanks" dxfId="1" priority="5">
      <formula>LEN(TRIM(G27))&gt;0</formula>
    </cfRule>
  </conditionalFormatting>
  <conditionalFormatting sqref="H46">
    <cfRule type="notContainsBlanks" dxfId="1" priority="6">
      <formula>LEN(TRIM(H46))&gt;0</formula>
    </cfRule>
  </conditionalFormatting>
  <conditionalFormatting sqref="I13:I20">
    <cfRule type="notContainsBlanks" dxfId="0" priority="7">
      <formula>LEN(TRIM(I13))&gt;0</formula>
    </cfRule>
  </conditionalFormatting>
  <conditionalFormatting sqref="I24:I31">
    <cfRule type="notContainsBlanks" dxfId="0" priority="8">
      <formula>LEN(TRIM(I24))&gt;0</formula>
    </cfRule>
  </conditionalFormatting>
  <conditionalFormatting sqref="J46:J48">
    <cfRule type="notContainsBlanks" dxfId="0" priority="9">
      <formula>LEN(TRIM(J46))&gt;0</formula>
    </cfRule>
  </conditionalFormatting>
  <printOptions/>
  <pageMargins bottom="0.75" footer="0.0" header="0.0" left="0.7" right="0.7" top="0.75"/>
  <pageSetup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13.78"/>
    <col customWidth="1" min="2" max="2" width="25.0"/>
    <col customWidth="1" min="3" max="3" width="8.0"/>
    <col customWidth="1" min="4" max="4" width="11.33"/>
    <col customWidth="1" min="5" max="5" width="9.33"/>
    <col customWidth="1" min="6" max="6" width="6.0"/>
    <col customWidth="1" min="7" max="7" width="9.44"/>
    <col customWidth="1" min="8" max="8" width="20.33"/>
    <col customWidth="1" min="9" max="9" width="20.44"/>
    <col customWidth="1" min="10" max="10" width="11.0"/>
    <col customWidth="1" min="11" max="12" width="10.78"/>
    <col customWidth="1" min="13" max="26" width="11.0"/>
  </cols>
  <sheetData>
    <row r="1" ht="14.25" customHeight="1">
      <c r="A1" s="14" t="s">
        <v>38</v>
      </c>
      <c r="G1" s="15"/>
      <c r="H1" s="15"/>
      <c r="I1" s="16" t="s">
        <v>39</v>
      </c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14.25" customHeight="1">
      <c r="A2" s="15"/>
      <c r="B2" s="15"/>
      <c r="C2" s="15"/>
      <c r="D2" s="15"/>
      <c r="E2" s="15"/>
      <c r="F2" s="15"/>
      <c r="G2" s="15"/>
      <c r="H2" s="17" t="s">
        <v>40</v>
      </c>
      <c r="I2" s="18" t="str">
        <f>DATE(F3, 5, 1)</f>
        <v>#VALUE!</v>
      </c>
      <c r="J2" s="15"/>
      <c r="K2" s="19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t="14.25" customHeight="1">
      <c r="A3" s="15" t="s">
        <v>41</v>
      </c>
      <c r="B3" s="15"/>
      <c r="C3" s="20" t="s">
        <v>103</v>
      </c>
      <c r="D3" s="15"/>
      <c r="E3" s="15" t="s">
        <v>43</v>
      </c>
      <c r="F3" s="20" t="str">
        <f>YEAR(Results!E3)</f>
        <v>#VALUE!</v>
      </c>
      <c r="G3" s="15"/>
      <c r="H3" s="17" t="s">
        <v>44</v>
      </c>
      <c r="I3" s="18" t="str">
        <f>EOMONTH(I2,0)</f>
        <v>#VALUE!</v>
      </c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t="14.25" customHeight="1">
      <c r="A4" s="15" t="s">
        <v>45</v>
      </c>
      <c r="B4" s="15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t="14.25" customHeight="1">
      <c r="A5" s="15"/>
      <c r="B5" s="15"/>
      <c r="C5" s="15"/>
      <c r="D5" s="15"/>
      <c r="E5" s="15"/>
      <c r="F5" s="15"/>
      <c r="G5" s="15"/>
      <c r="H5" s="15"/>
      <c r="I5" s="15"/>
      <c r="J5" s="15"/>
      <c r="K5" s="15"/>
      <c r="L5" s="15"/>
      <c r="M5" s="15"/>
      <c r="N5" s="15"/>
      <c r="O5" s="21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t="14.25" customHeight="1">
      <c r="A6" s="15" t="s">
        <v>46</v>
      </c>
      <c r="B6" s="15"/>
      <c r="C6" s="15"/>
      <c r="D6" s="15"/>
      <c r="E6" s="15"/>
      <c r="F6" s="15"/>
      <c r="G6" s="15"/>
      <c r="H6" s="15"/>
      <c r="I6" s="20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t="14.25" customHeight="1">
      <c r="A7" s="22"/>
      <c r="B7" s="23" t="s">
        <v>47</v>
      </c>
      <c r="C7" s="24"/>
      <c r="D7" s="23" t="s">
        <v>48</v>
      </c>
      <c r="E7" s="24"/>
      <c r="F7" s="25" t="s">
        <v>49</v>
      </c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t="14.25" customHeight="1">
      <c r="A8" s="26"/>
      <c r="B8" s="27" t="s">
        <v>50</v>
      </c>
      <c r="C8" s="27" t="s">
        <v>51</v>
      </c>
      <c r="D8" s="27" t="s">
        <v>50</v>
      </c>
      <c r="E8" s="27" t="s">
        <v>51</v>
      </c>
      <c r="F8" s="26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t="14.25" customHeight="1">
      <c r="A9" s="28"/>
      <c r="B9" s="28">
        <f>COUNTIFS(Results!$E:$E,"&gt;="&amp;$I$2,Results!$E:$E,"&lt;="&amp;$I$3,Results!$I:$I,"Male",Results!$J:$J,"&lt;15", Results!$F:$F,"*tive")</f>
        <v>0</v>
      </c>
      <c r="C9" s="28">
        <f>COUNTIFS(Results!$E:$E,"&gt;="&amp;$I$2,Results!$E:$E,"&lt;="&amp;$I$3,Results!$I:$I,"Male",Results!$J:$J,"&gt;=15", Results!$F:$F,"*tive")</f>
        <v>0</v>
      </c>
      <c r="D9" s="28">
        <f>COUNTIFS(Results!$E:$E,"&gt;="&amp;$I$2,Results!$E:$E,"&lt;="&amp;$I$3,Results!$I:$I,"Female",Results!$J:$J,"&lt;15", Results!$F:$F,"*tive")</f>
        <v>0</v>
      </c>
      <c r="E9" s="28">
        <f>COUNTIFS(Results!$E:$E,"&gt;="&amp;$I$2,Results!$E:$E,"&lt;="&amp;$I$3,Results!$I:$I,"Female",Results!$J:$J,"&gt;=15", Results!$F:$F,"*tive")</f>
        <v>0</v>
      </c>
      <c r="F9" s="28">
        <f>COUNTIFS(Results!$E:$E,"&gt;="&amp;$I$2,Results!$E:$E,"&lt;="&amp;$I$3, Results!$F:$F,"*tive", Results!$J:$J,"&lt;&gt;Not on Form", Results!$J:$J,"&lt;&gt;N/A", Results!$I:$I,"&lt;&gt;Not on Form", Results!$I:$I,"&lt;&gt;N/A")</f>
        <v>0</v>
      </c>
      <c r="G9" s="15" t="str">
        <f>IF(SUM(B9:E9)=F9,"","Check Total Value &amp; Category")</f>
        <v/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t="14.25" customHeight="1">
      <c r="A10" s="15"/>
      <c r="B10" s="15"/>
      <c r="C10" s="15"/>
      <c r="D10" s="15"/>
      <c r="E10" s="15"/>
      <c r="F10" s="15"/>
      <c r="G10" s="15"/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t="14.25" customHeight="1">
      <c r="A11" s="15" t="s">
        <v>52</v>
      </c>
      <c r="B11" s="15"/>
      <c r="C11" s="15"/>
      <c r="D11" s="15"/>
      <c r="E11" s="15"/>
      <c r="F11" s="15"/>
      <c r="G11" s="15"/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t="14.25" customHeight="1">
      <c r="A12" s="28"/>
      <c r="B12" s="28"/>
      <c r="C12" s="29" t="s">
        <v>53</v>
      </c>
      <c r="D12" s="29" t="s">
        <v>54</v>
      </c>
      <c r="E12" s="29" t="s">
        <v>55</v>
      </c>
      <c r="F12" s="29" t="s">
        <v>49</v>
      </c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t="15.75" customHeight="1">
      <c r="A13" s="30" t="s">
        <v>56</v>
      </c>
      <c r="B13" s="28" t="s">
        <v>57</v>
      </c>
      <c r="C13" s="28">
        <f>COUNTIFS(Results!$E:$E,"&gt;="&amp;$I$2,Results!$E:$E,"&lt;="&amp;$I$3,Results!$L:$L,"Positive",Results!$K:$K,"No", Results!$F:$F,"*tive") + COUNTIFS(Results!$E:$E,"&gt;="&amp;$I$2,Results!$E:$E,"&lt;="&amp;$I$3,Results!$L:$L,"Positive",Results!$K:$K,"On Treatment", Results!$F:$F,"*tive")</f>
        <v>0</v>
      </c>
      <c r="D13" s="28">
        <f>COUNTIFS(Results!$E:$E,"&gt;="&amp;$I$2,Results!$E:$E,"&lt;="&amp;$I$3,Results!$L:$L,"Positive",Results!$K:$K,"Yes", Results!$F:$F,"*tive")</f>
        <v>0</v>
      </c>
      <c r="E13" s="28">
        <f>COUNTIFS(Results!$E:$E,"&gt;="&amp;$I$2,Results!$E:$E,"&lt;="&amp;$I$3,Results!$L:$L,"Positive",Results!$K:$K,"Unknown", Results!$F:$F,"*tive")</f>
        <v>0</v>
      </c>
      <c r="F13" s="28">
        <f>COUNTIFS(Results!$E:$E,"&gt;="&amp;$I$2,Results!$E:$E,"&lt;="&amp;$I$3,Results!$L:$L,"Positive", Results!$F:$F,"*tive", Results!$K:$K,"&lt;&gt;Not on Form", Results!$K:$K,"&lt;&gt;N/A", Results!$L:$L,"&lt;&gt;Not on Form", Results!$L:$L,"&lt;&gt;N/A")</f>
        <v>0</v>
      </c>
      <c r="G13" s="31" t="str">
        <f>IF($F$9=SUM(F13:F15),"","Error! Microscopy result does NOT match, cross check: Missing information in Microscopy Result")</f>
        <v/>
      </c>
      <c r="I13" s="15" t="str">
        <f t="shared" ref="I13:I18" si="1">IF(SUM(C13:E13)=F13,"","Check Total Value &amp; Category")</f>
        <v/>
      </c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t="14.25" customHeight="1">
      <c r="A14" s="32"/>
      <c r="B14" s="28" t="s">
        <v>58</v>
      </c>
      <c r="C14" s="28">
        <f>COUNTIFS(Results!$E:$E,"&gt;="&amp;$I$2,Results!$E:$E,"&lt;="&amp;$I$3,Results!$L:$L,"Negative",Results!$K:$K,"No", Results!$F:$F,"*tive") + COUNTIFS(Results!$E:$E,"&gt;="&amp;$I$2,Results!$E:$E,"&lt;="&amp;$I$3,Results!$L:$L,"Negative",Results!$K:$K,"On Treatment", Results!$F:$F,"*tive")</f>
        <v>0</v>
      </c>
      <c r="D14" s="28">
        <f>COUNTIFS(Results!$E:$E,"&gt;="&amp;$I$2,Results!$E:$E,"&lt;="&amp;$I$3,Results!$L:$L,"Negative",Results!$K:$K,"Yes", Results!$F:$F,"*tive")</f>
        <v>0</v>
      </c>
      <c r="E14" s="28">
        <f>COUNTIFS(Results!$E:$E,"&gt;="&amp;$I$2,Results!$E:$E,"&lt;="&amp;$I$3,Results!$L:$L,"Negative",Results!$K:$K,"Unknown", Results!$F:$F,"*tive")</f>
        <v>0</v>
      </c>
      <c r="F14" s="28">
        <f>COUNTIFS(Results!$E:$E,"&gt;="&amp;$I$2,Results!$E:$E,"&lt;="&amp;$I$3,Results!$L:$L,"Negative", Results!$F:$F,"*tive",Results!$K:$K,"&lt;&gt;Not on Form", Results!$K:$K,"&lt;&gt;N/A", Results!$L:$L,"&lt;&gt;Not on Form", Results!$L:$L,"&lt;&gt;N/A")</f>
        <v>0</v>
      </c>
      <c r="G14" s="33"/>
      <c r="I14" s="15" t="str">
        <f t="shared" si="1"/>
        <v/>
      </c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t="14.25" customHeight="1">
      <c r="A15" s="26"/>
      <c r="B15" s="28" t="s">
        <v>59</v>
      </c>
      <c r="C15" s="28">
        <f>COUNTIFS(Results!$E:$E,"&gt;="&amp;$I$2,Results!$E:$E,"&lt;="&amp;$I$3,Results!$L:$L,"Not Done",Results!$K:$K,"No", Results!$F:$F,"*tive") + COUNTIFS(Results!$E:$E,"&gt;="&amp;$I$2,Results!$E:$E,"&lt;="&amp;$I$3,Results!$L:$L,"Not Done",Results!$K:$K,"On Treatment", Results!$F:$F,"*tive")</f>
        <v>0</v>
      </c>
      <c r="D15" s="28">
        <f>COUNTIFS(Results!$E:$E,"&gt;="&amp;$I$2,Results!$E:$E,"&lt;="&amp;$I$3,Results!$L:$L,"Not Done",Results!$K:$K,"Yes", Results!$F:$F,"*tive")</f>
        <v>0</v>
      </c>
      <c r="E15" s="28">
        <f>COUNTIFS(Results!$E:$E,"&gt;="&amp;$I$2,Results!$E:$E,"&lt;="&amp;$I$3,Results!$L:$L,"Not Done",Results!$K:$K,"Unknown", Results!$F:$F,"*tive")</f>
        <v>0</v>
      </c>
      <c r="F15" s="28">
        <f>COUNTIFS(Results!$E:$E,"&gt;="&amp;$I$2,Results!$E:$E,"&lt;="&amp;$I$3,Results!$L:$L,"Not Done", Results!$F:$F,"*tive", Results!$K:$K,"&lt;&gt;Not on Form", Results!$K:$K,"&lt;&gt;N/A", Results!$L:$L,"&lt;&gt;Not on Form", Results!$L:$L,"&lt;&gt;N/A")</f>
        <v>0</v>
      </c>
      <c r="G15" s="33"/>
      <c r="I15" s="15" t="str">
        <f t="shared" si="1"/>
        <v/>
      </c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t="14.25" customHeight="1">
      <c r="A16" s="25" t="s">
        <v>60</v>
      </c>
      <c r="B16" s="28" t="s">
        <v>61</v>
      </c>
      <c r="C16" s="28">
        <f>COUNTIFS(Results!$E:$E,"&gt;="&amp;$I$2,Results!$E:$E,"&lt;="&amp;$I$3,Results!$F:$F,"Negative",Results!$K:$K,"No") + COUNTIFS(Results!$E:$E,"&gt;="&amp;$I$2,Results!$E:$E,"&lt;="&amp;$I$3,Results!$F:$F,"Negative",Results!$K:$K,"On Treatment")</f>
        <v>0</v>
      </c>
      <c r="D16" s="28">
        <f>COUNTIFS(Results!$E:$E,"&gt;="&amp;$I$2,Results!$E:$E,"&lt;="&amp;$I$3,Results!$F:$F,"Negative",Results!$K:$K,"Yes")</f>
        <v>0</v>
      </c>
      <c r="E16" s="28">
        <f>COUNTIFS(Results!$E:$E,"&gt;="&amp;$I$2,Results!$E:$E,"&lt;="&amp;$I$3,Results!$F:$F,"Negative",Results!$K:$K,"Unknown")</f>
        <v>0</v>
      </c>
      <c r="F16" s="28">
        <f>COUNTIFS(Results!$E:$E,"&gt;="&amp;$I$2,Results!$E:$E,"&lt;="&amp;$I$3,Results!$F:$F,"Negative", Results!$K:$K,"&lt;&gt;Not on Form", Results!$K:$K,"&lt;&gt;N/A")</f>
        <v>0</v>
      </c>
      <c r="G16" s="31" t="str">
        <f>IF($F$9=SUM(F16:F20),"","Error! Cross information between Xpert result and treatment category are not match; possibly there will be Erorr or missing information on MTB result OR RIF result")</f>
        <v/>
      </c>
      <c r="I16" s="15" t="str">
        <f t="shared" si="1"/>
        <v/>
      </c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t="14.25" customHeight="1">
      <c r="A17" s="32"/>
      <c r="B17" s="28" t="s">
        <v>62</v>
      </c>
      <c r="C17" s="28">
        <f>COUNTIFS(Results!$E:$E,"&gt;="&amp;$I$2,Results!$E:$E,"&lt;="&amp;$I$3,Results!$F:$F,"Positive",Results!$G:$G,"Negative",Results!$K:$K,"No") + COUNTIFS(Results!$E:$E,"&gt;="&amp;$I$2,Results!$E:$E,"&lt;="&amp;$I$3,Results!$F:$F,"Positive",Results!$G:$G,"Negative",Results!$K:$K,"On Treatment")</f>
        <v>0</v>
      </c>
      <c r="D17" s="28">
        <f>COUNTIFS(Results!$E:$E,"&gt;="&amp;$I$2,Results!$E:$E,"&lt;="&amp;$I$3,Results!$F:$F,"Positive",Results!$G:$G,"Negative",Results!$K:$K,"Yes")</f>
        <v>0</v>
      </c>
      <c r="E17" s="28">
        <f>COUNTIFS(Results!$E:$E,"&gt;="&amp;$I$2,Results!$E:$E,"&lt;="&amp;$I$3,Results!$F:$F,"Positive",Results!$G:$G,"Negative",Results!$K:$K,"Unknown")</f>
        <v>0</v>
      </c>
      <c r="F17" s="28">
        <f>COUNTIFS(Results!$E:$E,"&gt;="&amp;$I$2,Results!$E:$E,"&lt;="&amp;$I$3,Results!$F:$F,"Positive",Results!$G:$G,"Negative", Results!$K:$K,"&lt;&gt;Not on Form", Results!$K:$K,"&lt;&gt;N/A")</f>
        <v>0</v>
      </c>
      <c r="G17" s="33"/>
      <c r="I17" s="15" t="str">
        <f t="shared" si="1"/>
        <v/>
      </c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t="14.25" customHeight="1">
      <c r="A18" s="32"/>
      <c r="B18" s="28" t="s">
        <v>63</v>
      </c>
      <c r="C18" s="28">
        <f>COUNTIFS(Results!$E:$E,"&gt;="&amp;$I$2,Results!$E:$E,"&lt;="&amp;$I$3,Results!$F:$F,"Positive",Results!$G:$G,"Positive",Results!$K:$K,"No") + COUNTIFS(Results!$E:$E,"&gt;="&amp;$I$2,Results!$E:$E,"&lt;="&amp;$I$3,Results!$F:$F,"Positive",Results!$G:$G,"Positive",Results!$K:$K,"On Treatment")</f>
        <v>0</v>
      </c>
      <c r="D18" s="28">
        <f>COUNTIFS(Results!$E:$E,"&gt;="&amp;$I$2,Results!$E:$E,"&lt;="&amp;$I$3,Results!$F:$F,"Positive",Results!$G:$G,"Positive",Results!$K:$K,"Yes")</f>
        <v>0</v>
      </c>
      <c r="E18" s="28">
        <f>COUNTIFS(Results!$E:$E,"&gt;="&amp;$I$2,Results!$E:$E,"&lt;="&amp;$I$3,Results!$F:$F,"Positive",Results!$G:$G,"Positive",Results!$K:$K,"Unknown")</f>
        <v>0</v>
      </c>
      <c r="F18" s="28">
        <f>COUNTIFS(Results!$E:$E,"&gt;="&amp;$I$2,Results!$E:$E,"&lt;="&amp;$I$3,Results!$F:$F,"Positive",Results!$G:$G,"Positive", Results!$K:$K,"&lt;&gt;Not on Form", Results!$K:$K,"&lt;&gt;N/A")</f>
        <v>0</v>
      </c>
      <c r="G18" s="33"/>
      <c r="I18" s="15" t="str">
        <f t="shared" si="1"/>
        <v/>
      </c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t="14.25" customHeight="1">
      <c r="A19" s="32"/>
      <c r="B19" s="28" t="s">
        <v>64</v>
      </c>
      <c r="C19" s="28">
        <f>COUNTIFS(Results!$E:$E,"&gt;="&amp;$I$2,Results!$E:$E,"&lt;="&amp;$I$3,Results!$F:$F,"Positive",Results!$G:$G,"Indeterminate",Results!$K:$K,"No") + COUNTIFS(Results!$E:$E,"&gt;="&amp;$I$2,Results!$E:$E,"&lt;="&amp;$I$3,Results!$F:$F,"Positive",Results!$G:$G,"Indeterminate",Results!$K:$K,"On Treatment")</f>
        <v>0</v>
      </c>
      <c r="D19" s="28">
        <f>COUNTIFS(Results!$E:$E,"&gt;="&amp;$I$2,Results!$E:$E,"&lt;="&amp;$I$3,Results!$F:$F,"Positive",Results!$G:$G,"Indeterminate",Results!$K:$K,"Yes")</f>
        <v>0</v>
      </c>
      <c r="E19" s="28">
        <f>COUNTIFS(Results!$E:$E,"&gt;="&amp;$I$2,Results!$E:$E,"&lt;="&amp;$I$3,Results!$F:$F,"Positive",Results!$G:$G,"Indeterminate",Results!$K:$K,"Unknown")</f>
        <v>0</v>
      </c>
      <c r="F19" s="28">
        <f>COUNTIFS(Results!$E:$E,"&gt;="&amp;$I$2,Results!$E:$E,"&lt;="&amp;$I$3,Results!$F:$F,"Positive",Results!$G:$G,"Indeterminate", Results!$K:$K,"&lt;&gt;Not on Form", Results!$K:$K,"&lt;&gt;N/A")</f>
        <v>0</v>
      </c>
      <c r="G19" s="33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t="14.25" customHeight="1">
      <c r="A20" s="26"/>
      <c r="B20" s="28" t="s">
        <v>65</v>
      </c>
      <c r="C20" s="28">
        <f>COUNTIFS(Results!$E:$E,"&gt;="&amp;$I$2,Results!$E:$E,"&lt;="&amp;$I$3,Results!$F:$F,"Trace",Results!$G:$G,"Indeterminate",Results!$K:$K,"No") + COUNTIFS(Results!$E:$E,"&gt;="&amp;$I$2,Results!$E:$E,"&lt;="&amp;$I$3,Results!$F:$F,"Trace",Results!$G:$G,"Indeterminate",Results!$K:$K,"On Treatment")</f>
        <v>0</v>
      </c>
      <c r="D20" s="28">
        <f>COUNTIFS(Results!$E:$E,"&gt;="&amp;$I$2,Results!$E:$E,"&lt;="&amp;$I$3,Results!$F:$F,"Trace",Results!$G:$G,"Indeterminate",Results!$K:$K,"Yes")</f>
        <v>0</v>
      </c>
      <c r="E20" s="28">
        <f>COUNTIFS(Results!$E:$E,"&gt;="&amp;$I$2,Results!$E:$E,"&lt;="&amp;$I$3,Results!$F:$F,"Trace",Results!$G:$G,"Indeterminate",Results!$K:$K,"Unknown")</f>
        <v>0</v>
      </c>
      <c r="F20" s="28">
        <f>COUNTIFS(Results!$E:$E,"&gt;="&amp;$I$2,Results!$E:$E,"&lt;="&amp;$I$3,Results!$F:$F,"Trace",Results!$G:$G,"Indeterminate", Results!$K:$K,"&lt;&gt;Not on Form", Results!$K:$K,"&lt;&gt;N/A")</f>
        <v>0</v>
      </c>
      <c r="G20" s="33"/>
      <c r="I20" s="15" t="str">
        <f>IF(SUM(C20:E20)=F20,"","Check Total Value &amp; Category")</f>
        <v/>
      </c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t="14.25" customHeight="1">
      <c r="A21" s="15"/>
      <c r="B21" s="15"/>
      <c r="C21" s="15"/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t="14.25" customHeight="1">
      <c r="A22" s="15" t="s">
        <v>66</v>
      </c>
      <c r="B22" s="15"/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t="14.25" customHeight="1">
      <c r="A23" s="28"/>
      <c r="B23" s="28"/>
      <c r="C23" s="34" t="s">
        <v>67</v>
      </c>
      <c r="D23" s="34" t="s">
        <v>68</v>
      </c>
      <c r="E23" s="27" t="s">
        <v>55</v>
      </c>
      <c r="F23" s="27" t="s">
        <v>49</v>
      </c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t="15.75" hidden="1" customHeight="1">
      <c r="A24" s="30" t="s">
        <v>56</v>
      </c>
      <c r="B24" s="28" t="s">
        <v>57</v>
      </c>
      <c r="C24" s="28">
        <f>COUNTIFS(Results!$E:$E,"&gt;="&amp;$I$2,Results!$E:$E,"&lt;="&amp;$I$3,Results!$L:$L,"Positive",Results!$H:$H,"Positive", Results!$F:$F,"*tive")</f>
        <v>0</v>
      </c>
      <c r="D24" s="28">
        <f>COUNTIFS(Results!$E:$E,"&gt;="&amp;$I$2,Results!$E:$E,"&lt;="&amp;$I$3,Results!$L:$L,"Positive",Results!$H:$H,"Negative", Results!$F:$F,"*tive")</f>
        <v>0</v>
      </c>
      <c r="E24" s="28">
        <f>COUNTIFS(Results!$E:$E,"&gt;="&amp;$I$2,Results!$E:$E,"&lt;="&amp;$I$3,Results!$L:$L,"Positive",Results!$H:$H,"Unknown", Results!$F:$F,"*tive")</f>
        <v>0</v>
      </c>
      <c r="F24" s="28">
        <f>COUNTIFS(Results!$E:$E,"&gt;="&amp;$I$2,Results!$E:$E,"&lt;="&amp;$I$3,Results!$L:$L,"Positive", Results!$F:$F,"*tive", Results!$H:$H,"&lt;&gt;Not on Form", Results!$H:$H,"&lt;&gt;N/A", Results!$L:$L,"&lt;&gt;Not on Form", Results!$L:$L,"&lt;&gt;N/A")</f>
        <v>0</v>
      </c>
      <c r="G24" s="31" t="str">
        <f>IF($F$9=SUM(F24:F26),"","Error! Microscope Result and HIV Status do NOT match; Crosscheck for missing information in Microscope Result OR HIV Status")</f>
        <v/>
      </c>
      <c r="I24" s="15" t="str">
        <f t="shared" ref="I24:I29" si="2">IF(SUM(C24:E24)=F24,"","Check Total Value &amp; Category")</f>
        <v/>
      </c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t="14.25" hidden="1" customHeight="1">
      <c r="A25" s="32"/>
      <c r="B25" s="28" t="s">
        <v>58</v>
      </c>
      <c r="C25" s="28">
        <f>COUNTIFS(Results!$E:$E,"&gt;="&amp;$I$2,Results!$E:$E,"&lt;="&amp;$I$3,Results!$L:$L,"Negative",Results!$H:$H,"Positive", Results!$F:$F,"*tive")</f>
        <v>0</v>
      </c>
      <c r="D25" s="28">
        <f>COUNTIFS(Results!$E:$E,"&gt;="&amp;$I$2,Results!$E:$E,"&lt;="&amp;$I$3,Results!$L:$L,"Negative",Results!$H:$H,"Negative", Results!$F:$F,"*tive")</f>
        <v>0</v>
      </c>
      <c r="E25" s="28">
        <f>COUNTIFS(Results!$E:$E,"&gt;="&amp;$I$2,Results!$E:$E,"&lt;="&amp;$I$3,Results!$L:$L,"Negative",Results!$H:$H,"Unknown", Results!$F:$F,"*tive")</f>
        <v>0</v>
      </c>
      <c r="F25" s="28">
        <f>COUNTIFS(Results!$E:$E,"&gt;="&amp;$I$2,Results!$E:$E,"&lt;="&amp;$I$3,Results!$L:$L,"Negative", Results!$F:$F,"*tive",  Results!$H:$H,"&lt;&gt;Not on Form", Results!$H:$H,"&lt;&gt;N/A", Results!$L:$L,"&lt;&gt;Not on Form", Results!$L:$L,"&lt;&gt;N/A")</f>
        <v>0</v>
      </c>
      <c r="G25" s="33"/>
      <c r="I25" s="15" t="str">
        <f t="shared" si="2"/>
        <v/>
      </c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t="14.25" hidden="1" customHeight="1">
      <c r="A26" s="26"/>
      <c r="B26" s="28" t="s">
        <v>59</v>
      </c>
      <c r="C26" s="28">
        <f>COUNTIFS(Results!$E:$E,"&gt;="&amp;$I$2,Results!$E:$E,"&lt;="&amp;$I$3,Results!$L:$L,"Not Done",Results!$H:$H,"Positive", Results!$F:$F,"*tive")</f>
        <v>0</v>
      </c>
      <c r="D26" s="28">
        <f>COUNTIFS(Results!$E:$E,"&gt;="&amp;$I$2,Results!$E:$E,"&lt;="&amp;$I$3,Results!$L:$L,"Not Done",Results!$H:$H,"Negative", Results!$F:$F,"*tive")</f>
        <v>0</v>
      </c>
      <c r="E26" s="28">
        <f>COUNTIFS(Results!$E:$E,"&gt;="&amp;$I$2,Results!$E:$E,"&lt;="&amp;$I$3,Results!$L:$L,"Not Done",Results!$H:$H,"Unknown", Results!$F:$F,"*tive")</f>
        <v>0</v>
      </c>
      <c r="F26" s="28">
        <f>COUNTIFS(Results!$E:$E,"&gt;="&amp;$I$2,Results!$E:$E,"&lt;="&amp;$I$3,Results!$L:$L,"Not Done",Results!$F:$F,"*tive",  Results!$H:$H,"&lt;&gt;Not on Form", Results!$H:$H,"&lt;&gt;N/A", Results!$L:$L,"&lt;&gt;Not on Form", Results!$L:$L,"&lt;&gt;N/A")</f>
        <v>0</v>
      </c>
      <c r="G26" s="33"/>
      <c r="I26" s="15" t="str">
        <f t="shared" si="2"/>
        <v/>
      </c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t="14.25" customHeight="1">
      <c r="A27" s="25" t="s">
        <v>60</v>
      </c>
      <c r="B27" s="28" t="s">
        <v>61</v>
      </c>
      <c r="C27" s="28">
        <f>COUNTIFS(Results!$E:$E,"&gt;="&amp;$I$2,Results!$E:$E,"&lt;="&amp;$I$3,Results!$F:$F,"Negative",Results!$H:$H,"Positive")</f>
        <v>0</v>
      </c>
      <c r="D27" s="28">
        <f>COUNTIFS(Results!$E:$E,"&gt;="&amp;$I$2,Results!$E:$E,"&lt;="&amp;$I$3,Results!$F:$F,"Negative",Results!$H:$H,"Negative")</f>
        <v>0</v>
      </c>
      <c r="E27" s="28">
        <f>COUNTIFS(Results!$E:$E,"&gt;="&amp;$I$2,Results!$E:$E,"&lt;="&amp;$I$3,Results!$F:$F,"Negative",Results!$H:$H,"Unknown")</f>
        <v>0</v>
      </c>
      <c r="F27" s="28">
        <f>COUNTIFS(Results!$E:$E,"&gt;="&amp;$I$2,Results!$E:$E,"&lt;="&amp;$I$3,Results!$F:$F,"Negative", Results!$H:$H,"&lt;&gt;Not on Form", Results!$H:$H,"&lt;&gt;N/A")</f>
        <v>0</v>
      </c>
      <c r="G27" s="31" t="str">
        <f>IF($F$9=SUM(F27:F31),"","Error! Cross information between Xpert result and HIV Status are not match; possibly there will be Erorr or missing information on MTB result OR HIV Status")</f>
        <v/>
      </c>
      <c r="I27" s="15" t="str">
        <f t="shared" si="2"/>
        <v/>
      </c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t="14.25" customHeight="1">
      <c r="A28" s="32"/>
      <c r="B28" s="28" t="s">
        <v>62</v>
      </c>
      <c r="C28" s="28">
        <f>COUNTIFS(Results!$E:$E,"&gt;="&amp;$I$2,Results!$E:$E,"&lt;="&amp;$I$3,Results!$F:$F,"Positive",Results!$G:$G,"Negative",Results!$H:$H,"Positive")</f>
        <v>0</v>
      </c>
      <c r="D28" s="28">
        <f>COUNTIFS(Results!$E:$E,"&gt;="&amp;$I$2,Results!$E:$E,"&lt;="&amp;$I$3,Results!$F:$F,"Positive",Results!$G:$G,"Negative",Results!$H:$H,"Negative")</f>
        <v>0</v>
      </c>
      <c r="E28" s="28">
        <f>COUNTIFS(Results!$E:$E,"&gt;="&amp;$I$2,Results!$E:$E,"&lt;="&amp;$I$3,Results!$F:$F,"Positive",Results!$G:$G,"Negative",Results!$H:$H,"Unknown")</f>
        <v>0</v>
      </c>
      <c r="F28" s="28">
        <f>COUNTIFS(Results!$E:$E,"&gt;="&amp;$I$2,Results!$E:$E,"&lt;="&amp;$I$3,Results!$F:$F,"Positive",Results!$G:$G,"Negative", Results!$H:$H,"&lt;&gt;Not on Form", Results!$H:$H,"&lt;&gt;N/A")</f>
        <v>0</v>
      </c>
      <c r="G28" s="33"/>
      <c r="I28" s="15" t="str">
        <f t="shared" si="2"/>
        <v/>
      </c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t="14.25" customHeight="1">
      <c r="A29" s="32"/>
      <c r="B29" s="28" t="s">
        <v>63</v>
      </c>
      <c r="C29" s="28">
        <f>COUNTIFS(Results!$E:$E,"&gt;="&amp;$I$2,Results!$E:$E,"&lt;="&amp;$I$3,Results!$F:$F,"Positive",Results!$G:$G,"Positive",Results!$H:$H,"Positive")</f>
        <v>0</v>
      </c>
      <c r="D29" s="28">
        <f>COUNTIFS(Results!$E:$E,"&gt;="&amp;$I$2,Results!$E:$E,"&lt;="&amp;$I$3,Results!$F:$F,"Positive",Results!$G:$G,"Positive",Results!$H:$H,"Negative")</f>
        <v>0</v>
      </c>
      <c r="E29" s="28">
        <f>COUNTIFS(Results!$E:$E,"&gt;="&amp;$I$2,Results!$E:$E,"&lt;="&amp;$I$3,Results!$F:$F,"Positive",Results!$G:$G,"Positive",Results!$H:$H,"Unknown")</f>
        <v>0</v>
      </c>
      <c r="F29" s="28">
        <f>COUNTIFS(Results!$E:$E,"&gt;="&amp;$I$2,Results!$E:$E,"&lt;="&amp;$I$3,Results!$F:$F,"Positive",Results!$G:$G,"Positive", Results!$H:$H,"&lt;&gt;Not on Form", Results!$H:$H,"&lt;&gt;N/A")</f>
        <v>0</v>
      </c>
      <c r="G29" s="33"/>
      <c r="I29" s="15" t="str">
        <f t="shared" si="2"/>
        <v/>
      </c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t="14.25" customHeight="1">
      <c r="A30" s="32"/>
      <c r="B30" s="28" t="s">
        <v>64</v>
      </c>
      <c r="C30" s="28">
        <f>COUNTIFS(Results!$E:$E,"&gt;="&amp;$I$2,Results!$E:$E,"&lt;="&amp;$I$3,Results!$F:$F,"Positive",Results!$G:$G,"Indeterminate",Results!$H:$H,"Positive")</f>
        <v>0</v>
      </c>
      <c r="D30" s="28">
        <f>COUNTIFS(Results!$E:$E,"&gt;="&amp;$I$2,Results!$E:$E,"&lt;="&amp;$I$3,Results!$F:$F,"Positive",Results!$G:$G,"Indeterminate",Results!$H:$H,"Negative")</f>
        <v>0</v>
      </c>
      <c r="E30" s="28">
        <f>COUNTIFS(Results!$E:$E,"&gt;="&amp;$I$2,Results!$E:$E,"&lt;="&amp;$I$3,Results!$F:$F,"Positive",Results!$G:$G,"Indeterminate",Results!$H:$H,"Unknown")</f>
        <v>0</v>
      </c>
      <c r="F30" s="28">
        <f>COUNTIFS(Results!$E:$E,"&gt;="&amp;$I$2,Results!$E:$E,"&lt;="&amp;$I$3,Results!$F:$F,"Positive",Results!$G:$G,"Indeterminate", Results!$H:$H,"&lt;&gt;Not on Form", Results!$H:$H,"&lt;&gt;N/A")</f>
        <v>0</v>
      </c>
      <c r="G30" s="33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t="14.25" customHeight="1">
      <c r="A31" s="26"/>
      <c r="B31" s="28" t="s">
        <v>65</v>
      </c>
      <c r="C31" s="28">
        <f>COUNTIFS(Results!$E:$E,"&gt;="&amp;$I$2,Results!$E:$E,"&lt;="&amp;$I$3,Results!$F:$F,"Trace",Results!$G:$G,"Indeterminate",Results!$H:$H,"Positive")</f>
        <v>0</v>
      </c>
      <c r="D31" s="28">
        <f>COUNTIFS(Results!$E:$E,"&gt;="&amp;$I$2,Results!$E:$E,"&lt;="&amp;$I$3,Results!$F:$F,"Trace",Results!$G:$G,"Indeterminate",Results!$H:$H,"Negative")</f>
        <v>0</v>
      </c>
      <c r="E31" s="28">
        <f>COUNTIFS(Results!$E:$E,"&gt;="&amp;$I$2,Results!$E:$E,"&lt;="&amp;$I$3,Results!$F:$F,"Trace",Results!$G:$G,"Indeterminate",Results!$H:$H,"Unknown")</f>
        <v>0</v>
      </c>
      <c r="F31" s="28">
        <f>COUNTIFS(Results!$E:$E,"&gt;="&amp;$I$2,Results!$E:$E,"&lt;="&amp;$I$3,Results!$F:$F,"Trace",Results!$G:$G,"Indeterminate", Results!$H:$H,"&lt;&gt;Not on Form", Results!$H:$H,"&lt;&gt;N/A")</f>
        <v>0</v>
      </c>
      <c r="G31" s="33"/>
      <c r="I31" s="15" t="str">
        <f>IF(SUM(C31:E31)=F31,"","Check Total Value &amp; Category")</f>
        <v/>
      </c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t="14.25" customHeight="1">
      <c r="A32" s="15"/>
      <c r="B32" s="15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t="14.25" customHeight="1">
      <c r="A33" s="35" t="s">
        <v>69</v>
      </c>
      <c r="B33" s="36"/>
      <c r="C33" s="36"/>
      <c r="D33" s="36"/>
      <c r="E33" s="36"/>
      <c r="F33" s="36"/>
      <c r="G33" s="36"/>
      <c r="H33" s="36"/>
      <c r="I33" s="36"/>
      <c r="J33" s="36"/>
      <c r="K33" s="36"/>
      <c r="L33" s="36"/>
      <c r="M33" s="36"/>
      <c r="N33" s="36"/>
      <c r="O33" s="36"/>
      <c r="P33" s="36"/>
      <c r="Q33" s="36"/>
      <c r="R33" s="36"/>
      <c r="S33" s="36"/>
      <c r="T33" s="36"/>
      <c r="U33" s="36"/>
      <c r="V33" s="36"/>
      <c r="W33" s="36"/>
      <c r="X33" s="36"/>
      <c r="Y33" s="36"/>
      <c r="Z33" s="36"/>
    </row>
    <row r="34" ht="14.25" customHeight="1">
      <c r="A34" s="37"/>
      <c r="B34" s="37"/>
      <c r="C34" s="38" t="s">
        <v>70</v>
      </c>
      <c r="D34" s="38" t="s">
        <v>71</v>
      </c>
      <c r="E34" s="38" t="s">
        <v>72</v>
      </c>
      <c r="F34" s="38" t="s">
        <v>73</v>
      </c>
      <c r="G34" s="38" t="s">
        <v>74</v>
      </c>
      <c r="H34" s="39" t="s">
        <v>49</v>
      </c>
      <c r="I34" s="40"/>
      <c r="J34" s="40"/>
      <c r="K34" s="40"/>
      <c r="L34" s="40"/>
      <c r="M34" s="40"/>
      <c r="N34" s="40"/>
      <c r="O34" s="40"/>
      <c r="P34" s="40"/>
      <c r="Q34" s="40"/>
      <c r="R34" s="40"/>
      <c r="S34" s="40"/>
      <c r="T34" s="40"/>
      <c r="U34" s="40"/>
      <c r="V34" s="40"/>
      <c r="W34" s="40"/>
      <c r="X34" s="40"/>
      <c r="Y34" s="40"/>
      <c r="Z34" s="40"/>
    </row>
    <row r="35" ht="14.25" customHeight="1">
      <c r="A35" s="41" t="s">
        <v>60</v>
      </c>
      <c r="B35" s="42" t="s">
        <v>61</v>
      </c>
      <c r="C35" s="43">
        <f>COUNTIFS(Results!$E:$E,"&gt;="&amp;$I$2,Results!$E:$E,"&lt;="&amp;$I$3,Results!$F:$F,"Negative",Results!$S:$S,"*DX*")</f>
        <v>0</v>
      </c>
      <c r="D35" s="43">
        <f>COUNTIFS(Results!$E:$E,"&gt;="&amp;$I$2,Results!$E:$E,"&lt;="&amp;$I$3,Results!$F:$F,"Negative",Results!$S:$S,"*fu*")</f>
        <v>0</v>
      </c>
      <c r="E35" s="43">
        <f>COUNTIFS(Results!$E:$E,"&gt;="&amp;$I$2,Results!$E:$E,"&lt;="&amp;$I$3,Results!$F:$F,"Negative",Results!$S:$S,"*mdr*")</f>
        <v>0</v>
      </c>
      <c r="F35" s="43">
        <f>COUNTIFS(Results!$E:$E,"&gt;="&amp;$I$2,Results!$E:$E,"&lt;="&amp;$I$3,Results!$F:$F,"Negative",Results!$S:$S,"*dm*")</f>
        <v>0</v>
      </c>
      <c r="G35" s="43">
        <f>COUNTIFS(Results!$E:$E,"&gt;="&amp;$I$2,Results!$E:$E,"&lt;="&amp;$I$3,Results!$F:$F,"Negative",Results!$S:$S,"*na*")</f>
        <v>0</v>
      </c>
      <c r="H35" s="43">
        <f>COUNTIFS(Results!$E:$E,"&gt;="&amp;$I$2,Results!$E:$E,"&lt;="&amp;$I$3,Results!$F:$F,"Negative", Results!$O:$O,"&lt;&gt;Not on Form", Results!$O:$O,"&lt;&gt;N/A")</f>
        <v>0</v>
      </c>
      <c r="I35" s="40"/>
      <c r="J35" s="40"/>
      <c r="K35" s="40"/>
      <c r="L35" s="40"/>
      <c r="M35" s="40"/>
      <c r="N35" s="40"/>
      <c r="O35" s="40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</row>
    <row r="36" ht="14.25" customHeight="1">
      <c r="A36" s="32"/>
      <c r="B36" s="42" t="s">
        <v>62</v>
      </c>
      <c r="C36" s="43">
        <f>COUNTIFS(Results!$E:$E,"&gt;="&amp;$I$2,Results!$E:$E,"&lt;="&amp;$I$3,Results!$F:$F,"Positive",Results!$G:$G,"Negative",Results!$S:$S,"*DX*")</f>
        <v>0</v>
      </c>
      <c r="D36" s="43">
        <f>COUNTIFS(Results!$E:$E,"&gt;="&amp;$I$2,Results!$E:$E,"&lt;="&amp;$I$3,Results!$F:$F,"Positive",Results!$G:$G,"Negative",Results!$S:$S,"*fu*")</f>
        <v>0</v>
      </c>
      <c r="E36" s="43">
        <f>COUNTIFS(Results!$E:$E,"&gt;="&amp;$I$2,Results!$E:$E,"&lt;="&amp;$I$3,Results!$F:$F,"Positive",Results!$G:$G,"Negative",Results!$S:$S,"*mdr*")</f>
        <v>0</v>
      </c>
      <c r="F36" s="43">
        <f>COUNTIFS(Results!$E:$E,"&gt;="&amp;$I$2,Results!$E:$E,"&lt;="&amp;$I$3,Results!$F:$F,"Positive",Results!$G:$G,"Negative",Results!$S:$S,"*Dm*")</f>
        <v>0</v>
      </c>
      <c r="G36" s="43">
        <f>COUNTIFS(Results!$E:$E,"&gt;="&amp;$I$2,Results!$E:$E,"&lt;="&amp;$I$3,Results!$F:$F,"Positive",Results!$G:$G,"Negative",Results!$S:$S,"*na*")</f>
        <v>0</v>
      </c>
      <c r="H36" s="43">
        <f>COUNTIFS(Results!$E:$E,"&gt;="&amp;$I$2,Results!$E:$E,"&lt;="&amp;$I$3,Results!$F:$F,"Positive",Results!$G:$G,"Negative", Results!$O:$O,"&lt;&gt;Not on Form", Results!$O:$O,"&lt;&gt;N/A")</f>
        <v>0</v>
      </c>
      <c r="I36" s="40"/>
      <c r="J36" s="40"/>
      <c r="K36" s="40"/>
      <c r="L36" s="40"/>
      <c r="M36" s="40"/>
      <c r="N36" s="40"/>
      <c r="O36" s="40"/>
      <c r="P36" s="40"/>
      <c r="Q36" s="40"/>
      <c r="R36" s="40"/>
      <c r="S36" s="40"/>
      <c r="T36" s="40"/>
      <c r="U36" s="40"/>
      <c r="V36" s="40"/>
      <c r="W36" s="40"/>
      <c r="X36" s="40"/>
      <c r="Y36" s="40"/>
      <c r="Z36" s="40"/>
    </row>
    <row r="37" ht="14.25" customHeight="1">
      <c r="A37" s="32"/>
      <c r="B37" s="42" t="s">
        <v>63</v>
      </c>
      <c r="C37" s="43">
        <f>COUNTIFS(Results!$E:$E,"&gt;="&amp;$I$2,Results!$E:$E,"&lt;="&amp;$I$3,Results!$F:$F,"Positive",Results!$G:$G,"Positive",Results!$S:$S,"*DX*")</f>
        <v>0</v>
      </c>
      <c r="D37" s="43">
        <f>COUNTIFS(Results!$E:$E,"&gt;="&amp;$I$2,Results!$E:$E,"&lt;="&amp;$I$3,Results!$F:$F,"Positive",Results!$G:$G,"Positive",Results!$S:$S,"*fu*")</f>
        <v>0</v>
      </c>
      <c r="E37" s="43">
        <f>COUNTIFS(Results!$E:$E,"&gt;="&amp;$I$2,Results!$E:$E,"&lt;="&amp;$I$3,Results!$F:$F,"Positive",Results!$G:$G,"Positive",Results!$S:$S,"*mdr*")</f>
        <v>0</v>
      </c>
      <c r="F37" s="43">
        <f>COUNTIFS(Results!$E:$E,"&gt;="&amp;$I$2,Results!$E:$E,"&lt;="&amp;$I$3,Results!$F:$F,"Positive",Results!$G:$G,"Positive",Results!$S:$S,"*dm*")</f>
        <v>0</v>
      </c>
      <c r="G37" s="43">
        <f>COUNTIFS(Results!$E:$E,"&gt;="&amp;$I$2,Results!$E:$E,"&lt;="&amp;$I$3,Results!$F:$F,"Positive",Results!$G:$G,"Positive",Results!$S:$S,"*na*")</f>
        <v>0</v>
      </c>
      <c r="H37" s="43">
        <f>COUNTIFS(Results!$E:$E,"&gt;="&amp;$I$2,Results!$E:$E,"&lt;="&amp;$I$3,Results!$F:$F,"Positive",Results!$G:$G,"Positive", Results!$O:$O,"&lt;&gt;Not on Form", Results!$O:$O,"&lt;&gt;N/A")</f>
        <v>0</v>
      </c>
      <c r="I37" s="40"/>
      <c r="J37" s="40"/>
      <c r="K37" s="40"/>
      <c r="L37" s="40"/>
      <c r="M37" s="40"/>
      <c r="N37" s="40"/>
      <c r="O37" s="40"/>
      <c r="P37" s="40"/>
      <c r="Q37" s="40"/>
      <c r="R37" s="40"/>
      <c r="S37" s="40"/>
      <c r="T37" s="40"/>
      <c r="U37" s="40"/>
      <c r="V37" s="40"/>
      <c r="W37" s="40"/>
      <c r="X37" s="40"/>
      <c r="Y37" s="40"/>
      <c r="Z37" s="40"/>
    </row>
    <row r="38" ht="14.25" customHeight="1">
      <c r="A38" s="32"/>
      <c r="B38" s="42" t="s">
        <v>64</v>
      </c>
      <c r="C38" s="43">
        <f>COUNTIFS(Results!$E:$E,"&gt;="&amp;$I$2,Results!$E:$E,"&lt;="&amp;$I$3,Results!$F:$F,"Positive",Results!$G:$G,"Indeterminate",Results!$S:$S,"*DX*")</f>
        <v>0</v>
      </c>
      <c r="D38" s="43">
        <f>COUNTIFS(Results!$E:$E,"&gt;="&amp;$I$2,Results!$E:$E,"&lt;="&amp;$I$3,Results!$F:$F,"Positive",Results!$G:$G,"Indeterminate",Results!$S:$S,"*fu*")</f>
        <v>0</v>
      </c>
      <c r="E38" s="43">
        <f>COUNTIFS(Results!$E:$E,"&gt;="&amp;$I$2,Results!$E:$E,"&lt;="&amp;$I$3,Results!$F:$F,"Positive",Results!$G:$G,"Indeterminate",Results!$S:$S,"*mdr*")</f>
        <v>0</v>
      </c>
      <c r="F38" s="43">
        <f>COUNTIFS(Results!$E:$E,"&gt;="&amp;$I$2,Results!$E:$E,"&lt;="&amp;$I$3,Results!$F:$F,"Positive",Results!$G:$G,"Indeterminate",Results!$S:$S,"*dm*")</f>
        <v>0</v>
      </c>
      <c r="G38" s="43">
        <f>COUNTIFS(Results!$E:$E,"&gt;="&amp;$I$2,Results!$E:$E,"&lt;="&amp;$I$3,Results!$F:$F,"Positive",Results!$G:$G,"Indeterminate",Results!$S:$S,"*na*")</f>
        <v>0</v>
      </c>
      <c r="H38" s="43">
        <f>COUNTIFS(Results!$E:$E,"&gt;="&amp;$I$2,Results!$E:$E,"&lt;="&amp;$I$3,Results!$F:$F,"Positive",Results!$G:$G,"Indeterminate", Results!$O:$O,"&lt;&gt;Not on Form", Results!$O:$O,"&lt;&gt;N/A")</f>
        <v>0</v>
      </c>
      <c r="I38" s="40"/>
      <c r="J38" s="40"/>
      <c r="K38" s="40"/>
      <c r="L38" s="40"/>
      <c r="M38" s="40"/>
      <c r="N38" s="40"/>
      <c r="O38" s="40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</row>
    <row r="39" ht="14.25" customHeight="1">
      <c r="A39" s="26"/>
      <c r="B39" s="42" t="s">
        <v>75</v>
      </c>
      <c r="C39" s="43">
        <f>COUNTIFS(Results!$E:$E,"&gt;="&amp;$I$2,Results!$E:$E,"&lt;="&amp;$I$3,Results!$F:$F,"Trace",Results!$G:$G,"Indeterminate",Results!$S:$S,"*DX*")</f>
        <v>0</v>
      </c>
      <c r="D39" s="43">
        <f>COUNTIFS(Results!$E:$E,"&gt;="&amp;$I$2,Results!$E:$E,"&lt;="&amp;$I$3,Results!$F:$F,"Trace",Results!$G:$G,"Indeterminate",Results!$S:$S,"*fu*")</f>
        <v>0</v>
      </c>
      <c r="E39" s="43">
        <f>COUNTIFS(Results!$E:$E,"&gt;="&amp;$I$2,Results!$E:$E,"&lt;="&amp;$I$3,Results!$F:$F,"Trace",Results!$G:$G,"Indeterminate",Results!$S:$S,"*mdr*")</f>
        <v>0</v>
      </c>
      <c r="F39" s="43">
        <f>COUNTIFS(Results!$E:$E,"&gt;="&amp;$I$2,Results!$E:$E,"&lt;="&amp;$I$3,Results!$F:$F,"Trace",Results!$G:$G,"Indeterminate",Results!$S:$S,"*dm*")</f>
        <v>0</v>
      </c>
      <c r="G39" s="43">
        <f>COUNTIFS(Results!$E:$E,"&gt;="&amp;$I$2,Results!$E:$E,"&lt;="&amp;$I$3,Results!$F:$F,"Trace",Results!$G:$G,"Indeterminate",Results!$S:$S,"*na*")</f>
        <v>0</v>
      </c>
      <c r="H39" s="43">
        <f>COUNTIFS(Results!$E:$E,"&gt;="&amp;$I$2,Results!$E:$E,"&lt;="&amp;$I$3,Results!$F:$F,"Trace",Results!$G:$G,"Indeterminate", Results!$O:$O,"&lt;&gt;Not on Form", Results!$O:$O,"&lt;&gt;N/A")</f>
        <v>0</v>
      </c>
      <c r="I39" s="40"/>
      <c r="J39" s="40"/>
      <c r="K39" s="40"/>
      <c r="L39" s="40"/>
      <c r="M39" s="40"/>
      <c r="N39" s="40"/>
      <c r="O39" s="40"/>
      <c r="P39" s="40"/>
      <c r="Q39" s="40"/>
      <c r="R39" s="40"/>
      <c r="S39" s="40"/>
      <c r="T39" s="40"/>
      <c r="U39" s="40"/>
      <c r="V39" s="40"/>
      <c r="W39" s="40"/>
      <c r="X39" s="40"/>
      <c r="Y39" s="40"/>
      <c r="Z39" s="40"/>
    </row>
    <row r="40" ht="14.25" customHeight="1">
      <c r="A40" s="15"/>
      <c r="B40" s="15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t="14.25" customHeight="1">
      <c r="A41" s="15"/>
      <c r="B41" s="15"/>
      <c r="C41" s="23" t="s">
        <v>47</v>
      </c>
      <c r="D41" s="24"/>
      <c r="E41" s="23" t="s">
        <v>48</v>
      </c>
      <c r="F41" s="24"/>
      <c r="G41" s="22" t="s">
        <v>49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t="14.25" customHeight="1">
      <c r="A42" s="28" t="s">
        <v>76</v>
      </c>
      <c r="B42" s="28"/>
      <c r="C42" s="23">
        <f>COUNTIFS(Results!$E:$E,"&gt;="&amp;$I$2,Results!$E:$E,"&lt;="&amp;$I$3,Results!$I:$I,"Male",Results!$F:$F,"Positive",Results!$G:$G,"Positive")</f>
        <v>0</v>
      </c>
      <c r="D42" s="24"/>
      <c r="E42" s="23">
        <f>COUNTIFS(Results!$E:$E,"&gt;="&amp;$I$2,Results!$E:$E,"&lt;="&amp;$I$3,Results!$I:$I,"Female",Results!$F:$F,"Positive",Results!$G:$G,"Positive")</f>
        <v>0</v>
      </c>
      <c r="F42" s="24"/>
      <c r="G42" s="28">
        <f>COUNTIFS(Results!$E:$E,"&gt;="&amp;$I$2,Results!$E:$E,"&lt;="&amp;$I$3,Results!$F:$F,"Positive",Results!$G:$G,"Positive", Results!$I:$I,"&lt;&gt;Not on Form", Results!$I:$I,"&lt;&gt;N/A")</f>
        <v>0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t="14.25" customHeight="1">
      <c r="A43" s="15"/>
      <c r="B43" s="15"/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t="14.25" customHeight="1">
      <c r="A44" s="15" t="s">
        <v>77</v>
      </c>
      <c r="B44" s="15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t="14.25" customHeight="1">
      <c r="A45" s="28"/>
      <c r="B45" s="28"/>
      <c r="C45" s="23" t="s">
        <v>78</v>
      </c>
      <c r="D45" s="24"/>
      <c r="E45" s="23" t="s">
        <v>79</v>
      </c>
      <c r="F45" s="24"/>
      <c r="G45" s="28" t="s">
        <v>49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t="14.25" customHeight="1">
      <c r="A46" s="44" t="s">
        <v>80</v>
      </c>
      <c r="B46" s="45"/>
      <c r="C46" s="23">
        <f>COUNTIFS(Results!$E:$E,"&gt;="&amp;$I$2,Results!$E:$E,"&lt;="&amp;$I$3,Results!$F:$F,"Positive",Results!$L:$L,"Positive")</f>
        <v>0</v>
      </c>
      <c r="D46" s="24"/>
      <c r="E46" s="23">
        <f>COUNTIFS(Results!$E:$E,"&gt;="&amp;$I$2,Results!$E:$E,"&lt;="&amp;$I$3,Results!$F:$F,"Negative",Results!$L:$L,"Positive")</f>
        <v>0</v>
      </c>
      <c r="F46" s="24"/>
      <c r="G46" s="28">
        <f>COUNTIFS(Results!$E:$E,"&gt;="&amp;$I$2,Results!$E:$E,"&lt;="&amp;$I$3,Results!$L:$L,"Positive", Results!$F:$F,"*tive", Results!$L:$L,"&lt;&gt;Not on Form", Results!$L:$L,"&lt;&gt;N/A")</f>
        <v>0</v>
      </c>
      <c r="H46" s="31" t="s">
        <v>81</v>
      </c>
      <c r="J46" s="15" t="str">
        <f t="shared" ref="J46:J48" si="3">IF(SUM(C46:F46)=G46,"","Check Total Value &amp; Category")</f>
        <v/>
      </c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t="14.25" customHeight="1">
      <c r="A47" s="44" t="s">
        <v>82</v>
      </c>
      <c r="B47" s="45"/>
      <c r="C47" s="23">
        <f>COUNTIFS(Results!$E:$E,"&gt;="&amp;$I$2,Results!$E:$E,"&lt;="&amp;$I$3,Results!$F:$F,"Positive",Results!$L:$L,"Negative")</f>
        <v>0</v>
      </c>
      <c r="D47" s="24"/>
      <c r="E47" s="23">
        <f>COUNTIFS(Results!$E:$E,"&gt;="&amp;$I$2,Results!$E:$E,"&lt;="&amp;$I$3,Results!$F:$F,"Negative",Results!$L:$L,"Negative")</f>
        <v>0</v>
      </c>
      <c r="F47" s="24"/>
      <c r="G47" s="28">
        <f>COUNTIFS(Results!$E:$E,"&gt;="&amp;$I$2,Results!$E:$E,"&lt;="&amp;$I$3,Results!$L:$L,"Negative", Results!$F:$F,"*tive", Results!$F:$F,"*tive", Results!$L:$L,"&lt;&gt;Not on Form", Results!$L:$L,"&lt;&gt;N/A")</f>
        <v>0</v>
      </c>
      <c r="H47" s="33"/>
      <c r="J47" s="15" t="str">
        <f t="shared" si="3"/>
        <v/>
      </c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t="14.25" customHeight="1">
      <c r="A48" s="44" t="s">
        <v>83</v>
      </c>
      <c r="B48" s="45"/>
      <c r="C48" s="23">
        <f>COUNTIFS(Results!$E:$E,"&gt;="&amp;$I$2,Results!$E:$E,"&lt;="&amp;$I$3,Results!$F:$F,"Positive",Results!$L:$L,"Not Done")</f>
        <v>0</v>
      </c>
      <c r="D48" s="24"/>
      <c r="E48" s="23">
        <f>COUNTIFS(Results!$E:$E,"&gt;="&amp;$I$2,Results!$E:$E,"&lt;="&amp;$I$3,Results!$F:$F,"Negative",Results!$L:$L,"Not Done")</f>
        <v>0</v>
      </c>
      <c r="F48" s="24"/>
      <c r="G48" s="28">
        <f>COUNTIFS(Results!$E:$E,"&gt;="&amp;$I$2,Results!$E:$E,"&lt;="&amp;$I$3,Results!$L:$L,"Not Done", Results!$F:$F,"*tive", Results!$F:$F,"*tive", Results!$L:$L,"&lt;&gt;Not on Form", Results!$L:$L,"&lt;&gt;N/A")</f>
        <v>0</v>
      </c>
      <c r="H48" s="33"/>
      <c r="J48" s="15" t="str">
        <f t="shared" si="3"/>
        <v/>
      </c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t="14.25" customHeight="1">
      <c r="A49" s="15"/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t="14.25" customHeight="1">
      <c r="A50" s="36"/>
      <c r="B50" s="36"/>
      <c r="C50" s="46" t="s">
        <v>78</v>
      </c>
      <c r="D50" s="24"/>
      <c r="E50" s="46" t="s">
        <v>79</v>
      </c>
      <c r="F50" s="24"/>
      <c r="G50" s="47" t="s">
        <v>49</v>
      </c>
      <c r="H50" s="36"/>
      <c r="I50" s="36"/>
      <c r="J50" s="36"/>
      <c r="K50" s="36"/>
      <c r="L50" s="36"/>
      <c r="M50" s="36"/>
      <c r="N50" s="36"/>
      <c r="O50" s="36"/>
      <c r="P50" s="36"/>
      <c r="Q50" s="36"/>
      <c r="R50" s="36"/>
      <c r="S50" s="36"/>
      <c r="T50" s="36"/>
      <c r="U50" s="36"/>
      <c r="V50" s="36"/>
      <c r="W50" s="36"/>
      <c r="X50" s="36"/>
      <c r="Y50" s="36"/>
      <c r="Z50" s="36"/>
    </row>
    <row r="51" ht="14.25" customHeight="1">
      <c r="A51" s="42" t="s">
        <v>84</v>
      </c>
      <c r="B51" s="37"/>
      <c r="C51" s="48">
        <f>COUNTIFS(Results!$E:$E,"&gt;="&amp;$I$2,Results!$E:$E,"&lt;="&amp;$I$3,Results!$F:$F,"Positive",Results!$P:$P,"CXR")</f>
        <v>0</v>
      </c>
      <c r="D51" s="24"/>
      <c r="E51" s="48">
        <f>COUNTIFS(Results!$E:$E,"&gt;="&amp;$I$2,Results!$E:$E,"&lt;="&amp;$I$3,Results!$F:$F,"Negative",Results!$P:$P,"CXR")</f>
        <v>0</v>
      </c>
      <c r="F51" s="24"/>
      <c r="G51" s="49">
        <f>COUNTIFS(Results!$E:$E,"&gt;="&amp;$I$2,Results!$E:$E,"&lt;="&amp;$I$3,Results!$F:$F,"Negative",Results!$P:$P,"CXR")</f>
        <v>0</v>
      </c>
      <c r="H51" s="40"/>
      <c r="I51" s="40"/>
      <c r="J51" s="40"/>
      <c r="K51" s="40"/>
      <c r="L51" s="40"/>
      <c r="M51" s="40"/>
      <c r="N51" s="40"/>
      <c r="O51" s="40"/>
      <c r="P51" s="40"/>
      <c r="Q51" s="40"/>
      <c r="R51" s="40"/>
      <c r="S51" s="40"/>
      <c r="T51" s="40"/>
      <c r="U51" s="40"/>
      <c r="V51" s="40"/>
      <c r="W51" s="40"/>
      <c r="X51" s="40"/>
      <c r="Y51" s="40"/>
      <c r="Z51" s="40"/>
    </row>
    <row r="52" ht="14.25" customHeight="1">
      <c r="A52" s="15"/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t="14.25" customHeight="1">
      <c r="A53" s="15" t="s">
        <v>85</v>
      </c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t="14.25" customHeight="1">
      <c r="A54" s="28"/>
      <c r="B54" s="28"/>
      <c r="C54" s="23" t="s">
        <v>86</v>
      </c>
      <c r="D54" s="24"/>
      <c r="E54" s="23" t="s">
        <v>87</v>
      </c>
      <c r="F54" s="24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t="14.25" customHeight="1">
      <c r="A55" s="44" t="s">
        <v>88</v>
      </c>
      <c r="B55" s="45"/>
      <c r="C55" s="23"/>
      <c r="D55" s="24"/>
      <c r="E55" s="23"/>
      <c r="F55" s="24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t="14.25" customHeight="1">
      <c r="A56" s="44" t="s">
        <v>89</v>
      </c>
      <c r="B56" s="45"/>
      <c r="C56" s="23"/>
      <c r="D56" s="24"/>
      <c r="E56" s="23"/>
      <c r="F56" s="24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t="14.25" customHeight="1">
      <c r="A57" s="44" t="s">
        <v>90</v>
      </c>
      <c r="B57" s="45"/>
      <c r="C57" s="23">
        <f>COUNTIFS(Results!$E:$E,"&gt;="&amp;$I$2,Results!$E:$E,"&lt;="&amp;$I$3)</f>
        <v>0</v>
      </c>
      <c r="D57" s="24"/>
      <c r="E57" s="23"/>
      <c r="F57" s="24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t="14.25" customHeight="1">
      <c r="A58" s="44" t="s">
        <v>91</v>
      </c>
      <c r="B58" s="45"/>
      <c r="C58" s="23">
        <f>C55+C56-C57</f>
        <v>0</v>
      </c>
      <c r="D58" s="24"/>
      <c r="E58" s="23"/>
      <c r="F58" s="24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t="14.25" customHeight="1">
      <c r="A59" s="50" t="s">
        <v>92</v>
      </c>
      <c r="B59" s="50"/>
      <c r="C59" s="50">
        <f>COUNTIFS(Results!$E:$E,"&gt;="&amp;$I$2,Results!$E:$E,"&lt;="&amp;$I$3,Results!$F:$F,"Error")+COUNTIFS(Results!$E:$E,"&gt;="&amp;$I$2,Results!$E:$E,"&lt;="&amp;$I$3,Results!$F:$F,"Invalid")</f>
        <v>0</v>
      </c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t="14.25" customHeight="1">
      <c r="A60" s="50" t="s">
        <v>93</v>
      </c>
      <c r="B60" s="15"/>
      <c r="C60" s="50">
        <f>COUNTIFS(Results!$E:$E,"&gt;="&amp;$I$2,Results!$E:$E,"&lt;="&amp;$I$3,Results!$F:$F,"No Result")</f>
        <v>0</v>
      </c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t="14.25" customHeight="1">
      <c r="A61" s="15"/>
      <c r="B61" s="15"/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t="14.25" customHeight="1">
      <c r="A62" s="15"/>
      <c r="B62" s="15"/>
      <c r="C62" s="15"/>
      <c r="D62" s="15"/>
      <c r="E62" s="15" t="s">
        <v>94</v>
      </c>
      <c r="F62" s="51"/>
      <c r="G62" s="51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t="14.25" customHeight="1">
      <c r="A63" s="15"/>
      <c r="B63" s="15"/>
      <c r="C63" s="15"/>
      <c r="D63" s="15"/>
      <c r="E63" s="15" t="s">
        <v>95</v>
      </c>
      <c r="F63" s="52"/>
      <c r="G63" s="52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t="14.25" customHeight="1">
      <c r="A64" s="15"/>
      <c r="B64" s="15"/>
      <c r="C64" s="15"/>
      <c r="D64" s="15"/>
      <c r="E64" s="15" t="s">
        <v>96</v>
      </c>
      <c r="F64" s="52"/>
      <c r="G64" s="52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t="14.25" customHeight="1">
      <c r="A65" s="15"/>
      <c r="B65" s="15"/>
      <c r="C65" s="15"/>
      <c r="D65" s="15"/>
      <c r="E65" s="15" t="s">
        <v>97</v>
      </c>
      <c r="F65" s="52"/>
      <c r="G65" s="52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t="14.25" customHeight="1">
      <c r="A66" s="15"/>
      <c r="B66" s="15"/>
      <c r="C66" s="15"/>
      <c r="D66" s="15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t="14.25" customHeight="1">
      <c r="A67" s="15"/>
      <c r="B67" s="15"/>
      <c r="C67" s="15"/>
      <c r="D67" s="15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t="14.25" customHeight="1">
      <c r="A68" s="15"/>
      <c r="B68" s="15"/>
      <c r="C68" s="15"/>
      <c r="D68" s="15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t="14.25" customHeight="1">
      <c r="A69" s="15"/>
      <c r="B69" s="15"/>
      <c r="C69" s="15"/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t="14.25" customHeight="1">
      <c r="A70" s="15"/>
      <c r="B70" s="15"/>
      <c r="C70" s="15"/>
      <c r="D70" s="15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t="14.25" customHeight="1">
      <c r="A71" s="15"/>
      <c r="B71" s="15"/>
      <c r="C71" s="15"/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t="14.25" customHeight="1">
      <c r="A72" s="15"/>
      <c r="B72" s="15"/>
      <c r="C72" s="15"/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t="14.25" customHeight="1">
      <c r="A73" s="15"/>
      <c r="B73" s="15"/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t="14.25" customHeight="1">
      <c r="A74" s="15"/>
      <c r="B74" s="15"/>
      <c r="C74" s="15"/>
      <c r="D74" s="15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t="14.25" customHeight="1">
      <c r="A75" s="15"/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t="14.25" customHeight="1">
      <c r="A76" s="15"/>
      <c r="B76" s="15"/>
      <c r="C76" s="15"/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t="14.25" customHeight="1">
      <c r="A77" s="15"/>
      <c r="B77" s="15"/>
      <c r="C77" s="15"/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t="14.25" customHeight="1">
      <c r="A78" s="15"/>
      <c r="B78" s="15"/>
      <c r="C78" s="15"/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t="14.25" customHeight="1">
      <c r="A79" s="15"/>
      <c r="B79" s="15"/>
      <c r="C79" s="15"/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t="14.25" customHeight="1">
      <c r="A80" s="15"/>
      <c r="B80" s="15"/>
      <c r="C80" s="15"/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t="14.25" customHeight="1">
      <c r="A81" s="15"/>
      <c r="B81" s="15"/>
      <c r="C81" s="15"/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t="14.25" customHeight="1">
      <c r="A82" s="15"/>
      <c r="B82" s="15"/>
      <c r="C82" s="15"/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t="14.25" customHeight="1">
      <c r="A83" s="15"/>
      <c r="B83" s="15"/>
      <c r="C83" s="15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t="14.25" customHeight="1">
      <c r="A84" s="15"/>
      <c r="B84" s="15"/>
      <c r="C84" s="15"/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t="14.25" customHeight="1">
      <c r="A85" s="15"/>
      <c r="B85" s="15"/>
      <c r="C85" s="15"/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t="14.25" customHeight="1">
      <c r="A86" s="15"/>
      <c r="B86" s="15"/>
      <c r="C86" s="15"/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t="14.25" customHeight="1">
      <c r="A87" s="15"/>
      <c r="B87" s="15"/>
      <c r="C87" s="15"/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t="14.25" customHeight="1">
      <c r="A88" s="15"/>
      <c r="B88" s="15"/>
      <c r="C88" s="15"/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t="14.25" customHeight="1">
      <c r="A89" s="15"/>
      <c r="B89" s="15"/>
      <c r="C89" s="15"/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t="14.25" customHeight="1">
      <c r="A90" s="15"/>
      <c r="B90" s="15"/>
      <c r="C90" s="15"/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t="14.25" customHeight="1">
      <c r="A91" s="15"/>
      <c r="B91" s="15"/>
      <c r="C91" s="15"/>
      <c r="D91" s="15"/>
      <c r="E91" s="15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t="14.25" customHeight="1">
      <c r="A92" s="15"/>
      <c r="B92" s="15"/>
      <c r="C92" s="15"/>
      <c r="D92" s="15"/>
      <c r="E92" s="15"/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t="14.25" customHeight="1">
      <c r="A93" s="15"/>
      <c r="B93" s="15"/>
      <c r="C93" s="15"/>
      <c r="D93" s="15"/>
      <c r="E93" s="15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t="14.25" customHeight="1">
      <c r="A94" s="15"/>
      <c r="B94" s="15"/>
      <c r="C94" s="15"/>
      <c r="D94" s="15"/>
      <c r="E94" s="15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t="14.25" customHeight="1">
      <c r="A95" s="15"/>
      <c r="B95" s="15"/>
      <c r="C95" s="15"/>
      <c r="D95" s="15"/>
      <c r="E95" s="15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t="14.25" customHeight="1">
      <c r="A96" s="15"/>
      <c r="B96" s="15"/>
      <c r="C96" s="15"/>
      <c r="D96" s="15"/>
      <c r="E96" s="15"/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t="14.25" customHeight="1">
      <c r="A97" s="15"/>
      <c r="B97" s="15"/>
      <c r="C97" s="15"/>
      <c r="D97" s="15"/>
      <c r="E97" s="15"/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t="14.25" customHeight="1">
      <c r="A98" s="15"/>
      <c r="B98" s="15"/>
      <c r="C98" s="15"/>
      <c r="D98" s="15"/>
      <c r="E98" s="15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t="14.25" customHeight="1">
      <c r="A99" s="15"/>
      <c r="B99" s="15"/>
      <c r="C99" s="15"/>
      <c r="D99" s="15"/>
      <c r="E99" s="15"/>
      <c r="F99" s="15"/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t="14.25" customHeight="1">
      <c r="A100" s="15"/>
      <c r="B100" s="15"/>
      <c r="C100" s="15"/>
      <c r="D100" s="15"/>
      <c r="E100" s="15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t="14.25" customHeight="1">
      <c r="A101" s="15"/>
      <c r="B101" s="15"/>
      <c r="C101" s="15"/>
      <c r="D101" s="15"/>
      <c r="E101" s="15"/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t="14.25" customHeight="1">
      <c r="A102" s="15"/>
      <c r="B102" s="15"/>
      <c r="C102" s="15"/>
      <c r="D102" s="15"/>
      <c r="E102" s="15"/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t="14.25" customHeight="1">
      <c r="A103" s="15"/>
      <c r="B103" s="15"/>
      <c r="C103" s="15"/>
      <c r="D103" s="15"/>
      <c r="E103" s="15"/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t="14.25" customHeight="1">
      <c r="A104" s="15"/>
      <c r="B104" s="15"/>
      <c r="C104" s="15"/>
      <c r="D104" s="15"/>
      <c r="E104" s="15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t="14.25" customHeight="1">
      <c r="A105" s="15"/>
      <c r="B105" s="15"/>
      <c r="C105" s="15"/>
      <c r="D105" s="15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t="14.25" customHeight="1">
      <c r="A106" s="15"/>
      <c r="B106" s="15"/>
      <c r="C106" s="15"/>
      <c r="D106" s="15"/>
      <c r="E106" s="15"/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t="14.25" customHeight="1">
      <c r="A107" s="15"/>
      <c r="B107" s="15"/>
      <c r="C107" s="15"/>
      <c r="D107" s="15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t="14.25" customHeight="1">
      <c r="A108" s="15"/>
      <c r="B108" s="15"/>
      <c r="C108" s="15"/>
      <c r="D108" s="15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t="14.25" customHeight="1">
      <c r="A109" s="15"/>
      <c r="B109" s="15"/>
      <c r="C109" s="15"/>
      <c r="D109" s="15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t="14.25" customHeight="1">
      <c r="A110" s="15"/>
      <c r="B110" s="15"/>
      <c r="C110" s="15"/>
      <c r="D110" s="15"/>
      <c r="E110" s="15"/>
      <c r="F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t="14.25" customHeight="1">
      <c r="A111" s="15"/>
      <c r="B111" s="15"/>
      <c r="C111" s="15"/>
      <c r="D111" s="15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t="14.25" customHeight="1">
      <c r="A112" s="15"/>
      <c r="B112" s="15"/>
      <c r="C112" s="15"/>
      <c r="D112" s="15"/>
      <c r="E112" s="15"/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t="14.25" customHeight="1">
      <c r="A113" s="15"/>
      <c r="B113" s="15"/>
      <c r="C113" s="15"/>
      <c r="D113" s="15"/>
      <c r="E113" s="15"/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t="14.25" customHeight="1">
      <c r="A114" s="15"/>
      <c r="B114" s="15"/>
      <c r="C114" s="15"/>
      <c r="D114" s="15"/>
      <c r="E114" s="15"/>
      <c r="F114" s="15"/>
      <c r="G114" s="15"/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t="14.25" customHeight="1">
      <c r="A115" s="15"/>
      <c r="B115" s="15"/>
      <c r="C115" s="15"/>
      <c r="D115" s="15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t="14.25" customHeight="1">
      <c r="A116" s="15"/>
      <c r="B116" s="15"/>
      <c r="C116" s="15"/>
      <c r="D116" s="15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t="14.25" customHeight="1">
      <c r="A117" s="15"/>
      <c r="B117" s="15"/>
      <c r="C117" s="15"/>
      <c r="D117" s="15"/>
      <c r="E117" s="15"/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t="14.25" customHeight="1">
      <c r="A118" s="15"/>
      <c r="B118" s="15"/>
      <c r="C118" s="15"/>
      <c r="D118" s="15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t="14.25" customHeight="1">
      <c r="A119" s="15"/>
      <c r="B119" s="15"/>
      <c r="C119" s="15"/>
      <c r="D119" s="15"/>
      <c r="E119" s="15"/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t="14.25" customHeight="1">
      <c r="A120" s="15"/>
      <c r="B120" s="15"/>
      <c r="C120" s="15"/>
      <c r="D120" s="15"/>
      <c r="E120" s="15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t="14.25" customHeight="1">
      <c r="A121" s="15"/>
      <c r="B121" s="15"/>
      <c r="C121" s="15"/>
      <c r="D121" s="15"/>
      <c r="E121" s="15"/>
      <c r="F121" s="15"/>
      <c r="G121" s="15"/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t="14.25" customHeight="1">
      <c r="A122" s="15"/>
      <c r="B122" s="15"/>
      <c r="C122" s="15"/>
      <c r="D122" s="15"/>
      <c r="E122" s="15"/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t="14.25" customHeight="1">
      <c r="A123" s="15"/>
      <c r="B123" s="15"/>
      <c r="C123" s="15"/>
      <c r="D123" s="15"/>
      <c r="E123" s="15"/>
      <c r="F123" s="15"/>
      <c r="G123" s="15"/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t="14.25" customHeight="1">
      <c r="A124" s="15"/>
      <c r="B124" s="15"/>
      <c r="C124" s="15"/>
      <c r="D124" s="15"/>
      <c r="E124" s="15"/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t="14.25" customHeight="1">
      <c r="A125" s="15"/>
      <c r="B125" s="15"/>
      <c r="C125" s="15"/>
      <c r="D125" s="15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t="14.25" customHeight="1">
      <c r="A126" s="15"/>
      <c r="B126" s="15"/>
      <c r="C126" s="15"/>
      <c r="D126" s="15"/>
      <c r="E126" s="15"/>
      <c r="F126" s="15"/>
      <c r="G126" s="15"/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t="14.25" customHeight="1">
      <c r="A127" s="15"/>
      <c r="B127" s="15"/>
      <c r="C127" s="15"/>
      <c r="D127" s="15"/>
      <c r="E127" s="15"/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t="14.25" customHeight="1">
      <c r="A128" s="15"/>
      <c r="B128" s="15"/>
      <c r="C128" s="15"/>
      <c r="D128" s="15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t="14.25" customHeight="1">
      <c r="A129" s="15"/>
      <c r="B129" s="15"/>
      <c r="C129" s="15"/>
      <c r="D129" s="15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t="14.25" customHeight="1">
      <c r="A130" s="15"/>
      <c r="B130" s="15"/>
      <c r="C130" s="15"/>
      <c r="D130" s="15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t="14.25" customHeight="1">
      <c r="A131" s="15"/>
      <c r="B131" s="15"/>
      <c r="C131" s="15"/>
      <c r="D131" s="15"/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t="14.25" customHeight="1">
      <c r="A132" s="15"/>
      <c r="B132" s="15"/>
      <c r="C132" s="15"/>
      <c r="D132" s="15"/>
      <c r="E132" s="15"/>
      <c r="F132" s="15"/>
      <c r="G132" s="15"/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t="14.25" customHeight="1">
      <c r="A133" s="15"/>
      <c r="B133" s="15"/>
      <c r="C133" s="15"/>
      <c r="D133" s="15"/>
      <c r="E133" s="15"/>
      <c r="F133" s="15"/>
      <c r="G133" s="15"/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t="14.25" customHeight="1">
      <c r="A134" s="15"/>
      <c r="B134" s="15"/>
      <c r="C134" s="15"/>
      <c r="D134" s="15"/>
      <c r="E134" s="15"/>
      <c r="F134" s="15"/>
      <c r="G134" s="15"/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t="14.25" customHeight="1">
      <c r="A135" s="15"/>
      <c r="B135" s="15"/>
      <c r="C135" s="15"/>
      <c r="D135" s="15"/>
      <c r="E135" s="15"/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t="14.25" customHeight="1">
      <c r="A136" s="15"/>
      <c r="B136" s="15"/>
      <c r="C136" s="15"/>
      <c r="D136" s="15"/>
      <c r="E136" s="15"/>
      <c r="F136" s="15"/>
      <c r="G136" s="15"/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t="14.25" customHeight="1">
      <c r="A137" s="15"/>
      <c r="B137" s="15"/>
      <c r="C137" s="15"/>
      <c r="D137" s="15"/>
      <c r="E137" s="15"/>
      <c r="F137" s="15"/>
      <c r="G137" s="15"/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t="14.25" customHeight="1">
      <c r="A138" s="15"/>
      <c r="B138" s="15"/>
      <c r="C138" s="15"/>
      <c r="D138" s="15"/>
      <c r="E138" s="15"/>
      <c r="F138" s="15"/>
      <c r="G138" s="15"/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t="14.25" customHeight="1">
      <c r="A139" s="15"/>
      <c r="B139" s="15"/>
      <c r="C139" s="15"/>
      <c r="D139" s="15"/>
      <c r="E139" s="15"/>
      <c r="F139" s="15"/>
      <c r="G139" s="15"/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t="14.25" customHeight="1">
      <c r="A140" s="15"/>
      <c r="B140" s="15"/>
      <c r="C140" s="15"/>
      <c r="D140" s="15"/>
      <c r="E140" s="15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t="14.25" customHeight="1">
      <c r="A141" s="15"/>
      <c r="B141" s="15"/>
      <c r="C141" s="15"/>
      <c r="D141" s="15"/>
      <c r="E141" s="15"/>
      <c r="F141" s="15"/>
      <c r="G141" s="15"/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t="14.25" customHeight="1">
      <c r="A142" s="15"/>
      <c r="B142" s="15"/>
      <c r="C142" s="15"/>
      <c r="D142" s="15"/>
      <c r="E142" s="15"/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t="14.25" customHeight="1">
      <c r="A143" s="15"/>
      <c r="B143" s="15"/>
      <c r="C143" s="15"/>
      <c r="D143" s="15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t="14.25" customHeight="1">
      <c r="A144" s="15"/>
      <c r="B144" s="15"/>
      <c r="C144" s="15"/>
      <c r="D144" s="15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t="14.25" customHeight="1">
      <c r="A145" s="15"/>
      <c r="B145" s="15"/>
      <c r="C145" s="15"/>
      <c r="D145" s="15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t="14.25" customHeight="1">
      <c r="A146" s="15"/>
      <c r="B146" s="15"/>
      <c r="C146" s="15"/>
      <c r="D146" s="15"/>
      <c r="E146" s="15"/>
      <c r="F146" s="15"/>
      <c r="G146" s="15"/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t="14.25" customHeight="1">
      <c r="A147" s="15"/>
      <c r="B147" s="15"/>
      <c r="C147" s="15"/>
      <c r="D147" s="15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t="14.25" customHeight="1">
      <c r="A148" s="15"/>
      <c r="B148" s="15"/>
      <c r="C148" s="15"/>
      <c r="D148" s="15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t="14.25" customHeight="1">
      <c r="A149" s="15"/>
      <c r="B149" s="15"/>
      <c r="C149" s="15"/>
      <c r="D149" s="15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t="14.25" customHeight="1">
      <c r="A150" s="15"/>
      <c r="B150" s="15"/>
      <c r="C150" s="15"/>
      <c r="D150" s="15"/>
      <c r="E150" s="15"/>
      <c r="F150" s="15"/>
      <c r="G150" s="15"/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t="14.25" customHeight="1">
      <c r="A151" s="15"/>
      <c r="B151" s="15"/>
      <c r="C151" s="15"/>
      <c r="D151" s="15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t="14.25" customHeight="1">
      <c r="A152" s="15"/>
      <c r="B152" s="15"/>
      <c r="C152" s="15"/>
      <c r="D152" s="15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t="14.25" customHeight="1">
      <c r="A153" s="15"/>
      <c r="B153" s="15"/>
      <c r="C153" s="15"/>
      <c r="D153" s="15"/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t="14.25" customHeight="1">
      <c r="A154" s="15"/>
      <c r="B154" s="15"/>
      <c r="C154" s="15"/>
      <c r="D154" s="15"/>
      <c r="E154" s="15"/>
      <c r="F154" s="15"/>
      <c r="G154" s="15"/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t="14.25" customHeight="1">
      <c r="A155" s="15"/>
      <c r="B155" s="15"/>
      <c r="C155" s="15"/>
      <c r="D155" s="15"/>
      <c r="E155" s="15"/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t="14.25" customHeight="1">
      <c r="A156" s="15"/>
      <c r="B156" s="15"/>
      <c r="C156" s="15"/>
      <c r="D156" s="15"/>
      <c r="E156" s="15"/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t="14.25" customHeight="1">
      <c r="A157" s="15"/>
      <c r="B157" s="15"/>
      <c r="C157" s="15"/>
      <c r="D157" s="15"/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t="14.25" customHeight="1">
      <c r="A158" s="15"/>
      <c r="B158" s="15"/>
      <c r="C158" s="15"/>
      <c r="D158" s="15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t="14.25" customHeight="1">
      <c r="A159" s="15"/>
      <c r="B159" s="15"/>
      <c r="C159" s="15"/>
      <c r="D159" s="15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t="14.25" customHeight="1">
      <c r="A160" s="15"/>
      <c r="B160" s="15"/>
      <c r="C160" s="15"/>
      <c r="D160" s="15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t="14.25" customHeight="1">
      <c r="A161" s="15"/>
      <c r="B161" s="15"/>
      <c r="C161" s="15"/>
      <c r="D161" s="15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t="14.25" customHeight="1">
      <c r="A162" s="15"/>
      <c r="B162" s="15"/>
      <c r="C162" s="15"/>
      <c r="D162" s="15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t="14.25" customHeight="1">
      <c r="A163" s="15"/>
      <c r="B163" s="15"/>
      <c r="C163" s="15"/>
      <c r="D163" s="15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t="14.25" customHeight="1">
      <c r="A164" s="15"/>
      <c r="B164" s="15"/>
      <c r="C164" s="15"/>
      <c r="D164" s="15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t="14.25" customHeight="1">
      <c r="A165" s="15"/>
      <c r="B165" s="15"/>
      <c r="C165" s="15"/>
      <c r="D165" s="15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t="14.25" customHeight="1">
      <c r="A166" s="15"/>
      <c r="B166" s="15"/>
      <c r="C166" s="15"/>
      <c r="D166" s="15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t="14.25" customHeight="1">
      <c r="A167" s="15"/>
      <c r="B167" s="15"/>
      <c r="C167" s="15"/>
      <c r="D167" s="15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t="14.25" customHeight="1">
      <c r="A168" s="15"/>
      <c r="B168" s="15"/>
      <c r="C168" s="15"/>
      <c r="D168" s="15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t="14.25" customHeight="1">
      <c r="A169" s="15"/>
      <c r="B169" s="15"/>
      <c r="C169" s="15"/>
      <c r="D169" s="15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t="14.25" customHeight="1">
      <c r="A170" s="15"/>
      <c r="B170" s="15"/>
      <c r="C170" s="15"/>
      <c r="D170" s="15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t="14.25" customHeight="1">
      <c r="A171" s="15"/>
      <c r="B171" s="15"/>
      <c r="C171" s="15"/>
      <c r="D171" s="15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t="14.25" customHeight="1">
      <c r="A172" s="15"/>
      <c r="B172" s="15"/>
      <c r="C172" s="15"/>
      <c r="D172" s="15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t="14.25" customHeight="1">
      <c r="A173" s="15"/>
      <c r="B173" s="15"/>
      <c r="C173" s="15"/>
      <c r="D173" s="15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t="14.25" customHeight="1">
      <c r="A174" s="15"/>
      <c r="B174" s="15"/>
      <c r="C174" s="15"/>
      <c r="D174" s="15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t="14.25" customHeight="1">
      <c r="A175" s="15"/>
      <c r="B175" s="15"/>
      <c r="C175" s="15"/>
      <c r="D175" s="15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t="14.25" customHeight="1">
      <c r="A176" s="15"/>
      <c r="B176" s="15"/>
      <c r="C176" s="15"/>
      <c r="D176" s="15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t="14.25" customHeight="1">
      <c r="A177" s="15"/>
      <c r="B177" s="15"/>
      <c r="C177" s="15"/>
      <c r="D177" s="15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t="14.25" customHeight="1">
      <c r="A178" s="15"/>
      <c r="B178" s="15"/>
      <c r="C178" s="15"/>
      <c r="D178" s="15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t="14.25" customHeight="1">
      <c r="A179" s="15"/>
      <c r="B179" s="15"/>
      <c r="C179" s="15"/>
      <c r="D179" s="15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t="14.25" customHeight="1">
      <c r="A180" s="15"/>
      <c r="B180" s="15"/>
      <c r="C180" s="15"/>
      <c r="D180" s="15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t="14.25" customHeight="1">
      <c r="A181" s="15"/>
      <c r="B181" s="15"/>
      <c r="C181" s="15"/>
      <c r="D181" s="15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t="14.25" customHeight="1">
      <c r="A182" s="15"/>
      <c r="B182" s="15"/>
      <c r="C182" s="15"/>
      <c r="D182" s="15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t="14.25" customHeight="1">
      <c r="A183" s="15"/>
      <c r="B183" s="15"/>
      <c r="C183" s="15"/>
      <c r="D183" s="15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t="14.25" customHeight="1">
      <c r="A184" s="15"/>
      <c r="B184" s="15"/>
      <c r="C184" s="15"/>
      <c r="D184" s="15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t="14.25" customHeight="1">
      <c r="A185" s="15"/>
      <c r="B185" s="15"/>
      <c r="C185" s="15"/>
      <c r="D185" s="15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t="14.25" customHeight="1">
      <c r="A186" s="15"/>
      <c r="B186" s="15"/>
      <c r="C186" s="15"/>
      <c r="D186" s="15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t="14.25" customHeight="1">
      <c r="A187" s="15"/>
      <c r="B187" s="15"/>
      <c r="C187" s="15"/>
      <c r="D187" s="15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t="14.25" customHeight="1">
      <c r="A188" s="15"/>
      <c r="B188" s="15"/>
      <c r="C188" s="15"/>
      <c r="D188" s="15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t="14.25" customHeight="1">
      <c r="A189" s="15"/>
      <c r="B189" s="15"/>
      <c r="C189" s="15"/>
      <c r="D189" s="15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t="14.25" customHeight="1">
      <c r="A190" s="15"/>
      <c r="B190" s="15"/>
      <c r="C190" s="15"/>
      <c r="D190" s="15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t="14.25" customHeight="1">
      <c r="A191" s="15"/>
      <c r="B191" s="15"/>
      <c r="C191" s="15"/>
      <c r="D191" s="15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t="14.25" customHeight="1">
      <c r="A192" s="15"/>
      <c r="B192" s="15"/>
      <c r="C192" s="15"/>
      <c r="D192" s="15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t="14.25" customHeight="1">
      <c r="A193" s="15"/>
      <c r="B193" s="15"/>
      <c r="C193" s="15"/>
      <c r="D193" s="15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t="14.25" customHeight="1">
      <c r="A194" s="15"/>
      <c r="B194" s="15"/>
      <c r="C194" s="15"/>
      <c r="D194" s="15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t="14.25" customHeight="1">
      <c r="A195" s="15"/>
      <c r="B195" s="15"/>
      <c r="C195" s="15"/>
      <c r="D195" s="15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t="14.25" customHeight="1">
      <c r="A196" s="15"/>
      <c r="B196" s="15"/>
      <c r="C196" s="15"/>
      <c r="D196" s="15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t="14.25" customHeight="1">
      <c r="A197" s="15"/>
      <c r="B197" s="15"/>
      <c r="C197" s="15"/>
      <c r="D197" s="15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t="14.25" customHeight="1">
      <c r="A198" s="15"/>
      <c r="B198" s="15"/>
      <c r="C198" s="15"/>
      <c r="D198" s="15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t="14.25" customHeight="1">
      <c r="A199" s="15"/>
      <c r="B199" s="15"/>
      <c r="C199" s="15"/>
      <c r="D199" s="15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t="14.25" customHeight="1">
      <c r="A200" s="15"/>
      <c r="B200" s="15"/>
      <c r="C200" s="15"/>
      <c r="D200" s="15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t="14.25" customHeight="1">
      <c r="A201" s="15"/>
      <c r="B201" s="15"/>
      <c r="C201" s="15"/>
      <c r="D201" s="15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t="14.25" customHeight="1">
      <c r="A202" s="15"/>
      <c r="B202" s="15"/>
      <c r="C202" s="15"/>
      <c r="D202" s="15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t="14.25" customHeight="1">
      <c r="A203" s="15"/>
      <c r="B203" s="15"/>
      <c r="C203" s="15"/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t="14.25" customHeight="1">
      <c r="A204" s="15"/>
      <c r="B204" s="15"/>
      <c r="C204" s="15"/>
      <c r="D204" s="15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t="14.25" customHeight="1">
      <c r="A205" s="15"/>
      <c r="B205" s="15"/>
      <c r="C205" s="15"/>
      <c r="D205" s="15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t="14.25" customHeight="1">
      <c r="A206" s="15"/>
      <c r="B206" s="15"/>
      <c r="C206" s="15"/>
      <c r="D206" s="15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t="14.25" customHeight="1">
      <c r="A207" s="15"/>
      <c r="B207" s="15"/>
      <c r="C207" s="15"/>
      <c r="D207" s="15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t="14.25" customHeight="1">
      <c r="A208" s="15"/>
      <c r="B208" s="15"/>
      <c r="C208" s="15"/>
      <c r="D208" s="15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t="14.25" customHeight="1">
      <c r="A209" s="15"/>
      <c r="B209" s="15"/>
      <c r="C209" s="15"/>
      <c r="D209" s="15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t="14.25" customHeight="1">
      <c r="A210" s="15"/>
      <c r="B210" s="15"/>
      <c r="C210" s="15"/>
      <c r="D210" s="15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t="14.25" customHeight="1">
      <c r="A211" s="15"/>
      <c r="B211" s="15"/>
      <c r="C211" s="15"/>
      <c r="D211" s="15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t="14.25" customHeight="1">
      <c r="A212" s="15"/>
      <c r="B212" s="15"/>
      <c r="C212" s="15"/>
      <c r="D212" s="15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t="14.25" customHeight="1">
      <c r="A213" s="15"/>
      <c r="B213" s="15"/>
      <c r="C213" s="15"/>
      <c r="D213" s="15"/>
      <c r="E213" s="15"/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t="14.25" customHeight="1">
      <c r="A214" s="15"/>
      <c r="B214" s="15"/>
      <c r="C214" s="15"/>
      <c r="D214" s="15"/>
      <c r="E214" s="15"/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t="14.25" customHeight="1">
      <c r="A215" s="15"/>
      <c r="B215" s="15"/>
      <c r="C215" s="15"/>
      <c r="D215" s="15"/>
      <c r="E215" s="15"/>
      <c r="F215" s="15"/>
      <c r="G215" s="15"/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t="14.25" customHeight="1">
      <c r="A216" s="15"/>
      <c r="B216" s="15"/>
      <c r="C216" s="15"/>
      <c r="D216" s="15"/>
      <c r="E216" s="15"/>
      <c r="F216" s="15"/>
      <c r="G216" s="15"/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t="14.25" customHeight="1">
      <c r="A217" s="15"/>
      <c r="B217" s="15"/>
      <c r="C217" s="15"/>
      <c r="D217" s="15"/>
      <c r="E217" s="15"/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t="14.25" customHeight="1">
      <c r="A218" s="15"/>
      <c r="B218" s="15"/>
      <c r="C218" s="15"/>
      <c r="D218" s="15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t="14.25" customHeight="1">
      <c r="A219" s="15"/>
      <c r="B219" s="15"/>
      <c r="C219" s="15"/>
      <c r="D219" s="15"/>
      <c r="E219" s="15"/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t="14.25" customHeight="1">
      <c r="A220" s="15"/>
      <c r="B220" s="15"/>
      <c r="C220" s="15"/>
      <c r="D220" s="15"/>
      <c r="E220" s="15"/>
      <c r="F220" s="15"/>
      <c r="G220" s="15"/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t="14.25" customHeight="1">
      <c r="A221" s="15"/>
      <c r="B221" s="15"/>
      <c r="C221" s="15"/>
      <c r="D221" s="15"/>
      <c r="E221" s="15"/>
      <c r="F221" s="15"/>
      <c r="G221" s="15"/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t="14.25" customHeight="1">
      <c r="A222" s="15"/>
      <c r="B222" s="15"/>
      <c r="C222" s="15"/>
      <c r="D222" s="15"/>
      <c r="E222" s="15"/>
      <c r="F222" s="15"/>
      <c r="G222" s="15"/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t="14.25" customHeight="1">
      <c r="A223" s="15"/>
      <c r="B223" s="15"/>
      <c r="C223" s="15"/>
      <c r="D223" s="15"/>
      <c r="E223" s="15"/>
      <c r="F223" s="15"/>
      <c r="G223" s="15"/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t="14.25" customHeight="1">
      <c r="A224" s="15"/>
      <c r="B224" s="15"/>
      <c r="C224" s="15"/>
      <c r="D224" s="15"/>
      <c r="E224" s="15"/>
      <c r="F224" s="15"/>
      <c r="G224" s="15"/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t="14.25" customHeight="1">
      <c r="A225" s="15"/>
      <c r="B225" s="15"/>
      <c r="C225" s="15"/>
      <c r="D225" s="15"/>
      <c r="E225" s="15"/>
      <c r="F225" s="15"/>
      <c r="G225" s="15"/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t="14.25" customHeight="1">
      <c r="A226" s="15"/>
      <c r="B226" s="15"/>
      <c r="C226" s="15"/>
      <c r="D226" s="15"/>
      <c r="E226" s="15"/>
      <c r="F226" s="15"/>
      <c r="G226" s="15"/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t="14.25" customHeight="1">
      <c r="A227" s="15"/>
      <c r="B227" s="15"/>
      <c r="C227" s="15"/>
      <c r="D227" s="15"/>
      <c r="E227" s="15"/>
      <c r="F227" s="15"/>
      <c r="G227" s="15"/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t="14.25" customHeight="1">
      <c r="A228" s="15"/>
      <c r="B228" s="15"/>
      <c r="C228" s="15"/>
      <c r="D228" s="15"/>
      <c r="E228" s="15"/>
      <c r="F228" s="15"/>
      <c r="G228" s="15"/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t="14.25" customHeight="1">
      <c r="A229" s="15"/>
      <c r="B229" s="15"/>
      <c r="C229" s="15"/>
      <c r="D229" s="15"/>
      <c r="E229" s="15"/>
      <c r="F229" s="15"/>
      <c r="G229" s="15"/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t="14.25" customHeight="1">
      <c r="A230" s="15"/>
      <c r="B230" s="15"/>
      <c r="C230" s="15"/>
      <c r="D230" s="15"/>
      <c r="E230" s="15"/>
      <c r="F230" s="15"/>
      <c r="G230" s="15"/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t="14.25" customHeight="1">
      <c r="A231" s="15"/>
      <c r="B231" s="15"/>
      <c r="C231" s="15"/>
      <c r="D231" s="15"/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t="14.25" customHeight="1">
      <c r="A232" s="15"/>
      <c r="B232" s="15"/>
      <c r="C232" s="15"/>
      <c r="D232" s="15"/>
      <c r="E232" s="15"/>
      <c r="F232" s="15"/>
      <c r="G232" s="15"/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t="14.25" customHeight="1">
      <c r="A233" s="15"/>
      <c r="B233" s="15"/>
      <c r="C233" s="15"/>
      <c r="D233" s="15"/>
      <c r="E233" s="15"/>
      <c r="F233" s="15"/>
      <c r="G233" s="15"/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t="14.25" customHeight="1">
      <c r="A234" s="15"/>
      <c r="B234" s="15"/>
      <c r="C234" s="15"/>
      <c r="D234" s="15"/>
      <c r="E234" s="15"/>
      <c r="F234" s="15"/>
      <c r="G234" s="15"/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t="14.25" customHeight="1">
      <c r="A235" s="15"/>
      <c r="B235" s="15"/>
      <c r="C235" s="15"/>
      <c r="D235" s="15"/>
      <c r="E235" s="15"/>
      <c r="F235" s="15"/>
      <c r="G235" s="15"/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t="14.25" customHeight="1">
      <c r="A236" s="15"/>
      <c r="B236" s="15"/>
      <c r="C236" s="15"/>
      <c r="D236" s="15"/>
      <c r="E236" s="15"/>
      <c r="F236" s="15"/>
      <c r="G236" s="15"/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t="14.25" customHeight="1">
      <c r="A237" s="15"/>
      <c r="B237" s="15"/>
      <c r="C237" s="15"/>
      <c r="D237" s="15"/>
      <c r="E237" s="15"/>
      <c r="F237" s="15"/>
      <c r="G237" s="15"/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t="14.25" customHeight="1">
      <c r="A238" s="15"/>
      <c r="B238" s="15"/>
      <c r="C238" s="15"/>
      <c r="D238" s="15"/>
      <c r="E238" s="15"/>
      <c r="F238" s="15"/>
      <c r="G238" s="15"/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t="14.25" customHeight="1">
      <c r="A239" s="15"/>
      <c r="B239" s="15"/>
      <c r="C239" s="15"/>
      <c r="D239" s="15"/>
      <c r="E239" s="15"/>
      <c r="F239" s="15"/>
      <c r="G239" s="15"/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t="14.25" customHeight="1">
      <c r="A240" s="15"/>
      <c r="B240" s="15"/>
      <c r="C240" s="15"/>
      <c r="D240" s="15"/>
      <c r="E240" s="15"/>
      <c r="F240" s="15"/>
      <c r="G240" s="15"/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t="14.25" customHeight="1">
      <c r="A241" s="15"/>
      <c r="B241" s="15"/>
      <c r="C241" s="15"/>
      <c r="D241" s="15"/>
      <c r="E241" s="15"/>
      <c r="F241" s="15"/>
      <c r="G241" s="15"/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t="14.25" customHeight="1">
      <c r="A242" s="15"/>
      <c r="B242" s="15"/>
      <c r="C242" s="15"/>
      <c r="D242" s="15"/>
      <c r="E242" s="15"/>
      <c r="F242" s="15"/>
      <c r="G242" s="15"/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t="14.25" customHeight="1">
      <c r="A243" s="15"/>
      <c r="B243" s="15"/>
      <c r="C243" s="15"/>
      <c r="D243" s="15"/>
      <c r="E243" s="15"/>
      <c r="F243" s="15"/>
      <c r="G243" s="15"/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t="14.25" customHeight="1">
      <c r="A244" s="15"/>
      <c r="B244" s="15"/>
      <c r="C244" s="15"/>
      <c r="D244" s="15"/>
      <c r="E244" s="15"/>
      <c r="F244" s="15"/>
      <c r="G244" s="15"/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t="14.25" customHeight="1">
      <c r="A245" s="15"/>
      <c r="B245" s="15"/>
      <c r="C245" s="15"/>
      <c r="D245" s="15"/>
      <c r="E245" s="15"/>
      <c r="F245" s="15"/>
      <c r="G245" s="15"/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t="14.25" customHeight="1">
      <c r="A246" s="15"/>
      <c r="B246" s="15"/>
      <c r="C246" s="15"/>
      <c r="D246" s="15"/>
      <c r="E246" s="15"/>
      <c r="F246" s="15"/>
      <c r="G246" s="15"/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t="14.25" customHeight="1">
      <c r="A247" s="15"/>
      <c r="B247" s="15"/>
      <c r="C247" s="15"/>
      <c r="D247" s="15"/>
      <c r="E247" s="15"/>
      <c r="F247" s="15"/>
      <c r="G247" s="15"/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t="14.25" customHeight="1">
      <c r="A248" s="15"/>
      <c r="B248" s="15"/>
      <c r="C248" s="15"/>
      <c r="D248" s="15"/>
      <c r="E248" s="15"/>
      <c r="F248" s="15"/>
      <c r="G248" s="15"/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t="14.25" customHeight="1">
      <c r="A249" s="15"/>
      <c r="B249" s="15"/>
      <c r="C249" s="15"/>
      <c r="D249" s="15"/>
      <c r="E249" s="15"/>
      <c r="F249" s="15"/>
      <c r="G249" s="15"/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t="14.25" customHeight="1">
      <c r="A250" s="15"/>
      <c r="B250" s="15"/>
      <c r="C250" s="15"/>
      <c r="D250" s="15"/>
      <c r="E250" s="15"/>
      <c r="F250" s="15"/>
      <c r="G250" s="15"/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t="14.25" customHeight="1">
      <c r="A251" s="15"/>
      <c r="B251" s="15"/>
      <c r="C251" s="15"/>
      <c r="D251" s="15"/>
      <c r="E251" s="15"/>
      <c r="F251" s="15"/>
      <c r="G251" s="15"/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t="14.25" customHeight="1">
      <c r="A252" s="15"/>
      <c r="B252" s="15"/>
      <c r="C252" s="15"/>
      <c r="D252" s="15"/>
      <c r="E252" s="15"/>
      <c r="F252" s="15"/>
      <c r="G252" s="15"/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t="14.25" customHeight="1">
      <c r="A253" s="15"/>
      <c r="B253" s="15"/>
      <c r="C253" s="15"/>
      <c r="D253" s="15"/>
      <c r="E253" s="15"/>
      <c r="F253" s="15"/>
      <c r="G253" s="15"/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t="14.25" customHeight="1">
      <c r="A254" s="15"/>
      <c r="B254" s="15"/>
      <c r="C254" s="15"/>
      <c r="D254" s="15"/>
      <c r="E254" s="15"/>
      <c r="F254" s="15"/>
      <c r="G254" s="15"/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t="14.25" customHeight="1">
      <c r="A255" s="15"/>
      <c r="B255" s="15"/>
      <c r="C255" s="15"/>
      <c r="D255" s="15"/>
      <c r="E255" s="15"/>
      <c r="F255" s="15"/>
      <c r="G255" s="15"/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t="14.25" customHeight="1">
      <c r="A256" s="15"/>
      <c r="B256" s="15"/>
      <c r="C256" s="15"/>
      <c r="D256" s="15"/>
      <c r="E256" s="15"/>
      <c r="F256" s="15"/>
      <c r="G256" s="15"/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t="14.25" customHeight="1">
      <c r="A257" s="15"/>
      <c r="B257" s="15"/>
      <c r="C257" s="15"/>
      <c r="D257" s="15"/>
      <c r="E257" s="15"/>
      <c r="F257" s="15"/>
      <c r="G257" s="15"/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t="14.25" customHeight="1">
      <c r="A258" s="15"/>
      <c r="B258" s="15"/>
      <c r="C258" s="15"/>
      <c r="D258" s="15"/>
      <c r="E258" s="15"/>
      <c r="F258" s="15"/>
      <c r="G258" s="15"/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t="14.25" customHeight="1">
      <c r="A259" s="15"/>
      <c r="B259" s="15"/>
      <c r="C259" s="15"/>
      <c r="D259" s="15"/>
      <c r="E259" s="15"/>
      <c r="F259" s="15"/>
      <c r="G259" s="15"/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t="14.25" customHeight="1">
      <c r="A260" s="15"/>
      <c r="B260" s="15"/>
      <c r="C260" s="15"/>
      <c r="D260" s="15"/>
      <c r="E260" s="15"/>
      <c r="F260" s="15"/>
      <c r="G260" s="15"/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t="14.25" customHeight="1">
      <c r="A261" s="15"/>
      <c r="B261" s="15"/>
      <c r="C261" s="15"/>
      <c r="D261" s="15"/>
      <c r="E261" s="15"/>
      <c r="F261" s="15"/>
      <c r="G261" s="15"/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t="14.25" customHeight="1">
      <c r="A262" s="15"/>
      <c r="B262" s="15"/>
      <c r="C262" s="15"/>
      <c r="D262" s="15"/>
      <c r="E262" s="15"/>
      <c r="F262" s="15"/>
      <c r="G262" s="15"/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t="14.25" customHeight="1">
      <c r="A263" s="15"/>
      <c r="B263" s="15"/>
      <c r="C263" s="15"/>
      <c r="D263" s="15"/>
      <c r="E263" s="15"/>
      <c r="F263" s="15"/>
      <c r="G263" s="15"/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t="14.25" customHeight="1">
      <c r="A264" s="15"/>
      <c r="B264" s="15"/>
      <c r="C264" s="15"/>
      <c r="D264" s="15"/>
      <c r="E264" s="15"/>
      <c r="F264" s="15"/>
      <c r="G264" s="15"/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t="14.25" customHeight="1">
      <c r="A265" s="15"/>
      <c r="B265" s="15"/>
      <c r="C265" s="15"/>
      <c r="D265" s="15"/>
      <c r="E265" s="15"/>
      <c r="F265" s="15"/>
      <c r="G265" s="15"/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1">
    <mergeCell ref="G13:H15"/>
    <mergeCell ref="G16:H20"/>
    <mergeCell ref="G24:H26"/>
    <mergeCell ref="G27:H31"/>
    <mergeCell ref="A1:F1"/>
    <mergeCell ref="A7:A8"/>
    <mergeCell ref="B7:C7"/>
    <mergeCell ref="D7:E7"/>
    <mergeCell ref="F7:F8"/>
    <mergeCell ref="A13:A15"/>
    <mergeCell ref="A16:A20"/>
    <mergeCell ref="A24:A26"/>
    <mergeCell ref="A27:A31"/>
    <mergeCell ref="C41:D41"/>
    <mergeCell ref="E41:F41"/>
    <mergeCell ref="C42:D42"/>
    <mergeCell ref="E42:F42"/>
    <mergeCell ref="A35:A39"/>
    <mergeCell ref="C45:D45"/>
    <mergeCell ref="E45:F45"/>
    <mergeCell ref="C46:D46"/>
    <mergeCell ref="E46:F46"/>
    <mergeCell ref="H46:I48"/>
    <mergeCell ref="C47:D47"/>
    <mergeCell ref="E47:F47"/>
    <mergeCell ref="C54:D54"/>
    <mergeCell ref="C55:D55"/>
    <mergeCell ref="C56:D56"/>
    <mergeCell ref="C57:D57"/>
    <mergeCell ref="C58:D58"/>
    <mergeCell ref="E55:F55"/>
    <mergeCell ref="E56:F56"/>
    <mergeCell ref="E57:F57"/>
    <mergeCell ref="E58:F58"/>
    <mergeCell ref="C48:D48"/>
    <mergeCell ref="E48:F48"/>
    <mergeCell ref="E54:F54"/>
    <mergeCell ref="C50:D50"/>
    <mergeCell ref="E50:F50"/>
    <mergeCell ref="C51:D51"/>
    <mergeCell ref="E51:F51"/>
  </mergeCells>
  <conditionalFormatting sqref="G9">
    <cfRule type="notContainsBlanks" dxfId="0" priority="1">
      <formula>LEN(TRIM(G9))&gt;0</formula>
    </cfRule>
  </conditionalFormatting>
  <conditionalFormatting sqref="G13">
    <cfRule type="notContainsBlanks" dxfId="1" priority="2">
      <formula>LEN(TRIM(G13))&gt;0</formula>
    </cfRule>
  </conditionalFormatting>
  <conditionalFormatting sqref="G16">
    <cfRule type="notContainsBlanks" dxfId="1" priority="3">
      <formula>LEN(TRIM(G16))&gt;0</formula>
    </cfRule>
  </conditionalFormatting>
  <conditionalFormatting sqref="G24">
    <cfRule type="notContainsBlanks" dxfId="1" priority="4">
      <formula>LEN(TRIM(G24))&gt;0</formula>
    </cfRule>
  </conditionalFormatting>
  <conditionalFormatting sqref="G27">
    <cfRule type="notContainsBlanks" dxfId="1" priority="5">
      <formula>LEN(TRIM(G27))&gt;0</formula>
    </cfRule>
  </conditionalFormatting>
  <conditionalFormatting sqref="H46">
    <cfRule type="notContainsBlanks" dxfId="1" priority="6">
      <formula>LEN(TRIM(H46))&gt;0</formula>
    </cfRule>
  </conditionalFormatting>
  <conditionalFormatting sqref="I13:I20">
    <cfRule type="notContainsBlanks" dxfId="0" priority="7">
      <formula>LEN(TRIM(I13))&gt;0</formula>
    </cfRule>
  </conditionalFormatting>
  <conditionalFormatting sqref="I24:I31">
    <cfRule type="notContainsBlanks" dxfId="0" priority="8">
      <formula>LEN(TRIM(I24))&gt;0</formula>
    </cfRule>
  </conditionalFormatting>
  <conditionalFormatting sqref="J46:J48">
    <cfRule type="notContainsBlanks" dxfId="0" priority="9">
      <formula>LEN(TRIM(J46))&gt;0</formula>
    </cfRule>
  </conditionalFormatting>
  <printOptions/>
  <pageMargins bottom="0.75" footer="0.0" header="0.0" left="0.7" right="0.7" top="0.75"/>
  <pageSetup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13.78"/>
    <col customWidth="1" min="2" max="2" width="25.0"/>
    <col customWidth="1" min="3" max="3" width="8.0"/>
    <col customWidth="1" min="4" max="4" width="11.33"/>
    <col customWidth="1" min="5" max="5" width="9.33"/>
    <col customWidth="1" min="6" max="6" width="6.0"/>
    <col customWidth="1" min="7" max="7" width="9.44"/>
    <col customWidth="1" min="8" max="8" width="20.33"/>
    <col customWidth="1" min="9" max="9" width="20.44"/>
    <col customWidth="1" min="10" max="10" width="11.0"/>
    <col customWidth="1" min="11" max="12" width="10.78"/>
    <col customWidth="1" min="13" max="26" width="11.0"/>
  </cols>
  <sheetData>
    <row r="1" ht="14.25" customHeight="1">
      <c r="A1" s="14" t="s">
        <v>38</v>
      </c>
      <c r="G1" s="15"/>
      <c r="H1" s="15"/>
      <c r="I1" s="16" t="s">
        <v>39</v>
      </c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14.25" customHeight="1">
      <c r="A2" s="15"/>
      <c r="B2" s="15"/>
      <c r="C2" s="15"/>
      <c r="D2" s="15"/>
      <c r="E2" s="15"/>
      <c r="F2" s="15"/>
      <c r="G2" s="15"/>
      <c r="H2" s="17" t="s">
        <v>40</v>
      </c>
      <c r="I2" s="18" t="str">
        <f>DATE(F3, 6, 1)</f>
        <v>#VALUE!</v>
      </c>
      <c r="J2" s="15"/>
      <c r="K2" s="19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t="14.25" customHeight="1">
      <c r="A3" s="15" t="s">
        <v>41</v>
      </c>
      <c r="B3" s="15"/>
      <c r="C3" s="20" t="s">
        <v>104</v>
      </c>
      <c r="D3" s="15"/>
      <c r="E3" s="15" t="s">
        <v>43</v>
      </c>
      <c r="F3" s="20" t="str">
        <f>YEAR(Results!E3)</f>
        <v>#VALUE!</v>
      </c>
      <c r="G3" s="15"/>
      <c r="H3" s="17" t="s">
        <v>44</v>
      </c>
      <c r="I3" s="18" t="str">
        <f>EOMONTH(I2,0)</f>
        <v>#VALUE!</v>
      </c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t="14.25" customHeight="1">
      <c r="A4" s="15" t="s">
        <v>45</v>
      </c>
      <c r="B4" s="15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t="14.25" customHeight="1">
      <c r="A5" s="15"/>
      <c r="B5" s="15"/>
      <c r="C5" s="15"/>
      <c r="D5" s="15"/>
      <c r="E5" s="15"/>
      <c r="F5" s="15"/>
      <c r="G5" s="15"/>
      <c r="H5" s="15"/>
      <c r="I5" s="15"/>
      <c r="J5" s="15"/>
      <c r="K5" s="15"/>
      <c r="L5" s="15"/>
      <c r="M5" s="15"/>
      <c r="N5" s="15"/>
      <c r="O5" s="21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t="14.25" customHeight="1">
      <c r="A6" s="15" t="s">
        <v>46</v>
      </c>
      <c r="B6" s="15"/>
      <c r="C6" s="15"/>
      <c r="D6" s="15"/>
      <c r="E6" s="15"/>
      <c r="F6" s="15"/>
      <c r="G6" s="15"/>
      <c r="H6" s="15"/>
      <c r="I6" s="20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t="14.25" customHeight="1">
      <c r="A7" s="22"/>
      <c r="B7" s="23" t="s">
        <v>47</v>
      </c>
      <c r="C7" s="24"/>
      <c r="D7" s="23" t="s">
        <v>48</v>
      </c>
      <c r="E7" s="24"/>
      <c r="F7" s="25" t="s">
        <v>49</v>
      </c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t="14.25" customHeight="1">
      <c r="A8" s="26"/>
      <c r="B8" s="27" t="s">
        <v>50</v>
      </c>
      <c r="C8" s="27" t="s">
        <v>51</v>
      </c>
      <c r="D8" s="27" t="s">
        <v>50</v>
      </c>
      <c r="E8" s="27" t="s">
        <v>51</v>
      </c>
      <c r="F8" s="26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t="14.25" customHeight="1">
      <c r="A9" s="28"/>
      <c r="B9" s="28">
        <f>COUNTIFS(Results!$E:$E,"&gt;="&amp;$I$2,Results!$E:$E,"&lt;="&amp;$I$3,Results!$I:$I,"Male",Results!$J:$J,"&lt;15", Results!$F:$F,"*tive")</f>
        <v>0</v>
      </c>
      <c r="C9" s="28">
        <f>COUNTIFS(Results!$E:$E,"&gt;="&amp;$I$2,Results!$E:$E,"&lt;="&amp;$I$3,Results!$I:$I,"Male",Results!$J:$J,"&gt;=15", Results!$F:$F,"*tive")</f>
        <v>0</v>
      </c>
      <c r="D9" s="28">
        <f>COUNTIFS(Results!$E:$E,"&gt;="&amp;$I$2,Results!$E:$E,"&lt;="&amp;$I$3,Results!$I:$I,"Female",Results!$J:$J,"&lt;15", Results!$F:$F,"*tive")</f>
        <v>0</v>
      </c>
      <c r="E9" s="28">
        <f>COUNTIFS(Results!$E:$E,"&gt;="&amp;$I$2,Results!$E:$E,"&lt;="&amp;$I$3,Results!$I:$I,"Female",Results!$J:$J,"&gt;=15", Results!$F:$F,"*tive")</f>
        <v>0</v>
      </c>
      <c r="F9" s="28">
        <f>COUNTIFS(Results!$E:$E,"&gt;="&amp;$I$2,Results!$E:$E,"&lt;="&amp;$I$3, Results!$F:$F,"*tive", Results!$J:$J,"&lt;&gt;Not on Form", Results!$J:$J,"&lt;&gt;N/A", Results!$I:$I,"&lt;&gt;Not on Form", Results!$I:$I,"&lt;&gt;N/A")</f>
        <v>0</v>
      </c>
      <c r="G9" s="15" t="str">
        <f>IF(SUM(B9:E9)=F9,"","Check Total Value &amp; Category")</f>
        <v/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t="14.25" customHeight="1">
      <c r="A10" s="15"/>
      <c r="B10" s="15"/>
      <c r="C10" s="15"/>
      <c r="D10" s="15"/>
      <c r="E10" s="15"/>
      <c r="F10" s="15"/>
      <c r="G10" s="15"/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t="14.25" customHeight="1">
      <c r="A11" s="15" t="s">
        <v>52</v>
      </c>
      <c r="B11" s="15"/>
      <c r="C11" s="15"/>
      <c r="D11" s="15"/>
      <c r="E11" s="15"/>
      <c r="F11" s="15"/>
      <c r="G11" s="15"/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t="14.25" customHeight="1">
      <c r="A12" s="28"/>
      <c r="B12" s="28"/>
      <c r="C12" s="29" t="s">
        <v>53</v>
      </c>
      <c r="D12" s="29" t="s">
        <v>54</v>
      </c>
      <c r="E12" s="29" t="s">
        <v>55</v>
      </c>
      <c r="F12" s="29" t="s">
        <v>49</v>
      </c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t="15.75" customHeight="1">
      <c r="A13" s="30" t="s">
        <v>56</v>
      </c>
      <c r="B13" s="28" t="s">
        <v>57</v>
      </c>
      <c r="C13" s="28">
        <f>COUNTIFS(Results!$E:$E,"&gt;="&amp;$I$2,Results!$E:$E,"&lt;="&amp;$I$3,Results!$L:$L,"Positive",Results!$K:$K,"No", Results!$F:$F,"*tive") + COUNTIFS(Results!$E:$E,"&gt;="&amp;$I$2,Results!$E:$E,"&lt;="&amp;$I$3,Results!$L:$L,"Positive",Results!$K:$K,"On Treatment", Results!$F:$F,"*tive")</f>
        <v>0</v>
      </c>
      <c r="D13" s="28">
        <f>COUNTIFS(Results!$E:$E,"&gt;="&amp;$I$2,Results!$E:$E,"&lt;="&amp;$I$3,Results!$L:$L,"Positive",Results!$K:$K,"Yes", Results!$F:$F,"*tive")</f>
        <v>0</v>
      </c>
      <c r="E13" s="28">
        <f>COUNTIFS(Results!$E:$E,"&gt;="&amp;$I$2,Results!$E:$E,"&lt;="&amp;$I$3,Results!$L:$L,"Positive",Results!$K:$K,"Unknown", Results!$F:$F,"*tive")</f>
        <v>0</v>
      </c>
      <c r="F13" s="28">
        <f>COUNTIFS(Results!$E:$E,"&gt;="&amp;$I$2,Results!$E:$E,"&lt;="&amp;$I$3,Results!$L:$L,"Positive", Results!$F:$F,"*tive", Results!$K:$K,"&lt;&gt;Not on Form", Results!$K:$K,"&lt;&gt;N/A", Results!$L:$L,"&lt;&gt;Not on Form", Results!$L:$L,"&lt;&gt;N/A")</f>
        <v>0</v>
      </c>
      <c r="G13" s="31" t="str">
        <f>IF($F$9=SUM(F13:F15),"","Error! Microscopy result does NOT match, cross check: Missing information in Microscopy Result")</f>
        <v/>
      </c>
      <c r="I13" s="15" t="str">
        <f t="shared" ref="I13:I18" si="1">IF(SUM(C13:E13)=F13,"","Check Total Value &amp; Category")</f>
        <v/>
      </c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t="15.75" customHeight="1">
      <c r="A14" s="32"/>
      <c r="B14" s="28" t="s">
        <v>58</v>
      </c>
      <c r="C14" s="28">
        <f>COUNTIFS(Results!$E:$E,"&gt;="&amp;$I$2,Results!$E:$E,"&lt;="&amp;$I$3,Results!$L:$L,"Negative",Results!$K:$K,"No", Results!$F:$F,"*tive") + COUNTIFS(Results!$E:$E,"&gt;="&amp;$I$2,Results!$E:$E,"&lt;="&amp;$I$3,Results!$L:$L,"Negative",Results!$K:$K,"On Treatment", Results!$F:$F,"*tive")</f>
        <v>0</v>
      </c>
      <c r="D14" s="28">
        <f>COUNTIFS(Results!$E:$E,"&gt;="&amp;$I$2,Results!$E:$E,"&lt;="&amp;$I$3,Results!$L:$L,"Negative",Results!$K:$K,"Yes", Results!$F:$F,"*tive")</f>
        <v>0</v>
      </c>
      <c r="E14" s="28">
        <f>COUNTIFS(Results!$E:$E,"&gt;="&amp;$I$2,Results!$E:$E,"&lt;="&amp;$I$3,Results!$L:$L,"Negative",Results!$K:$K,"Unknown", Results!$F:$F,"*tive")</f>
        <v>0</v>
      </c>
      <c r="F14" s="28">
        <f>COUNTIFS(Results!$E:$E,"&gt;="&amp;$I$2,Results!$E:$E,"&lt;="&amp;$I$3,Results!$L:$L,"Negative", Results!$F:$F,"*tive",Results!$K:$K,"&lt;&gt;Not on Form", Results!$K:$K,"&lt;&gt;N/A", Results!$L:$L,"&lt;&gt;Not on Form", Results!$L:$L,"&lt;&gt;N/A")</f>
        <v>0</v>
      </c>
      <c r="G14" s="33"/>
      <c r="I14" s="15" t="str">
        <f t="shared" si="1"/>
        <v/>
      </c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t="14.25" customHeight="1">
      <c r="A15" s="26"/>
      <c r="B15" s="28" t="s">
        <v>59</v>
      </c>
      <c r="C15" s="28">
        <f>COUNTIFS(Results!$E:$E,"&gt;="&amp;$I$2,Results!$E:$E,"&lt;="&amp;$I$3,Results!$L:$L,"Not Done",Results!$K:$K,"No", Results!$F:$F,"*tive") + COUNTIFS(Results!$E:$E,"&gt;="&amp;$I$2,Results!$E:$E,"&lt;="&amp;$I$3,Results!$L:$L,"Not Done",Results!$K:$K,"On Treatment", Results!$F:$F,"*tive")</f>
        <v>0</v>
      </c>
      <c r="D15" s="28">
        <f>COUNTIFS(Results!$E:$E,"&gt;="&amp;$I$2,Results!$E:$E,"&lt;="&amp;$I$3,Results!$L:$L,"Not Done",Results!$K:$K,"Yes", Results!$F:$F,"*tive")</f>
        <v>0</v>
      </c>
      <c r="E15" s="28">
        <f>COUNTIFS(Results!$E:$E,"&gt;="&amp;$I$2,Results!$E:$E,"&lt;="&amp;$I$3,Results!$L:$L,"Not Done",Results!$K:$K,"Unknown", Results!$F:$F,"*tive")</f>
        <v>0</v>
      </c>
      <c r="F15" s="28">
        <f>COUNTIFS(Results!$E:$E,"&gt;="&amp;$I$2,Results!$E:$E,"&lt;="&amp;$I$3,Results!$L:$L,"Not Done", Results!$F:$F,"*tive", Results!$K:$K,"&lt;&gt;Not on Form", Results!$K:$K,"&lt;&gt;N/A", Results!$L:$L,"&lt;&gt;Not on Form", Results!$L:$L,"&lt;&gt;N/A")</f>
        <v>0</v>
      </c>
      <c r="G15" s="33"/>
      <c r="I15" s="15" t="str">
        <f t="shared" si="1"/>
        <v/>
      </c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t="14.25" customHeight="1">
      <c r="A16" s="25" t="s">
        <v>60</v>
      </c>
      <c r="B16" s="28" t="s">
        <v>61</v>
      </c>
      <c r="C16" s="28">
        <f>COUNTIFS(Results!$E:$E,"&gt;="&amp;$I$2,Results!$E:$E,"&lt;="&amp;$I$3,Results!$F:$F,"Negative",Results!$K:$K,"No") + COUNTIFS(Results!$E:$E,"&gt;="&amp;$I$2,Results!$E:$E,"&lt;="&amp;$I$3,Results!$F:$F,"Negative",Results!$K:$K,"On Treatment")</f>
        <v>0</v>
      </c>
      <c r="D16" s="28">
        <f>COUNTIFS(Results!$E:$E,"&gt;="&amp;$I$2,Results!$E:$E,"&lt;="&amp;$I$3,Results!$F:$F,"Negative",Results!$K:$K,"Yes")</f>
        <v>0</v>
      </c>
      <c r="E16" s="28">
        <f>COUNTIFS(Results!$E:$E,"&gt;="&amp;$I$2,Results!$E:$E,"&lt;="&amp;$I$3,Results!$F:$F,"Negative",Results!$K:$K,"Unknown")</f>
        <v>0</v>
      </c>
      <c r="F16" s="28">
        <f>COUNTIFS(Results!$E:$E,"&gt;="&amp;$I$2,Results!$E:$E,"&lt;="&amp;$I$3,Results!$F:$F,"Negative", Results!$K:$K,"&lt;&gt;Not on Form", Results!$K:$K,"&lt;&gt;N/A")</f>
        <v>0</v>
      </c>
      <c r="G16" s="31" t="str">
        <f>IF($F$9=SUM(F16:F20),"","Error! Cross information between Xpert result and treatment category are not match; possibly there will be Erorr or missing information on MTB result OR RIF result")</f>
        <v/>
      </c>
      <c r="I16" s="15" t="str">
        <f t="shared" si="1"/>
        <v/>
      </c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t="14.25" customHeight="1">
      <c r="A17" s="32"/>
      <c r="B17" s="28" t="s">
        <v>62</v>
      </c>
      <c r="C17" s="28">
        <f>COUNTIFS(Results!$E:$E,"&gt;="&amp;$I$2,Results!$E:$E,"&lt;="&amp;$I$3,Results!$F:$F,"Positive",Results!$G:$G,"Negative",Results!$K:$K,"No") + COUNTIFS(Results!$E:$E,"&gt;="&amp;$I$2,Results!$E:$E,"&lt;="&amp;$I$3,Results!$F:$F,"Positive",Results!$G:$G,"Negative",Results!$K:$K,"On Treatment")</f>
        <v>0</v>
      </c>
      <c r="D17" s="28">
        <f>COUNTIFS(Results!$E:$E,"&gt;="&amp;$I$2,Results!$E:$E,"&lt;="&amp;$I$3,Results!$F:$F,"Positive",Results!$G:$G,"Negative",Results!$K:$K,"Yes")</f>
        <v>0</v>
      </c>
      <c r="E17" s="28">
        <f>COUNTIFS(Results!$E:$E,"&gt;="&amp;$I$2,Results!$E:$E,"&lt;="&amp;$I$3,Results!$F:$F,"Positive",Results!$G:$G,"Negative",Results!$K:$K,"Unknown")</f>
        <v>0</v>
      </c>
      <c r="F17" s="28">
        <f>COUNTIFS(Results!$E:$E,"&gt;="&amp;$I$2,Results!$E:$E,"&lt;="&amp;$I$3,Results!$F:$F,"Positive",Results!$G:$G,"Negative", Results!$K:$K,"&lt;&gt;Not on Form", Results!$K:$K,"&lt;&gt;N/A")</f>
        <v>0</v>
      </c>
      <c r="G17" s="33"/>
      <c r="I17" s="15" t="str">
        <f t="shared" si="1"/>
        <v/>
      </c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t="14.25" customHeight="1">
      <c r="A18" s="32"/>
      <c r="B18" s="28" t="s">
        <v>63</v>
      </c>
      <c r="C18" s="28">
        <f>COUNTIFS(Results!$E:$E,"&gt;="&amp;$I$2,Results!$E:$E,"&lt;="&amp;$I$3,Results!$F:$F,"Positive",Results!$G:$G,"Positive",Results!$K:$K,"No") + COUNTIFS(Results!$E:$E,"&gt;="&amp;$I$2,Results!$E:$E,"&lt;="&amp;$I$3,Results!$F:$F,"Positive",Results!$G:$G,"Positive",Results!$K:$K,"On Treatment")</f>
        <v>0</v>
      </c>
      <c r="D18" s="28">
        <f>COUNTIFS(Results!$E:$E,"&gt;="&amp;$I$2,Results!$E:$E,"&lt;="&amp;$I$3,Results!$F:$F,"Positive",Results!$G:$G,"Positive",Results!$K:$K,"Yes")</f>
        <v>0</v>
      </c>
      <c r="E18" s="28">
        <f>COUNTIFS(Results!$E:$E,"&gt;="&amp;$I$2,Results!$E:$E,"&lt;="&amp;$I$3,Results!$F:$F,"Positive",Results!$G:$G,"Positive",Results!$K:$K,"Unknown")</f>
        <v>0</v>
      </c>
      <c r="F18" s="28">
        <f>COUNTIFS(Results!$E:$E,"&gt;="&amp;$I$2,Results!$E:$E,"&lt;="&amp;$I$3,Results!$F:$F,"Positive",Results!$G:$G,"Positive", Results!$K:$K,"&lt;&gt;Not on Form", Results!$K:$K,"&lt;&gt;N/A")</f>
        <v>0</v>
      </c>
      <c r="G18" s="33"/>
      <c r="I18" s="15" t="str">
        <f t="shared" si="1"/>
        <v/>
      </c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t="14.25" customHeight="1">
      <c r="A19" s="32"/>
      <c r="B19" s="28" t="s">
        <v>64</v>
      </c>
      <c r="C19" s="28">
        <f>COUNTIFS(Results!$E:$E,"&gt;="&amp;$I$2,Results!$E:$E,"&lt;="&amp;$I$3,Results!$F:$F,"Positive",Results!$G:$G,"Indeterminate",Results!$K:$K,"No") + COUNTIFS(Results!$E:$E,"&gt;="&amp;$I$2,Results!$E:$E,"&lt;="&amp;$I$3,Results!$F:$F,"Positive",Results!$G:$G,"Indeterminate",Results!$K:$K,"On Treatment")</f>
        <v>0</v>
      </c>
      <c r="D19" s="28">
        <f>COUNTIFS(Results!$E:$E,"&gt;="&amp;$I$2,Results!$E:$E,"&lt;="&amp;$I$3,Results!$F:$F,"Positive",Results!$G:$G,"Indeterminate",Results!$K:$K,"Yes")</f>
        <v>0</v>
      </c>
      <c r="E19" s="28">
        <f>COUNTIFS(Results!$E:$E,"&gt;="&amp;$I$2,Results!$E:$E,"&lt;="&amp;$I$3,Results!$F:$F,"Positive",Results!$G:$G,"Indeterminate",Results!$K:$K,"Unknown")</f>
        <v>0</v>
      </c>
      <c r="F19" s="28">
        <f>COUNTIFS(Results!$E:$E,"&gt;="&amp;$I$2,Results!$E:$E,"&lt;="&amp;$I$3,Results!$F:$F,"Positive",Results!$G:$G,"Indeterminate", Results!$K:$K,"&lt;&gt;Not on Form", Results!$K:$K,"&lt;&gt;N/A")</f>
        <v>0</v>
      </c>
      <c r="G19" s="33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t="14.25" customHeight="1">
      <c r="A20" s="26"/>
      <c r="B20" s="28" t="s">
        <v>65</v>
      </c>
      <c r="C20" s="28">
        <f>COUNTIFS(Results!$E:$E,"&gt;="&amp;$I$2,Results!$E:$E,"&lt;="&amp;$I$3,Results!$F:$F,"Trace",Results!$G:$G,"Indeterminate",Results!$K:$K,"No") + COUNTIFS(Results!$E:$E,"&gt;="&amp;$I$2,Results!$E:$E,"&lt;="&amp;$I$3,Results!$F:$F,"Trace",Results!$G:$G,"Indeterminate",Results!$K:$K,"On Treatment")</f>
        <v>0</v>
      </c>
      <c r="D20" s="28">
        <f>COUNTIFS(Results!$E:$E,"&gt;="&amp;$I$2,Results!$E:$E,"&lt;="&amp;$I$3,Results!$F:$F,"Trace",Results!$G:$G,"Indeterminate",Results!$K:$K,"Yes")</f>
        <v>0</v>
      </c>
      <c r="E20" s="28">
        <f>COUNTIFS(Results!$E:$E,"&gt;="&amp;$I$2,Results!$E:$E,"&lt;="&amp;$I$3,Results!$F:$F,"Trace",Results!$G:$G,"Indeterminate",Results!$K:$K,"Unknown")</f>
        <v>0</v>
      </c>
      <c r="F20" s="28">
        <f>COUNTIFS(Results!$E:$E,"&gt;="&amp;$I$2,Results!$E:$E,"&lt;="&amp;$I$3,Results!$F:$F,"Trace",Results!$G:$G,"Indeterminate", Results!$K:$K,"&lt;&gt;Not on Form", Results!$K:$K,"&lt;&gt;N/A")</f>
        <v>0</v>
      </c>
      <c r="G20" s="33"/>
      <c r="I20" s="15" t="str">
        <f>IF(SUM(C20:E20)=F20,"","Check Total Value &amp; Category")</f>
        <v/>
      </c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t="14.25" customHeight="1">
      <c r="A21" s="15"/>
      <c r="B21" s="15"/>
      <c r="C21" s="15"/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t="14.25" customHeight="1">
      <c r="A22" s="15" t="s">
        <v>66</v>
      </c>
      <c r="B22" s="15"/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t="14.25" customHeight="1">
      <c r="A23" s="28"/>
      <c r="B23" s="28"/>
      <c r="C23" s="34" t="s">
        <v>67</v>
      </c>
      <c r="D23" s="34" t="s">
        <v>68</v>
      </c>
      <c r="E23" s="27" t="s">
        <v>55</v>
      </c>
      <c r="F23" s="27" t="s">
        <v>49</v>
      </c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t="15.75" hidden="1" customHeight="1">
      <c r="A24" s="30" t="s">
        <v>56</v>
      </c>
      <c r="B24" s="28" t="s">
        <v>57</v>
      </c>
      <c r="C24" s="28">
        <f>COUNTIFS(Results!$E:$E,"&gt;="&amp;$I$2,Results!$E:$E,"&lt;="&amp;$I$3,Results!$L:$L,"Positive",Results!$H:$H,"Positive", Results!$F:$F,"*tive")</f>
        <v>0</v>
      </c>
      <c r="D24" s="28">
        <f>COUNTIFS(Results!$E:$E,"&gt;="&amp;$I$2,Results!$E:$E,"&lt;="&amp;$I$3,Results!$L:$L,"Positive",Results!$H:$H,"Negative", Results!$F:$F,"*tive")</f>
        <v>0</v>
      </c>
      <c r="E24" s="28">
        <f>COUNTIFS(Results!$E:$E,"&gt;="&amp;$I$2,Results!$E:$E,"&lt;="&amp;$I$3,Results!$L:$L,"Positive",Results!$H:$H,"Unknown", Results!$F:$F,"*tive")</f>
        <v>0</v>
      </c>
      <c r="F24" s="28">
        <f>COUNTIFS(Results!$E:$E,"&gt;="&amp;$I$2,Results!$E:$E,"&lt;="&amp;$I$3,Results!$L:$L,"Positive", Results!$F:$F,"*tive", Results!$H:$H,"&lt;&gt;Not on Form", Results!$H:$H,"&lt;&gt;N/A", Results!$L:$L,"&lt;&gt;Not on Form", Results!$L:$L,"&lt;&gt;N/A")</f>
        <v>0</v>
      </c>
      <c r="G24" s="31" t="str">
        <f>IF($F$9=SUM(F24:F26),"","Error! Microscope Result and HIV Status do NOT match; Crosscheck for missing information in Microscope Result OR HIV Status")</f>
        <v/>
      </c>
      <c r="I24" s="15" t="str">
        <f t="shared" ref="I24:I29" si="2">IF(SUM(C24:E24)=F24,"","Check Total Value &amp; Category")</f>
        <v/>
      </c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t="15.75" hidden="1" customHeight="1">
      <c r="A25" s="32"/>
      <c r="B25" s="28" t="s">
        <v>58</v>
      </c>
      <c r="C25" s="28">
        <f>COUNTIFS(Results!$E:$E,"&gt;="&amp;$I$2,Results!$E:$E,"&lt;="&amp;$I$3,Results!$L:$L,"Negative",Results!$H:$H,"Positive", Results!$F:$F,"*tive")</f>
        <v>0</v>
      </c>
      <c r="D25" s="28">
        <f>COUNTIFS(Results!$E:$E,"&gt;="&amp;$I$2,Results!$E:$E,"&lt;="&amp;$I$3,Results!$L:$L,"Negative",Results!$H:$H,"Negative", Results!$F:$F,"*tive")</f>
        <v>0</v>
      </c>
      <c r="E25" s="28">
        <f>COUNTIFS(Results!$E:$E,"&gt;="&amp;$I$2,Results!$E:$E,"&lt;="&amp;$I$3,Results!$L:$L,"Negative",Results!$H:$H,"Unknown", Results!$F:$F,"*tive")</f>
        <v>0</v>
      </c>
      <c r="F25" s="28">
        <f>COUNTIFS(Results!$E:$E,"&gt;="&amp;$I$2,Results!$E:$E,"&lt;="&amp;$I$3,Results!$L:$L,"Negative", Results!$F:$F,"*tive",  Results!$H:$H,"&lt;&gt;Not on Form", Results!$H:$H,"&lt;&gt;N/A", Results!$L:$L,"&lt;&gt;Not on Form", Results!$L:$L,"&lt;&gt;N/A")</f>
        <v>0</v>
      </c>
      <c r="G25" s="33"/>
      <c r="I25" s="15" t="str">
        <f t="shared" si="2"/>
        <v/>
      </c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t="14.25" hidden="1" customHeight="1">
      <c r="A26" s="26"/>
      <c r="B26" s="28" t="s">
        <v>59</v>
      </c>
      <c r="C26" s="28">
        <f>COUNTIFS(Results!$E:$E,"&gt;="&amp;$I$2,Results!$E:$E,"&lt;="&amp;$I$3,Results!$L:$L,"Not Done",Results!$H:$H,"Positive", Results!$F:$F,"*tive")</f>
        <v>0</v>
      </c>
      <c r="D26" s="28">
        <f>COUNTIFS(Results!$E:$E,"&gt;="&amp;$I$2,Results!$E:$E,"&lt;="&amp;$I$3,Results!$L:$L,"Not Done",Results!$H:$H,"Negative", Results!$F:$F,"*tive")</f>
        <v>0</v>
      </c>
      <c r="E26" s="28">
        <f>COUNTIFS(Results!$E:$E,"&gt;="&amp;$I$2,Results!$E:$E,"&lt;="&amp;$I$3,Results!$L:$L,"Not Done",Results!$H:$H,"Unknown", Results!$F:$F,"*tive")</f>
        <v>0</v>
      </c>
      <c r="F26" s="28">
        <f>COUNTIFS(Results!$E:$E,"&gt;="&amp;$I$2,Results!$E:$E,"&lt;="&amp;$I$3,Results!$L:$L,"Not Done",Results!$F:$F,"*tive",  Results!$H:$H,"&lt;&gt;Not on Form", Results!$H:$H,"&lt;&gt;N/A", Results!$L:$L,"&lt;&gt;Not on Form", Results!$L:$L,"&lt;&gt;N/A")</f>
        <v>0</v>
      </c>
      <c r="G26" s="33"/>
      <c r="I26" s="15" t="str">
        <f t="shared" si="2"/>
        <v/>
      </c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t="14.25" customHeight="1">
      <c r="A27" s="25" t="s">
        <v>60</v>
      </c>
      <c r="B27" s="28" t="s">
        <v>61</v>
      </c>
      <c r="C27" s="28">
        <f>COUNTIFS(Results!$E:$E,"&gt;="&amp;$I$2,Results!$E:$E,"&lt;="&amp;$I$3,Results!$F:$F,"Negative",Results!$H:$H,"Positive")</f>
        <v>0</v>
      </c>
      <c r="D27" s="28">
        <f>COUNTIFS(Results!$E:$E,"&gt;="&amp;$I$2,Results!$E:$E,"&lt;="&amp;$I$3,Results!$F:$F,"Negative",Results!$H:$H,"Negative")</f>
        <v>0</v>
      </c>
      <c r="E27" s="28">
        <f>COUNTIFS(Results!$E:$E,"&gt;="&amp;$I$2,Results!$E:$E,"&lt;="&amp;$I$3,Results!$F:$F,"Negative",Results!$H:$H,"Unknown")</f>
        <v>0</v>
      </c>
      <c r="F27" s="28">
        <f>COUNTIFS(Results!$E:$E,"&gt;="&amp;$I$2,Results!$E:$E,"&lt;="&amp;$I$3,Results!$F:$F,"Negative", Results!$H:$H,"&lt;&gt;Not on Form", Results!$H:$H,"&lt;&gt;N/A")</f>
        <v>0</v>
      </c>
      <c r="G27" s="31" t="str">
        <f>IF($F$9=SUM(F27:F31),"","Error! Cross information between Xpert result and HIV Status are not match; possibly there will be Erorr or missing information on MTB result OR HIV Status")</f>
        <v/>
      </c>
      <c r="I27" s="15" t="str">
        <f t="shared" si="2"/>
        <v/>
      </c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t="14.25" customHeight="1">
      <c r="A28" s="32"/>
      <c r="B28" s="28" t="s">
        <v>62</v>
      </c>
      <c r="C28" s="28">
        <f>COUNTIFS(Results!$E:$E,"&gt;="&amp;$I$2,Results!$E:$E,"&lt;="&amp;$I$3,Results!$F:$F,"Positive",Results!$G:$G,"Negative",Results!$H:$H,"Positive")</f>
        <v>0</v>
      </c>
      <c r="D28" s="28">
        <f>COUNTIFS(Results!$E:$E,"&gt;="&amp;$I$2,Results!$E:$E,"&lt;="&amp;$I$3,Results!$F:$F,"Positive",Results!$G:$G,"Negative",Results!$H:$H,"Negative")</f>
        <v>0</v>
      </c>
      <c r="E28" s="28">
        <f>COUNTIFS(Results!$E:$E,"&gt;="&amp;$I$2,Results!$E:$E,"&lt;="&amp;$I$3,Results!$F:$F,"Positive",Results!$G:$G,"Negative",Results!$H:$H,"Unknown")</f>
        <v>0</v>
      </c>
      <c r="F28" s="28">
        <f>COUNTIFS(Results!$E:$E,"&gt;="&amp;$I$2,Results!$E:$E,"&lt;="&amp;$I$3,Results!$F:$F,"Positive",Results!$G:$G,"Negative", Results!$H:$H,"&lt;&gt;Not on Form", Results!$H:$H,"&lt;&gt;N/A")</f>
        <v>0</v>
      </c>
      <c r="G28" s="33"/>
      <c r="I28" s="15" t="str">
        <f t="shared" si="2"/>
        <v/>
      </c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t="14.25" customHeight="1">
      <c r="A29" s="32"/>
      <c r="B29" s="28" t="s">
        <v>63</v>
      </c>
      <c r="C29" s="28">
        <f>COUNTIFS(Results!$E:$E,"&gt;="&amp;$I$2,Results!$E:$E,"&lt;="&amp;$I$3,Results!$F:$F,"Positive",Results!$G:$G,"Positive",Results!$H:$H,"Positive")</f>
        <v>0</v>
      </c>
      <c r="D29" s="28">
        <f>COUNTIFS(Results!$E:$E,"&gt;="&amp;$I$2,Results!$E:$E,"&lt;="&amp;$I$3,Results!$F:$F,"Positive",Results!$G:$G,"Positive",Results!$H:$H,"Negative")</f>
        <v>0</v>
      </c>
      <c r="E29" s="28">
        <f>COUNTIFS(Results!$E:$E,"&gt;="&amp;$I$2,Results!$E:$E,"&lt;="&amp;$I$3,Results!$F:$F,"Positive",Results!$G:$G,"Positive",Results!$H:$H,"Unknown")</f>
        <v>0</v>
      </c>
      <c r="F29" s="28">
        <f>COUNTIFS(Results!$E:$E,"&gt;="&amp;$I$2,Results!$E:$E,"&lt;="&amp;$I$3,Results!$F:$F,"Positive",Results!$G:$G,"Positive", Results!$H:$H,"&lt;&gt;Not on Form", Results!$H:$H,"&lt;&gt;N/A")</f>
        <v>0</v>
      </c>
      <c r="G29" s="33"/>
      <c r="I29" s="15" t="str">
        <f t="shared" si="2"/>
        <v/>
      </c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t="14.25" customHeight="1">
      <c r="A30" s="32"/>
      <c r="B30" s="28" t="s">
        <v>64</v>
      </c>
      <c r="C30" s="28">
        <f>COUNTIFS(Results!$E:$E,"&gt;="&amp;$I$2,Results!$E:$E,"&lt;="&amp;$I$3,Results!$F:$F,"Positive",Results!$G:$G,"Indeterminate",Results!$H:$H,"Positive")</f>
        <v>0</v>
      </c>
      <c r="D30" s="28">
        <f>COUNTIFS(Results!$E:$E,"&gt;="&amp;$I$2,Results!$E:$E,"&lt;="&amp;$I$3,Results!$F:$F,"Positive",Results!$G:$G,"Indeterminate",Results!$H:$H,"Negative")</f>
        <v>0</v>
      </c>
      <c r="E30" s="28">
        <f>COUNTIFS(Results!$E:$E,"&gt;="&amp;$I$2,Results!$E:$E,"&lt;="&amp;$I$3,Results!$F:$F,"Positive",Results!$G:$G,"Indeterminate",Results!$H:$H,"Unknown")</f>
        <v>0</v>
      </c>
      <c r="F30" s="28">
        <f>COUNTIFS(Results!$E:$E,"&gt;="&amp;$I$2,Results!$E:$E,"&lt;="&amp;$I$3,Results!$F:$F,"Positive",Results!$G:$G,"Indeterminate", Results!$H:$H,"&lt;&gt;Not on Form", Results!$H:$H,"&lt;&gt;N/A")</f>
        <v>0</v>
      </c>
      <c r="G30" s="33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t="14.25" customHeight="1">
      <c r="A31" s="26"/>
      <c r="B31" s="28" t="s">
        <v>65</v>
      </c>
      <c r="C31" s="28">
        <f>COUNTIFS(Results!$E:$E,"&gt;="&amp;$I$2,Results!$E:$E,"&lt;="&amp;$I$3,Results!$F:$F,"Trace",Results!$G:$G,"Indeterminate",Results!$H:$H,"Positive")</f>
        <v>0</v>
      </c>
      <c r="D31" s="28">
        <f>COUNTIFS(Results!$E:$E,"&gt;="&amp;$I$2,Results!$E:$E,"&lt;="&amp;$I$3,Results!$F:$F,"Trace",Results!$G:$G,"Indeterminate",Results!$H:$H,"Negative")</f>
        <v>0</v>
      </c>
      <c r="E31" s="28">
        <f>COUNTIFS(Results!$E:$E,"&gt;="&amp;$I$2,Results!$E:$E,"&lt;="&amp;$I$3,Results!$F:$F,"Trace",Results!$G:$G,"Indeterminate",Results!$H:$H,"Unknown")</f>
        <v>0</v>
      </c>
      <c r="F31" s="28">
        <f>COUNTIFS(Results!$E:$E,"&gt;="&amp;$I$2,Results!$E:$E,"&lt;="&amp;$I$3,Results!$F:$F,"Trace",Results!$G:$G,"Indeterminate", Results!$H:$H,"&lt;&gt;Not on Form", Results!$H:$H,"&lt;&gt;N/A")</f>
        <v>0</v>
      </c>
      <c r="G31" s="33"/>
      <c r="I31" s="15" t="str">
        <f>IF(SUM(C31:E31)=F31,"","Check Total Value &amp; Category")</f>
        <v/>
      </c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t="14.25" customHeight="1">
      <c r="A32" s="15"/>
      <c r="B32" s="15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t="14.25" customHeight="1">
      <c r="A33" s="35" t="s">
        <v>69</v>
      </c>
      <c r="B33" s="36"/>
      <c r="C33" s="36"/>
      <c r="D33" s="36"/>
      <c r="E33" s="36"/>
      <c r="F33" s="36"/>
      <c r="G33" s="36"/>
      <c r="H33" s="36"/>
      <c r="I33" s="36"/>
      <c r="J33" s="36"/>
      <c r="K33" s="36"/>
      <c r="L33" s="36"/>
      <c r="M33" s="36"/>
      <c r="N33" s="36"/>
      <c r="O33" s="36"/>
      <c r="P33" s="36"/>
      <c r="Q33" s="36"/>
      <c r="R33" s="36"/>
      <c r="S33" s="36"/>
      <c r="T33" s="36"/>
      <c r="U33" s="36"/>
      <c r="V33" s="36"/>
      <c r="W33" s="36"/>
      <c r="X33" s="36"/>
      <c r="Y33" s="36"/>
      <c r="Z33" s="36"/>
    </row>
    <row r="34" ht="14.25" customHeight="1">
      <c r="A34" s="37"/>
      <c r="B34" s="37"/>
      <c r="C34" s="38" t="s">
        <v>70</v>
      </c>
      <c r="D34" s="38" t="s">
        <v>71</v>
      </c>
      <c r="E34" s="38" t="s">
        <v>72</v>
      </c>
      <c r="F34" s="38" t="s">
        <v>73</v>
      </c>
      <c r="G34" s="38" t="s">
        <v>74</v>
      </c>
      <c r="H34" s="39" t="s">
        <v>49</v>
      </c>
      <c r="I34" s="40"/>
      <c r="J34" s="40"/>
      <c r="K34" s="40"/>
      <c r="L34" s="40"/>
      <c r="M34" s="40"/>
      <c r="N34" s="40"/>
      <c r="O34" s="40"/>
      <c r="P34" s="40"/>
      <c r="Q34" s="40"/>
      <c r="R34" s="40"/>
      <c r="S34" s="40"/>
      <c r="T34" s="40"/>
      <c r="U34" s="40"/>
      <c r="V34" s="40"/>
      <c r="W34" s="40"/>
      <c r="X34" s="40"/>
      <c r="Y34" s="40"/>
      <c r="Z34" s="40"/>
    </row>
    <row r="35" ht="14.25" customHeight="1">
      <c r="A35" s="41" t="s">
        <v>60</v>
      </c>
      <c r="B35" s="42" t="s">
        <v>61</v>
      </c>
      <c r="C35" s="43">
        <f>COUNTIFS(Results!$E:$E,"&gt;="&amp;$I$2,Results!$E:$E,"&lt;="&amp;$I$3,Results!$F:$F,"Negative",Results!$S:$S,"*DX*")</f>
        <v>0</v>
      </c>
      <c r="D35" s="43">
        <f>COUNTIFS(Results!$E:$E,"&gt;="&amp;$I$2,Results!$E:$E,"&lt;="&amp;$I$3,Results!$F:$F,"Negative",Results!$S:$S,"*fu*")</f>
        <v>0</v>
      </c>
      <c r="E35" s="43">
        <f>COUNTIFS(Results!$E:$E,"&gt;="&amp;$I$2,Results!$E:$E,"&lt;="&amp;$I$3,Results!$F:$F,"Negative",Results!$S:$S,"*mdr*")</f>
        <v>0</v>
      </c>
      <c r="F35" s="43">
        <f>COUNTIFS(Results!$E:$E,"&gt;="&amp;$I$2,Results!$E:$E,"&lt;="&amp;$I$3,Results!$F:$F,"Negative",Results!$S:$S,"*dm*")</f>
        <v>0</v>
      </c>
      <c r="G35" s="43">
        <f>COUNTIFS(Results!$E:$E,"&gt;="&amp;$I$2,Results!$E:$E,"&lt;="&amp;$I$3,Results!$F:$F,"Negative",Results!$S:$S,"*na*")</f>
        <v>0</v>
      </c>
      <c r="H35" s="43">
        <f>COUNTIFS(Results!$E:$E,"&gt;="&amp;$I$2,Results!$E:$E,"&lt;="&amp;$I$3,Results!$F:$F,"Negative", Results!$O:$O,"&lt;&gt;Not on Form", Results!$O:$O,"&lt;&gt;N/A")</f>
        <v>0</v>
      </c>
      <c r="I35" s="40"/>
      <c r="J35" s="40"/>
      <c r="K35" s="40"/>
      <c r="L35" s="40"/>
      <c r="M35" s="40"/>
      <c r="N35" s="40"/>
      <c r="O35" s="40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</row>
    <row r="36" ht="14.25" customHeight="1">
      <c r="A36" s="32"/>
      <c r="B36" s="42" t="s">
        <v>62</v>
      </c>
      <c r="C36" s="43">
        <f>COUNTIFS(Results!$E:$E,"&gt;="&amp;$I$2,Results!$E:$E,"&lt;="&amp;$I$3,Results!$F:$F,"Positive",Results!$G:$G,"Negative",Results!$S:$S,"*DX*")</f>
        <v>0</v>
      </c>
      <c r="D36" s="43">
        <f>COUNTIFS(Results!$E:$E,"&gt;="&amp;$I$2,Results!$E:$E,"&lt;="&amp;$I$3,Results!$F:$F,"Positive",Results!$G:$G,"Negative",Results!$S:$S,"*fu*")</f>
        <v>0</v>
      </c>
      <c r="E36" s="43">
        <f>COUNTIFS(Results!$E:$E,"&gt;="&amp;$I$2,Results!$E:$E,"&lt;="&amp;$I$3,Results!$F:$F,"Positive",Results!$G:$G,"Negative",Results!$S:$S,"*mdr*")</f>
        <v>0</v>
      </c>
      <c r="F36" s="43">
        <f>COUNTIFS(Results!$E:$E,"&gt;="&amp;$I$2,Results!$E:$E,"&lt;="&amp;$I$3,Results!$F:$F,"Positive",Results!$G:$G,"Negative",Results!$S:$S,"*Dm*")</f>
        <v>0</v>
      </c>
      <c r="G36" s="43">
        <f>COUNTIFS(Results!$E:$E,"&gt;="&amp;$I$2,Results!$E:$E,"&lt;="&amp;$I$3,Results!$F:$F,"Positive",Results!$G:$G,"Negative",Results!$S:$S,"*na*")</f>
        <v>0</v>
      </c>
      <c r="H36" s="43">
        <f>COUNTIFS(Results!$E:$E,"&gt;="&amp;$I$2,Results!$E:$E,"&lt;="&amp;$I$3,Results!$F:$F,"Positive",Results!$G:$G,"Negative", Results!$O:$O,"&lt;&gt;Not on Form", Results!$O:$O,"&lt;&gt;N/A")</f>
        <v>0</v>
      </c>
      <c r="I36" s="40"/>
      <c r="J36" s="40"/>
      <c r="K36" s="40"/>
      <c r="L36" s="40"/>
      <c r="M36" s="40"/>
      <c r="N36" s="40"/>
      <c r="O36" s="40"/>
      <c r="P36" s="40"/>
      <c r="Q36" s="40"/>
      <c r="R36" s="40"/>
      <c r="S36" s="40"/>
      <c r="T36" s="40"/>
      <c r="U36" s="40"/>
      <c r="V36" s="40"/>
      <c r="W36" s="40"/>
      <c r="X36" s="40"/>
      <c r="Y36" s="40"/>
      <c r="Z36" s="40"/>
    </row>
    <row r="37" ht="14.25" customHeight="1">
      <c r="A37" s="32"/>
      <c r="B37" s="42" t="s">
        <v>63</v>
      </c>
      <c r="C37" s="43">
        <f>COUNTIFS(Results!$E:$E,"&gt;="&amp;$I$2,Results!$E:$E,"&lt;="&amp;$I$3,Results!$F:$F,"Positive",Results!$G:$G,"Positive",Results!$S:$S,"*DX*")</f>
        <v>0</v>
      </c>
      <c r="D37" s="43">
        <f>COUNTIFS(Results!$E:$E,"&gt;="&amp;$I$2,Results!$E:$E,"&lt;="&amp;$I$3,Results!$F:$F,"Positive",Results!$G:$G,"Positive",Results!$S:$S,"*fu*")</f>
        <v>0</v>
      </c>
      <c r="E37" s="43">
        <f>COUNTIFS(Results!$E:$E,"&gt;="&amp;$I$2,Results!$E:$E,"&lt;="&amp;$I$3,Results!$F:$F,"Positive",Results!$G:$G,"Positive",Results!$S:$S,"*mdr*")</f>
        <v>0</v>
      </c>
      <c r="F37" s="43">
        <f>COUNTIFS(Results!$E:$E,"&gt;="&amp;$I$2,Results!$E:$E,"&lt;="&amp;$I$3,Results!$F:$F,"Positive",Results!$G:$G,"Positive",Results!$S:$S,"*dm*")</f>
        <v>0</v>
      </c>
      <c r="G37" s="43">
        <f>COUNTIFS(Results!$E:$E,"&gt;="&amp;$I$2,Results!$E:$E,"&lt;="&amp;$I$3,Results!$F:$F,"Positive",Results!$G:$G,"Positive",Results!$S:$S,"*na*")</f>
        <v>0</v>
      </c>
      <c r="H37" s="43">
        <f>COUNTIFS(Results!$E:$E,"&gt;="&amp;$I$2,Results!$E:$E,"&lt;="&amp;$I$3,Results!$F:$F,"Positive",Results!$G:$G,"Positive", Results!$O:$O,"&lt;&gt;Not on Form", Results!$O:$O,"&lt;&gt;N/A")</f>
        <v>0</v>
      </c>
      <c r="I37" s="40"/>
      <c r="J37" s="40"/>
      <c r="K37" s="40"/>
      <c r="L37" s="40"/>
      <c r="M37" s="40"/>
      <c r="N37" s="40"/>
      <c r="O37" s="40"/>
      <c r="P37" s="40"/>
      <c r="Q37" s="40"/>
      <c r="R37" s="40"/>
      <c r="S37" s="40"/>
      <c r="T37" s="40"/>
      <c r="U37" s="40"/>
      <c r="V37" s="40"/>
      <c r="W37" s="40"/>
      <c r="X37" s="40"/>
      <c r="Y37" s="40"/>
      <c r="Z37" s="40"/>
    </row>
    <row r="38" ht="14.25" customHeight="1">
      <c r="A38" s="32"/>
      <c r="B38" s="42" t="s">
        <v>64</v>
      </c>
      <c r="C38" s="43">
        <f>COUNTIFS(Results!$E:$E,"&gt;="&amp;$I$2,Results!$E:$E,"&lt;="&amp;$I$3,Results!$F:$F,"Positive",Results!$G:$G,"Indeterminate",Results!$S:$S,"*DX*")</f>
        <v>0</v>
      </c>
      <c r="D38" s="43">
        <f>COUNTIFS(Results!$E:$E,"&gt;="&amp;$I$2,Results!$E:$E,"&lt;="&amp;$I$3,Results!$F:$F,"Positive",Results!$G:$G,"Indeterminate",Results!$S:$S,"*fu*")</f>
        <v>0</v>
      </c>
      <c r="E38" s="43">
        <f>COUNTIFS(Results!$E:$E,"&gt;="&amp;$I$2,Results!$E:$E,"&lt;="&amp;$I$3,Results!$F:$F,"Positive",Results!$G:$G,"Indeterminate",Results!$S:$S,"*mdr*")</f>
        <v>0</v>
      </c>
      <c r="F38" s="43">
        <f>COUNTIFS(Results!$E:$E,"&gt;="&amp;$I$2,Results!$E:$E,"&lt;="&amp;$I$3,Results!$F:$F,"Positive",Results!$G:$G,"Indeterminate",Results!$S:$S,"*dm*")</f>
        <v>0</v>
      </c>
      <c r="G38" s="43">
        <f>COUNTIFS(Results!$E:$E,"&gt;="&amp;$I$2,Results!$E:$E,"&lt;="&amp;$I$3,Results!$F:$F,"Positive",Results!$G:$G,"Indeterminate",Results!$S:$S,"*na*")</f>
        <v>0</v>
      </c>
      <c r="H38" s="43">
        <f>COUNTIFS(Results!$E:$E,"&gt;="&amp;$I$2,Results!$E:$E,"&lt;="&amp;$I$3,Results!$F:$F,"Positive",Results!$G:$G,"Indeterminate", Results!$O:$O,"&lt;&gt;Not on Form", Results!$O:$O,"&lt;&gt;N/A")</f>
        <v>0</v>
      </c>
      <c r="I38" s="40"/>
      <c r="J38" s="40"/>
      <c r="K38" s="40"/>
      <c r="L38" s="40"/>
      <c r="M38" s="40"/>
      <c r="N38" s="40"/>
      <c r="O38" s="40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</row>
    <row r="39" ht="14.25" customHeight="1">
      <c r="A39" s="26"/>
      <c r="B39" s="42" t="s">
        <v>75</v>
      </c>
      <c r="C39" s="43">
        <f>COUNTIFS(Results!$E:$E,"&gt;="&amp;$I$2,Results!$E:$E,"&lt;="&amp;$I$3,Results!$F:$F,"Trace",Results!$G:$G,"Indeterminate",Results!$S:$S,"*DX*")</f>
        <v>0</v>
      </c>
      <c r="D39" s="43">
        <f>COUNTIFS(Results!$E:$E,"&gt;="&amp;$I$2,Results!$E:$E,"&lt;="&amp;$I$3,Results!$F:$F,"Trace",Results!$G:$G,"Indeterminate",Results!$S:$S,"*fu*")</f>
        <v>0</v>
      </c>
      <c r="E39" s="43">
        <f>COUNTIFS(Results!$E:$E,"&gt;="&amp;$I$2,Results!$E:$E,"&lt;="&amp;$I$3,Results!$F:$F,"Trace",Results!$G:$G,"Indeterminate",Results!$S:$S,"*mdr*")</f>
        <v>0</v>
      </c>
      <c r="F39" s="43">
        <f>COUNTIFS(Results!$E:$E,"&gt;="&amp;$I$2,Results!$E:$E,"&lt;="&amp;$I$3,Results!$F:$F,"Trace",Results!$G:$G,"Indeterminate",Results!$S:$S,"*dm*")</f>
        <v>0</v>
      </c>
      <c r="G39" s="43">
        <f>COUNTIFS(Results!$E:$E,"&gt;="&amp;$I$2,Results!$E:$E,"&lt;="&amp;$I$3,Results!$F:$F,"Trace",Results!$G:$G,"Indeterminate",Results!$S:$S,"*na*")</f>
        <v>0</v>
      </c>
      <c r="H39" s="43">
        <f>COUNTIFS(Results!$E:$E,"&gt;="&amp;$I$2,Results!$E:$E,"&lt;="&amp;$I$3,Results!$F:$F,"Trace",Results!$G:$G,"Indeterminate", Results!$O:$O,"&lt;&gt;Not on Form", Results!$O:$O,"&lt;&gt;N/A")</f>
        <v>0</v>
      </c>
      <c r="I39" s="40"/>
      <c r="J39" s="40"/>
      <c r="K39" s="40"/>
      <c r="L39" s="40"/>
      <c r="M39" s="40"/>
      <c r="N39" s="40"/>
      <c r="O39" s="40"/>
      <c r="P39" s="40"/>
      <c r="Q39" s="40"/>
      <c r="R39" s="40"/>
      <c r="S39" s="40"/>
      <c r="T39" s="40"/>
      <c r="U39" s="40"/>
      <c r="V39" s="40"/>
      <c r="W39" s="40"/>
      <c r="X39" s="40"/>
      <c r="Y39" s="40"/>
      <c r="Z39" s="40"/>
    </row>
    <row r="40" ht="14.25" customHeight="1">
      <c r="A40" s="15"/>
      <c r="B40" s="15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t="14.25" customHeight="1">
      <c r="A41" s="15"/>
      <c r="B41" s="15"/>
      <c r="C41" s="23" t="s">
        <v>47</v>
      </c>
      <c r="D41" s="24"/>
      <c r="E41" s="23" t="s">
        <v>48</v>
      </c>
      <c r="F41" s="24"/>
      <c r="G41" s="22" t="s">
        <v>49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t="14.25" customHeight="1">
      <c r="A42" s="28" t="s">
        <v>76</v>
      </c>
      <c r="B42" s="28"/>
      <c r="C42" s="23">
        <f>COUNTIFS(Results!$E:$E,"&gt;="&amp;$I$2,Results!$E:$E,"&lt;="&amp;$I$3,Results!$I:$I,"Male",Results!$F:$F,"Positive",Results!$G:$G,"Positive")</f>
        <v>0</v>
      </c>
      <c r="D42" s="24"/>
      <c r="E42" s="23">
        <f>COUNTIFS(Results!$E:$E,"&gt;="&amp;$I$2,Results!$E:$E,"&lt;="&amp;$I$3,Results!$I:$I,"Female",Results!$F:$F,"Positive",Results!$G:$G,"Positive")</f>
        <v>0</v>
      </c>
      <c r="F42" s="24"/>
      <c r="G42" s="28">
        <f>COUNTIFS(Results!$E:$E,"&gt;="&amp;$I$2,Results!$E:$E,"&lt;="&amp;$I$3,Results!$F:$F,"Positive",Results!$G:$G,"Positive", Results!$I:$I,"&lt;&gt;Not on Form", Results!$I:$I,"&lt;&gt;N/A")</f>
        <v>0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t="14.25" customHeight="1">
      <c r="A43" s="15"/>
      <c r="B43" s="15"/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t="14.25" customHeight="1">
      <c r="A44" s="15" t="s">
        <v>77</v>
      </c>
      <c r="B44" s="15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t="14.25" customHeight="1">
      <c r="A45" s="28"/>
      <c r="B45" s="28"/>
      <c r="C45" s="23" t="s">
        <v>78</v>
      </c>
      <c r="D45" s="24"/>
      <c r="E45" s="23" t="s">
        <v>79</v>
      </c>
      <c r="F45" s="24"/>
      <c r="G45" s="28" t="s">
        <v>49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t="14.25" customHeight="1">
      <c r="A46" s="44" t="s">
        <v>80</v>
      </c>
      <c r="B46" s="45"/>
      <c r="C46" s="23">
        <f>COUNTIFS(Results!$E:$E,"&gt;="&amp;$I$2,Results!$E:$E,"&lt;="&amp;$I$3,Results!$F:$F,"Positive",Results!$L:$L,"Positive")</f>
        <v>0</v>
      </c>
      <c r="D46" s="24"/>
      <c r="E46" s="23">
        <f>COUNTIFS(Results!$E:$E,"&gt;="&amp;$I$2,Results!$E:$E,"&lt;="&amp;$I$3,Results!$F:$F,"Negative",Results!$L:$L,"Positive")</f>
        <v>0</v>
      </c>
      <c r="F46" s="24"/>
      <c r="G46" s="28">
        <f>COUNTIFS(Results!$E:$E,"&gt;="&amp;$I$2,Results!$E:$E,"&lt;="&amp;$I$3,Results!$L:$L,"Positive", Results!$F:$F,"*tive", Results!$L:$L,"&lt;&gt;Not on Form", Results!$L:$L,"&lt;&gt;N/A")</f>
        <v>0</v>
      </c>
      <c r="H46" s="31" t="s">
        <v>81</v>
      </c>
      <c r="J46" s="15" t="str">
        <f t="shared" ref="J46:J48" si="3">IF(SUM(C46:F46)=G46,"","Check Total Value &amp; Category")</f>
        <v/>
      </c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t="14.25" customHeight="1">
      <c r="A47" s="44" t="s">
        <v>82</v>
      </c>
      <c r="B47" s="45"/>
      <c r="C47" s="23">
        <f>COUNTIFS(Results!$E:$E,"&gt;="&amp;$I$2,Results!$E:$E,"&lt;="&amp;$I$3,Results!$F:$F,"Positive",Results!$L:$L,"Negative")</f>
        <v>0</v>
      </c>
      <c r="D47" s="24"/>
      <c r="E47" s="23">
        <f>COUNTIFS(Results!$E:$E,"&gt;="&amp;$I$2,Results!$E:$E,"&lt;="&amp;$I$3,Results!$F:$F,"Negative",Results!$L:$L,"Negative")</f>
        <v>0</v>
      </c>
      <c r="F47" s="24"/>
      <c r="G47" s="28">
        <f>COUNTIFS(Results!$E:$E,"&gt;="&amp;$I$2,Results!$E:$E,"&lt;="&amp;$I$3,Results!$L:$L,"Negative", Results!$F:$F,"*tive", Results!$F:$F,"*tive", Results!$L:$L,"&lt;&gt;Not on Form", Results!$L:$L,"&lt;&gt;N/A")</f>
        <v>0</v>
      </c>
      <c r="H47" s="33"/>
      <c r="J47" s="15" t="str">
        <f t="shared" si="3"/>
        <v/>
      </c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t="14.25" customHeight="1">
      <c r="A48" s="44" t="s">
        <v>83</v>
      </c>
      <c r="B48" s="45"/>
      <c r="C48" s="23">
        <f>COUNTIFS(Results!$E:$E,"&gt;="&amp;$I$2,Results!$E:$E,"&lt;="&amp;$I$3,Results!$F:$F,"Positive",Results!$L:$L,"Not Done")</f>
        <v>0</v>
      </c>
      <c r="D48" s="24"/>
      <c r="E48" s="23">
        <f>COUNTIFS(Results!$E:$E,"&gt;="&amp;$I$2,Results!$E:$E,"&lt;="&amp;$I$3,Results!$F:$F,"Negative",Results!$L:$L,"Not Done")</f>
        <v>0</v>
      </c>
      <c r="F48" s="24"/>
      <c r="G48" s="28">
        <f>COUNTIFS(Results!$E:$E,"&gt;="&amp;$I$2,Results!$E:$E,"&lt;="&amp;$I$3,Results!$L:$L,"Not Done", Results!$F:$F,"*tive", Results!$F:$F,"*tive", Results!$L:$L,"&lt;&gt;Not on Form", Results!$L:$L,"&lt;&gt;N/A")</f>
        <v>0</v>
      </c>
      <c r="H48" s="33"/>
      <c r="J48" s="15" t="str">
        <f t="shared" si="3"/>
        <v/>
      </c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t="14.25" customHeight="1">
      <c r="A49" s="15"/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t="14.25" customHeight="1">
      <c r="A50" s="36"/>
      <c r="B50" s="36"/>
      <c r="C50" s="46" t="s">
        <v>78</v>
      </c>
      <c r="D50" s="24"/>
      <c r="E50" s="46" t="s">
        <v>79</v>
      </c>
      <c r="F50" s="24"/>
      <c r="G50" s="47" t="s">
        <v>49</v>
      </c>
      <c r="H50" s="36"/>
      <c r="I50" s="36"/>
      <c r="J50" s="36"/>
      <c r="K50" s="36"/>
      <c r="L50" s="36"/>
      <c r="M50" s="36"/>
      <c r="N50" s="36"/>
      <c r="O50" s="36"/>
      <c r="P50" s="36"/>
      <c r="Q50" s="36"/>
      <c r="R50" s="36"/>
      <c r="S50" s="36"/>
      <c r="T50" s="36"/>
      <c r="U50" s="36"/>
      <c r="V50" s="36"/>
      <c r="W50" s="36"/>
      <c r="X50" s="36"/>
      <c r="Y50" s="36"/>
      <c r="Z50" s="36"/>
    </row>
    <row r="51" ht="14.25" customHeight="1">
      <c r="A51" s="42" t="s">
        <v>84</v>
      </c>
      <c r="B51" s="37"/>
      <c r="C51" s="48">
        <f>COUNTIFS(Results!$E:$E,"&gt;="&amp;$I$2,Results!$E:$E,"&lt;="&amp;$I$3,Results!$F:$F,"Positive",Results!$P:$P,"CXR")</f>
        <v>0</v>
      </c>
      <c r="D51" s="24"/>
      <c r="E51" s="48">
        <f>COUNTIFS(Results!$E:$E,"&gt;="&amp;$I$2,Results!$E:$E,"&lt;="&amp;$I$3,Results!$F:$F,"Negative",Results!$P:$P,"CXR")</f>
        <v>0</v>
      </c>
      <c r="F51" s="24"/>
      <c r="G51" s="49">
        <f>COUNTIFS(Results!$E:$E,"&gt;="&amp;$I$2,Results!$E:$E,"&lt;="&amp;$I$3,Results!$F:$F,"Negative",Results!$P:$P,"CXR")</f>
        <v>0</v>
      </c>
      <c r="H51" s="40"/>
      <c r="I51" s="40"/>
      <c r="J51" s="40"/>
      <c r="K51" s="40"/>
      <c r="L51" s="40"/>
      <c r="M51" s="40"/>
      <c r="N51" s="40"/>
      <c r="O51" s="40"/>
      <c r="P51" s="40"/>
      <c r="Q51" s="40"/>
      <c r="R51" s="40"/>
      <c r="S51" s="40"/>
      <c r="T51" s="40"/>
      <c r="U51" s="40"/>
      <c r="V51" s="40"/>
      <c r="W51" s="40"/>
      <c r="X51" s="40"/>
      <c r="Y51" s="40"/>
      <c r="Z51" s="40"/>
    </row>
    <row r="52" ht="14.25" customHeight="1">
      <c r="A52" s="15"/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t="14.25" customHeight="1">
      <c r="A53" s="15" t="s">
        <v>85</v>
      </c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t="14.25" customHeight="1">
      <c r="A54" s="28"/>
      <c r="B54" s="28"/>
      <c r="C54" s="23" t="s">
        <v>86</v>
      </c>
      <c r="D54" s="24"/>
      <c r="E54" s="23" t="s">
        <v>87</v>
      </c>
      <c r="F54" s="24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t="14.25" customHeight="1">
      <c r="A55" s="44" t="s">
        <v>88</v>
      </c>
      <c r="B55" s="45"/>
      <c r="C55" s="23"/>
      <c r="D55" s="24"/>
      <c r="E55" s="23"/>
      <c r="F55" s="24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t="14.25" customHeight="1">
      <c r="A56" s="44" t="s">
        <v>89</v>
      </c>
      <c r="B56" s="45"/>
      <c r="C56" s="23"/>
      <c r="D56" s="24"/>
      <c r="E56" s="23"/>
      <c r="F56" s="24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t="14.25" customHeight="1">
      <c r="A57" s="44" t="s">
        <v>90</v>
      </c>
      <c r="B57" s="45"/>
      <c r="C57" s="23">
        <f>COUNTIFS(Results!$E:$E,"&gt;="&amp;$I$2,Results!$E:$E,"&lt;="&amp;$I$3)</f>
        <v>0</v>
      </c>
      <c r="D57" s="24"/>
      <c r="E57" s="23"/>
      <c r="F57" s="24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t="14.25" customHeight="1">
      <c r="A58" s="44" t="s">
        <v>91</v>
      </c>
      <c r="B58" s="45"/>
      <c r="C58" s="23">
        <f>C55+C56-C57</f>
        <v>0</v>
      </c>
      <c r="D58" s="24"/>
      <c r="E58" s="23"/>
      <c r="F58" s="24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t="14.25" customHeight="1">
      <c r="A59" s="50" t="s">
        <v>92</v>
      </c>
      <c r="B59" s="50"/>
      <c r="C59" s="50">
        <f>COUNTIFS(Results!$E:$E,"&gt;="&amp;$I$2,Results!$E:$E,"&lt;="&amp;$I$3,Results!$F:$F,"Error")+COUNTIFS(Results!$E:$E,"&gt;="&amp;$I$2,Results!$E:$E,"&lt;="&amp;$I$3,Results!$F:$F,"Invalid")</f>
        <v>0</v>
      </c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t="14.25" customHeight="1">
      <c r="A60" s="50" t="s">
        <v>93</v>
      </c>
      <c r="B60" s="15"/>
      <c r="C60" s="50">
        <f>COUNTIFS(Results!$E:$E,"&gt;="&amp;$I$2,Results!$E:$E,"&lt;="&amp;$I$3,Results!$F:$F,"No Result")</f>
        <v>0</v>
      </c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t="14.25" customHeight="1">
      <c r="A61" s="15"/>
      <c r="B61" s="15"/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t="14.25" customHeight="1">
      <c r="A62" s="15"/>
      <c r="B62" s="15"/>
      <c r="C62" s="15"/>
      <c r="D62" s="15"/>
      <c r="E62" s="15" t="s">
        <v>94</v>
      </c>
      <c r="F62" s="51"/>
      <c r="G62" s="51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t="14.25" customHeight="1">
      <c r="A63" s="15"/>
      <c r="B63" s="15"/>
      <c r="C63" s="15"/>
      <c r="D63" s="15"/>
      <c r="E63" s="15" t="s">
        <v>95</v>
      </c>
      <c r="F63" s="52"/>
      <c r="G63" s="52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t="14.25" customHeight="1">
      <c r="A64" s="15"/>
      <c r="B64" s="15"/>
      <c r="C64" s="15"/>
      <c r="D64" s="15"/>
      <c r="E64" s="15" t="s">
        <v>96</v>
      </c>
      <c r="F64" s="52"/>
      <c r="G64" s="52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t="14.25" customHeight="1">
      <c r="A65" s="15"/>
      <c r="B65" s="15"/>
      <c r="C65" s="15"/>
      <c r="D65" s="15"/>
      <c r="E65" s="15" t="s">
        <v>97</v>
      </c>
      <c r="F65" s="52"/>
      <c r="G65" s="52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t="14.25" customHeight="1">
      <c r="A66" s="15"/>
      <c r="B66" s="15"/>
      <c r="C66" s="15"/>
      <c r="D66" s="15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t="14.25" customHeight="1">
      <c r="A67" s="15"/>
      <c r="B67" s="15"/>
      <c r="C67" s="15"/>
      <c r="D67" s="15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t="14.25" customHeight="1">
      <c r="A68" s="15"/>
      <c r="B68" s="15"/>
      <c r="C68" s="15"/>
      <c r="D68" s="15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t="14.25" customHeight="1">
      <c r="A69" s="15"/>
      <c r="B69" s="15"/>
      <c r="C69" s="15"/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t="14.25" customHeight="1">
      <c r="A70" s="15"/>
      <c r="B70" s="15"/>
      <c r="C70" s="15"/>
      <c r="D70" s="15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t="14.25" customHeight="1">
      <c r="A71" s="15"/>
      <c r="B71" s="15"/>
      <c r="C71" s="15"/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t="14.25" customHeight="1">
      <c r="A72" s="15"/>
      <c r="B72" s="15"/>
      <c r="C72" s="15"/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t="14.25" customHeight="1">
      <c r="A73" s="15"/>
      <c r="B73" s="15"/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t="14.25" customHeight="1">
      <c r="A74" s="15"/>
      <c r="B74" s="15"/>
      <c r="C74" s="15"/>
      <c r="D74" s="15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t="14.25" customHeight="1">
      <c r="A75" s="15"/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t="14.25" customHeight="1">
      <c r="A76" s="15"/>
      <c r="B76" s="15"/>
      <c r="C76" s="15"/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t="14.25" customHeight="1">
      <c r="A77" s="15"/>
      <c r="B77" s="15"/>
      <c r="C77" s="15"/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t="14.25" customHeight="1">
      <c r="A78" s="15"/>
      <c r="B78" s="15"/>
      <c r="C78" s="15"/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t="14.25" customHeight="1">
      <c r="A79" s="15"/>
      <c r="B79" s="15"/>
      <c r="C79" s="15"/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t="14.25" customHeight="1">
      <c r="A80" s="15"/>
      <c r="B80" s="15"/>
      <c r="C80" s="15"/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t="14.25" customHeight="1">
      <c r="A81" s="15"/>
      <c r="B81" s="15"/>
      <c r="C81" s="15"/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t="14.25" customHeight="1">
      <c r="A82" s="15"/>
      <c r="B82" s="15"/>
      <c r="C82" s="15"/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t="14.25" customHeight="1">
      <c r="A83" s="15"/>
      <c r="B83" s="15"/>
      <c r="C83" s="15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t="14.25" customHeight="1">
      <c r="A84" s="15"/>
      <c r="B84" s="15"/>
      <c r="C84" s="15"/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t="14.25" customHeight="1">
      <c r="A85" s="15"/>
      <c r="B85" s="15"/>
      <c r="C85" s="15"/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t="14.25" customHeight="1">
      <c r="A86" s="15"/>
      <c r="B86" s="15"/>
      <c r="C86" s="15"/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t="14.25" customHeight="1">
      <c r="A87" s="15"/>
      <c r="B87" s="15"/>
      <c r="C87" s="15"/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t="14.25" customHeight="1">
      <c r="A88" s="15"/>
      <c r="B88" s="15"/>
      <c r="C88" s="15"/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t="14.25" customHeight="1">
      <c r="A89" s="15"/>
      <c r="B89" s="15"/>
      <c r="C89" s="15"/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t="14.25" customHeight="1">
      <c r="A90" s="15"/>
      <c r="B90" s="15"/>
      <c r="C90" s="15"/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t="14.25" customHeight="1">
      <c r="A91" s="15"/>
      <c r="B91" s="15"/>
      <c r="C91" s="15"/>
      <c r="D91" s="15"/>
      <c r="E91" s="15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t="14.25" customHeight="1">
      <c r="A92" s="15"/>
      <c r="B92" s="15"/>
      <c r="C92" s="15"/>
      <c r="D92" s="15"/>
      <c r="E92" s="15"/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t="14.25" customHeight="1">
      <c r="A93" s="15"/>
      <c r="B93" s="15"/>
      <c r="C93" s="15"/>
      <c r="D93" s="15"/>
      <c r="E93" s="15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t="14.25" customHeight="1">
      <c r="A94" s="15"/>
      <c r="B94" s="15"/>
      <c r="C94" s="15"/>
      <c r="D94" s="15"/>
      <c r="E94" s="15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t="14.25" customHeight="1">
      <c r="A95" s="15"/>
      <c r="B95" s="15"/>
      <c r="C95" s="15"/>
      <c r="D95" s="15"/>
      <c r="E95" s="15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t="14.25" customHeight="1">
      <c r="A96" s="15"/>
      <c r="B96" s="15"/>
      <c r="C96" s="15"/>
      <c r="D96" s="15"/>
      <c r="E96" s="15"/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t="14.25" customHeight="1">
      <c r="A97" s="15"/>
      <c r="B97" s="15"/>
      <c r="C97" s="15"/>
      <c r="D97" s="15"/>
      <c r="E97" s="15"/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t="14.25" customHeight="1">
      <c r="A98" s="15"/>
      <c r="B98" s="15"/>
      <c r="C98" s="15"/>
      <c r="D98" s="15"/>
      <c r="E98" s="15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t="14.25" customHeight="1">
      <c r="A99" s="15"/>
      <c r="B99" s="15"/>
      <c r="C99" s="15"/>
      <c r="D99" s="15"/>
      <c r="E99" s="15"/>
      <c r="F99" s="15"/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t="14.25" customHeight="1">
      <c r="A100" s="15"/>
      <c r="B100" s="15"/>
      <c r="C100" s="15"/>
      <c r="D100" s="15"/>
      <c r="E100" s="15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t="14.25" customHeight="1">
      <c r="A101" s="15"/>
      <c r="B101" s="15"/>
      <c r="C101" s="15"/>
      <c r="D101" s="15"/>
      <c r="E101" s="15"/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t="14.25" customHeight="1">
      <c r="A102" s="15"/>
      <c r="B102" s="15"/>
      <c r="C102" s="15"/>
      <c r="D102" s="15"/>
      <c r="E102" s="15"/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t="14.25" customHeight="1">
      <c r="A103" s="15"/>
      <c r="B103" s="15"/>
      <c r="C103" s="15"/>
      <c r="D103" s="15"/>
      <c r="E103" s="15"/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t="14.25" customHeight="1">
      <c r="A104" s="15"/>
      <c r="B104" s="15"/>
      <c r="C104" s="15"/>
      <c r="D104" s="15"/>
      <c r="E104" s="15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t="14.25" customHeight="1">
      <c r="A105" s="15"/>
      <c r="B105" s="15"/>
      <c r="C105" s="15"/>
      <c r="D105" s="15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t="14.25" customHeight="1">
      <c r="A106" s="15"/>
      <c r="B106" s="15"/>
      <c r="C106" s="15"/>
      <c r="D106" s="15"/>
      <c r="E106" s="15"/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t="14.25" customHeight="1">
      <c r="A107" s="15"/>
      <c r="B107" s="15"/>
      <c r="C107" s="15"/>
      <c r="D107" s="15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t="14.25" customHeight="1">
      <c r="A108" s="15"/>
      <c r="B108" s="15"/>
      <c r="C108" s="15"/>
      <c r="D108" s="15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t="14.25" customHeight="1">
      <c r="A109" s="15"/>
      <c r="B109" s="15"/>
      <c r="C109" s="15"/>
      <c r="D109" s="15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t="14.25" customHeight="1">
      <c r="A110" s="15"/>
      <c r="B110" s="15"/>
      <c r="C110" s="15"/>
      <c r="D110" s="15"/>
      <c r="E110" s="15"/>
      <c r="F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t="14.25" customHeight="1">
      <c r="A111" s="15"/>
      <c r="B111" s="15"/>
      <c r="C111" s="15"/>
      <c r="D111" s="15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t="14.25" customHeight="1">
      <c r="A112" s="15"/>
      <c r="B112" s="15"/>
      <c r="C112" s="15"/>
      <c r="D112" s="15"/>
      <c r="E112" s="15"/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t="14.25" customHeight="1">
      <c r="A113" s="15"/>
      <c r="B113" s="15"/>
      <c r="C113" s="15"/>
      <c r="D113" s="15"/>
      <c r="E113" s="15"/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t="14.25" customHeight="1">
      <c r="A114" s="15"/>
      <c r="B114" s="15"/>
      <c r="C114" s="15"/>
      <c r="D114" s="15"/>
      <c r="E114" s="15"/>
      <c r="F114" s="15"/>
      <c r="G114" s="15"/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t="14.25" customHeight="1">
      <c r="A115" s="15"/>
      <c r="B115" s="15"/>
      <c r="C115" s="15"/>
      <c r="D115" s="15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t="14.25" customHeight="1">
      <c r="A116" s="15"/>
      <c r="B116" s="15"/>
      <c r="C116" s="15"/>
      <c r="D116" s="15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t="14.25" customHeight="1">
      <c r="A117" s="15"/>
      <c r="B117" s="15"/>
      <c r="C117" s="15"/>
      <c r="D117" s="15"/>
      <c r="E117" s="15"/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t="14.25" customHeight="1">
      <c r="A118" s="15"/>
      <c r="B118" s="15"/>
      <c r="C118" s="15"/>
      <c r="D118" s="15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t="14.25" customHeight="1">
      <c r="A119" s="15"/>
      <c r="B119" s="15"/>
      <c r="C119" s="15"/>
      <c r="D119" s="15"/>
      <c r="E119" s="15"/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t="14.25" customHeight="1">
      <c r="A120" s="15"/>
      <c r="B120" s="15"/>
      <c r="C120" s="15"/>
      <c r="D120" s="15"/>
      <c r="E120" s="15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t="14.25" customHeight="1">
      <c r="A121" s="15"/>
      <c r="B121" s="15"/>
      <c r="C121" s="15"/>
      <c r="D121" s="15"/>
      <c r="E121" s="15"/>
      <c r="F121" s="15"/>
      <c r="G121" s="15"/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t="14.25" customHeight="1">
      <c r="A122" s="15"/>
      <c r="B122" s="15"/>
      <c r="C122" s="15"/>
      <c r="D122" s="15"/>
      <c r="E122" s="15"/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t="14.25" customHeight="1">
      <c r="A123" s="15"/>
      <c r="B123" s="15"/>
      <c r="C123" s="15"/>
      <c r="D123" s="15"/>
      <c r="E123" s="15"/>
      <c r="F123" s="15"/>
      <c r="G123" s="15"/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t="14.25" customHeight="1">
      <c r="A124" s="15"/>
      <c r="B124" s="15"/>
      <c r="C124" s="15"/>
      <c r="D124" s="15"/>
      <c r="E124" s="15"/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t="14.25" customHeight="1">
      <c r="A125" s="15"/>
      <c r="B125" s="15"/>
      <c r="C125" s="15"/>
      <c r="D125" s="15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t="14.25" customHeight="1">
      <c r="A126" s="15"/>
      <c r="B126" s="15"/>
      <c r="C126" s="15"/>
      <c r="D126" s="15"/>
      <c r="E126" s="15"/>
      <c r="F126" s="15"/>
      <c r="G126" s="15"/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t="14.25" customHeight="1">
      <c r="A127" s="15"/>
      <c r="B127" s="15"/>
      <c r="C127" s="15"/>
      <c r="D127" s="15"/>
      <c r="E127" s="15"/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t="14.25" customHeight="1">
      <c r="A128" s="15"/>
      <c r="B128" s="15"/>
      <c r="C128" s="15"/>
      <c r="D128" s="15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t="14.25" customHeight="1">
      <c r="A129" s="15"/>
      <c r="B129" s="15"/>
      <c r="C129" s="15"/>
      <c r="D129" s="15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t="14.25" customHeight="1">
      <c r="A130" s="15"/>
      <c r="B130" s="15"/>
      <c r="C130" s="15"/>
      <c r="D130" s="15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t="14.25" customHeight="1">
      <c r="A131" s="15"/>
      <c r="B131" s="15"/>
      <c r="C131" s="15"/>
      <c r="D131" s="15"/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t="14.25" customHeight="1">
      <c r="A132" s="15"/>
      <c r="B132" s="15"/>
      <c r="C132" s="15"/>
      <c r="D132" s="15"/>
      <c r="E132" s="15"/>
      <c r="F132" s="15"/>
      <c r="G132" s="15"/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t="14.25" customHeight="1">
      <c r="A133" s="15"/>
      <c r="B133" s="15"/>
      <c r="C133" s="15"/>
      <c r="D133" s="15"/>
      <c r="E133" s="15"/>
      <c r="F133" s="15"/>
      <c r="G133" s="15"/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t="14.25" customHeight="1">
      <c r="A134" s="15"/>
      <c r="B134" s="15"/>
      <c r="C134" s="15"/>
      <c r="D134" s="15"/>
      <c r="E134" s="15"/>
      <c r="F134" s="15"/>
      <c r="G134" s="15"/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t="14.25" customHeight="1">
      <c r="A135" s="15"/>
      <c r="B135" s="15"/>
      <c r="C135" s="15"/>
      <c r="D135" s="15"/>
      <c r="E135" s="15"/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t="14.25" customHeight="1">
      <c r="A136" s="15"/>
      <c r="B136" s="15"/>
      <c r="C136" s="15"/>
      <c r="D136" s="15"/>
      <c r="E136" s="15"/>
      <c r="F136" s="15"/>
      <c r="G136" s="15"/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t="14.25" customHeight="1">
      <c r="A137" s="15"/>
      <c r="B137" s="15"/>
      <c r="C137" s="15"/>
      <c r="D137" s="15"/>
      <c r="E137" s="15"/>
      <c r="F137" s="15"/>
      <c r="G137" s="15"/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t="14.25" customHeight="1">
      <c r="A138" s="15"/>
      <c r="B138" s="15"/>
      <c r="C138" s="15"/>
      <c r="D138" s="15"/>
      <c r="E138" s="15"/>
      <c r="F138" s="15"/>
      <c r="G138" s="15"/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t="14.25" customHeight="1">
      <c r="A139" s="15"/>
      <c r="B139" s="15"/>
      <c r="C139" s="15"/>
      <c r="D139" s="15"/>
      <c r="E139" s="15"/>
      <c r="F139" s="15"/>
      <c r="G139" s="15"/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t="14.25" customHeight="1">
      <c r="A140" s="15"/>
      <c r="B140" s="15"/>
      <c r="C140" s="15"/>
      <c r="D140" s="15"/>
      <c r="E140" s="15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t="14.25" customHeight="1">
      <c r="A141" s="15"/>
      <c r="B141" s="15"/>
      <c r="C141" s="15"/>
      <c r="D141" s="15"/>
      <c r="E141" s="15"/>
      <c r="F141" s="15"/>
      <c r="G141" s="15"/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t="14.25" customHeight="1">
      <c r="A142" s="15"/>
      <c r="B142" s="15"/>
      <c r="C142" s="15"/>
      <c r="D142" s="15"/>
      <c r="E142" s="15"/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t="14.25" customHeight="1">
      <c r="A143" s="15"/>
      <c r="B143" s="15"/>
      <c r="C143" s="15"/>
      <c r="D143" s="15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t="14.25" customHeight="1">
      <c r="A144" s="15"/>
      <c r="B144" s="15"/>
      <c r="C144" s="15"/>
      <c r="D144" s="15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t="14.25" customHeight="1">
      <c r="A145" s="15"/>
      <c r="B145" s="15"/>
      <c r="C145" s="15"/>
      <c r="D145" s="15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t="14.25" customHeight="1">
      <c r="A146" s="15"/>
      <c r="B146" s="15"/>
      <c r="C146" s="15"/>
      <c r="D146" s="15"/>
      <c r="E146" s="15"/>
      <c r="F146" s="15"/>
      <c r="G146" s="15"/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t="14.25" customHeight="1">
      <c r="A147" s="15"/>
      <c r="B147" s="15"/>
      <c r="C147" s="15"/>
      <c r="D147" s="15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t="14.25" customHeight="1">
      <c r="A148" s="15"/>
      <c r="B148" s="15"/>
      <c r="C148" s="15"/>
      <c r="D148" s="15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t="14.25" customHeight="1">
      <c r="A149" s="15"/>
      <c r="B149" s="15"/>
      <c r="C149" s="15"/>
      <c r="D149" s="15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t="14.25" customHeight="1">
      <c r="A150" s="15"/>
      <c r="B150" s="15"/>
      <c r="C150" s="15"/>
      <c r="D150" s="15"/>
      <c r="E150" s="15"/>
      <c r="F150" s="15"/>
      <c r="G150" s="15"/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t="14.25" customHeight="1">
      <c r="A151" s="15"/>
      <c r="B151" s="15"/>
      <c r="C151" s="15"/>
      <c r="D151" s="15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t="14.25" customHeight="1">
      <c r="A152" s="15"/>
      <c r="B152" s="15"/>
      <c r="C152" s="15"/>
      <c r="D152" s="15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t="14.25" customHeight="1">
      <c r="A153" s="15"/>
      <c r="B153" s="15"/>
      <c r="C153" s="15"/>
      <c r="D153" s="15"/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t="14.25" customHeight="1">
      <c r="A154" s="15"/>
      <c r="B154" s="15"/>
      <c r="C154" s="15"/>
      <c r="D154" s="15"/>
      <c r="E154" s="15"/>
      <c r="F154" s="15"/>
      <c r="G154" s="15"/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t="14.25" customHeight="1">
      <c r="A155" s="15"/>
      <c r="B155" s="15"/>
      <c r="C155" s="15"/>
      <c r="D155" s="15"/>
      <c r="E155" s="15"/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t="14.25" customHeight="1">
      <c r="A156" s="15"/>
      <c r="B156" s="15"/>
      <c r="C156" s="15"/>
      <c r="D156" s="15"/>
      <c r="E156" s="15"/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t="14.25" customHeight="1">
      <c r="A157" s="15"/>
      <c r="B157" s="15"/>
      <c r="C157" s="15"/>
      <c r="D157" s="15"/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t="14.25" customHeight="1">
      <c r="A158" s="15"/>
      <c r="B158" s="15"/>
      <c r="C158" s="15"/>
      <c r="D158" s="15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t="14.25" customHeight="1">
      <c r="A159" s="15"/>
      <c r="B159" s="15"/>
      <c r="C159" s="15"/>
      <c r="D159" s="15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t="14.25" customHeight="1">
      <c r="A160" s="15"/>
      <c r="B160" s="15"/>
      <c r="C160" s="15"/>
      <c r="D160" s="15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t="14.25" customHeight="1">
      <c r="A161" s="15"/>
      <c r="B161" s="15"/>
      <c r="C161" s="15"/>
      <c r="D161" s="15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t="14.25" customHeight="1">
      <c r="A162" s="15"/>
      <c r="B162" s="15"/>
      <c r="C162" s="15"/>
      <c r="D162" s="15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t="14.25" customHeight="1">
      <c r="A163" s="15"/>
      <c r="B163" s="15"/>
      <c r="C163" s="15"/>
      <c r="D163" s="15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t="14.25" customHeight="1">
      <c r="A164" s="15"/>
      <c r="B164" s="15"/>
      <c r="C164" s="15"/>
      <c r="D164" s="15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t="14.25" customHeight="1">
      <c r="A165" s="15"/>
      <c r="B165" s="15"/>
      <c r="C165" s="15"/>
      <c r="D165" s="15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t="14.25" customHeight="1">
      <c r="A166" s="15"/>
      <c r="B166" s="15"/>
      <c r="C166" s="15"/>
      <c r="D166" s="15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t="14.25" customHeight="1">
      <c r="A167" s="15"/>
      <c r="B167" s="15"/>
      <c r="C167" s="15"/>
      <c r="D167" s="15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t="14.25" customHeight="1">
      <c r="A168" s="15"/>
      <c r="B168" s="15"/>
      <c r="C168" s="15"/>
      <c r="D168" s="15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t="14.25" customHeight="1">
      <c r="A169" s="15"/>
      <c r="B169" s="15"/>
      <c r="C169" s="15"/>
      <c r="D169" s="15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t="14.25" customHeight="1">
      <c r="A170" s="15"/>
      <c r="B170" s="15"/>
      <c r="C170" s="15"/>
      <c r="D170" s="15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t="14.25" customHeight="1">
      <c r="A171" s="15"/>
      <c r="B171" s="15"/>
      <c r="C171" s="15"/>
      <c r="D171" s="15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t="14.25" customHeight="1">
      <c r="A172" s="15"/>
      <c r="B172" s="15"/>
      <c r="C172" s="15"/>
      <c r="D172" s="15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t="14.25" customHeight="1">
      <c r="A173" s="15"/>
      <c r="B173" s="15"/>
      <c r="C173" s="15"/>
      <c r="D173" s="15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t="14.25" customHeight="1">
      <c r="A174" s="15"/>
      <c r="B174" s="15"/>
      <c r="C174" s="15"/>
      <c r="D174" s="15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t="14.25" customHeight="1">
      <c r="A175" s="15"/>
      <c r="B175" s="15"/>
      <c r="C175" s="15"/>
      <c r="D175" s="15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t="14.25" customHeight="1">
      <c r="A176" s="15"/>
      <c r="B176" s="15"/>
      <c r="C176" s="15"/>
      <c r="D176" s="15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t="14.25" customHeight="1">
      <c r="A177" s="15"/>
      <c r="B177" s="15"/>
      <c r="C177" s="15"/>
      <c r="D177" s="15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t="14.25" customHeight="1">
      <c r="A178" s="15"/>
      <c r="B178" s="15"/>
      <c r="C178" s="15"/>
      <c r="D178" s="15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t="14.25" customHeight="1">
      <c r="A179" s="15"/>
      <c r="B179" s="15"/>
      <c r="C179" s="15"/>
      <c r="D179" s="15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t="14.25" customHeight="1">
      <c r="A180" s="15"/>
      <c r="B180" s="15"/>
      <c r="C180" s="15"/>
      <c r="D180" s="15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t="14.25" customHeight="1">
      <c r="A181" s="15"/>
      <c r="B181" s="15"/>
      <c r="C181" s="15"/>
      <c r="D181" s="15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t="14.25" customHeight="1">
      <c r="A182" s="15"/>
      <c r="B182" s="15"/>
      <c r="C182" s="15"/>
      <c r="D182" s="15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t="14.25" customHeight="1">
      <c r="A183" s="15"/>
      <c r="B183" s="15"/>
      <c r="C183" s="15"/>
      <c r="D183" s="15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t="14.25" customHeight="1">
      <c r="A184" s="15"/>
      <c r="B184" s="15"/>
      <c r="C184" s="15"/>
      <c r="D184" s="15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t="14.25" customHeight="1">
      <c r="A185" s="15"/>
      <c r="B185" s="15"/>
      <c r="C185" s="15"/>
      <c r="D185" s="15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t="14.25" customHeight="1">
      <c r="A186" s="15"/>
      <c r="B186" s="15"/>
      <c r="C186" s="15"/>
      <c r="D186" s="15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t="14.25" customHeight="1">
      <c r="A187" s="15"/>
      <c r="B187" s="15"/>
      <c r="C187" s="15"/>
      <c r="D187" s="15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t="14.25" customHeight="1">
      <c r="A188" s="15"/>
      <c r="B188" s="15"/>
      <c r="C188" s="15"/>
      <c r="D188" s="15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t="14.25" customHeight="1">
      <c r="A189" s="15"/>
      <c r="B189" s="15"/>
      <c r="C189" s="15"/>
      <c r="D189" s="15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t="14.25" customHeight="1">
      <c r="A190" s="15"/>
      <c r="B190" s="15"/>
      <c r="C190" s="15"/>
      <c r="D190" s="15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t="14.25" customHeight="1">
      <c r="A191" s="15"/>
      <c r="B191" s="15"/>
      <c r="C191" s="15"/>
      <c r="D191" s="15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t="14.25" customHeight="1">
      <c r="A192" s="15"/>
      <c r="B192" s="15"/>
      <c r="C192" s="15"/>
      <c r="D192" s="15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t="14.25" customHeight="1">
      <c r="A193" s="15"/>
      <c r="B193" s="15"/>
      <c r="C193" s="15"/>
      <c r="D193" s="15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t="14.25" customHeight="1">
      <c r="A194" s="15"/>
      <c r="B194" s="15"/>
      <c r="C194" s="15"/>
      <c r="D194" s="15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t="14.25" customHeight="1">
      <c r="A195" s="15"/>
      <c r="B195" s="15"/>
      <c r="C195" s="15"/>
      <c r="D195" s="15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t="14.25" customHeight="1">
      <c r="A196" s="15"/>
      <c r="B196" s="15"/>
      <c r="C196" s="15"/>
      <c r="D196" s="15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t="14.25" customHeight="1">
      <c r="A197" s="15"/>
      <c r="B197" s="15"/>
      <c r="C197" s="15"/>
      <c r="D197" s="15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t="14.25" customHeight="1">
      <c r="A198" s="15"/>
      <c r="B198" s="15"/>
      <c r="C198" s="15"/>
      <c r="D198" s="15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t="14.25" customHeight="1">
      <c r="A199" s="15"/>
      <c r="B199" s="15"/>
      <c r="C199" s="15"/>
      <c r="D199" s="15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t="14.25" customHeight="1">
      <c r="A200" s="15"/>
      <c r="B200" s="15"/>
      <c r="C200" s="15"/>
      <c r="D200" s="15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t="14.25" customHeight="1">
      <c r="A201" s="15"/>
      <c r="B201" s="15"/>
      <c r="C201" s="15"/>
      <c r="D201" s="15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t="14.25" customHeight="1">
      <c r="A202" s="15"/>
      <c r="B202" s="15"/>
      <c r="C202" s="15"/>
      <c r="D202" s="15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t="14.25" customHeight="1">
      <c r="A203" s="15"/>
      <c r="B203" s="15"/>
      <c r="C203" s="15"/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t="14.25" customHeight="1">
      <c r="A204" s="15"/>
      <c r="B204" s="15"/>
      <c r="C204" s="15"/>
      <c r="D204" s="15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t="14.25" customHeight="1">
      <c r="A205" s="15"/>
      <c r="B205" s="15"/>
      <c r="C205" s="15"/>
      <c r="D205" s="15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t="14.25" customHeight="1">
      <c r="A206" s="15"/>
      <c r="B206" s="15"/>
      <c r="C206" s="15"/>
      <c r="D206" s="15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t="14.25" customHeight="1">
      <c r="A207" s="15"/>
      <c r="B207" s="15"/>
      <c r="C207" s="15"/>
      <c r="D207" s="15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t="14.25" customHeight="1">
      <c r="A208" s="15"/>
      <c r="B208" s="15"/>
      <c r="C208" s="15"/>
      <c r="D208" s="15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t="14.25" customHeight="1">
      <c r="A209" s="15"/>
      <c r="B209" s="15"/>
      <c r="C209" s="15"/>
      <c r="D209" s="15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t="14.25" customHeight="1">
      <c r="A210" s="15"/>
      <c r="B210" s="15"/>
      <c r="C210" s="15"/>
      <c r="D210" s="15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t="14.25" customHeight="1">
      <c r="A211" s="15"/>
      <c r="B211" s="15"/>
      <c r="C211" s="15"/>
      <c r="D211" s="15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t="14.25" customHeight="1">
      <c r="A212" s="15"/>
      <c r="B212" s="15"/>
      <c r="C212" s="15"/>
      <c r="D212" s="15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t="14.25" customHeight="1">
      <c r="A213" s="15"/>
      <c r="B213" s="15"/>
      <c r="C213" s="15"/>
      <c r="D213" s="15"/>
      <c r="E213" s="15"/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t="14.25" customHeight="1">
      <c r="A214" s="15"/>
      <c r="B214" s="15"/>
      <c r="C214" s="15"/>
      <c r="D214" s="15"/>
      <c r="E214" s="15"/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t="14.25" customHeight="1">
      <c r="A215" s="15"/>
      <c r="B215" s="15"/>
      <c r="C215" s="15"/>
      <c r="D215" s="15"/>
      <c r="E215" s="15"/>
      <c r="F215" s="15"/>
      <c r="G215" s="15"/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t="14.25" customHeight="1">
      <c r="A216" s="15"/>
      <c r="B216" s="15"/>
      <c r="C216" s="15"/>
      <c r="D216" s="15"/>
      <c r="E216" s="15"/>
      <c r="F216" s="15"/>
      <c r="G216" s="15"/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t="14.25" customHeight="1">
      <c r="A217" s="15"/>
      <c r="B217" s="15"/>
      <c r="C217" s="15"/>
      <c r="D217" s="15"/>
      <c r="E217" s="15"/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t="14.25" customHeight="1">
      <c r="A218" s="15"/>
      <c r="B218" s="15"/>
      <c r="C218" s="15"/>
      <c r="D218" s="15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t="14.25" customHeight="1">
      <c r="A219" s="15"/>
      <c r="B219" s="15"/>
      <c r="C219" s="15"/>
      <c r="D219" s="15"/>
      <c r="E219" s="15"/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t="14.25" customHeight="1">
      <c r="A220" s="15"/>
      <c r="B220" s="15"/>
      <c r="C220" s="15"/>
      <c r="D220" s="15"/>
      <c r="E220" s="15"/>
      <c r="F220" s="15"/>
      <c r="G220" s="15"/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t="14.25" customHeight="1">
      <c r="A221" s="15"/>
      <c r="B221" s="15"/>
      <c r="C221" s="15"/>
      <c r="D221" s="15"/>
      <c r="E221" s="15"/>
      <c r="F221" s="15"/>
      <c r="G221" s="15"/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t="14.25" customHeight="1">
      <c r="A222" s="15"/>
      <c r="B222" s="15"/>
      <c r="C222" s="15"/>
      <c r="D222" s="15"/>
      <c r="E222" s="15"/>
      <c r="F222" s="15"/>
      <c r="G222" s="15"/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t="14.25" customHeight="1">
      <c r="A223" s="15"/>
      <c r="B223" s="15"/>
      <c r="C223" s="15"/>
      <c r="D223" s="15"/>
      <c r="E223" s="15"/>
      <c r="F223" s="15"/>
      <c r="G223" s="15"/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t="14.25" customHeight="1">
      <c r="A224" s="15"/>
      <c r="B224" s="15"/>
      <c r="C224" s="15"/>
      <c r="D224" s="15"/>
      <c r="E224" s="15"/>
      <c r="F224" s="15"/>
      <c r="G224" s="15"/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t="14.25" customHeight="1">
      <c r="A225" s="15"/>
      <c r="B225" s="15"/>
      <c r="C225" s="15"/>
      <c r="D225" s="15"/>
      <c r="E225" s="15"/>
      <c r="F225" s="15"/>
      <c r="G225" s="15"/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t="14.25" customHeight="1">
      <c r="A226" s="15"/>
      <c r="B226" s="15"/>
      <c r="C226" s="15"/>
      <c r="D226" s="15"/>
      <c r="E226" s="15"/>
      <c r="F226" s="15"/>
      <c r="G226" s="15"/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t="14.25" customHeight="1">
      <c r="A227" s="15"/>
      <c r="B227" s="15"/>
      <c r="C227" s="15"/>
      <c r="D227" s="15"/>
      <c r="E227" s="15"/>
      <c r="F227" s="15"/>
      <c r="G227" s="15"/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t="14.25" customHeight="1">
      <c r="A228" s="15"/>
      <c r="B228" s="15"/>
      <c r="C228" s="15"/>
      <c r="D228" s="15"/>
      <c r="E228" s="15"/>
      <c r="F228" s="15"/>
      <c r="G228" s="15"/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t="14.25" customHeight="1">
      <c r="A229" s="15"/>
      <c r="B229" s="15"/>
      <c r="C229" s="15"/>
      <c r="D229" s="15"/>
      <c r="E229" s="15"/>
      <c r="F229" s="15"/>
      <c r="G229" s="15"/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t="14.25" customHeight="1">
      <c r="A230" s="15"/>
      <c r="B230" s="15"/>
      <c r="C230" s="15"/>
      <c r="D230" s="15"/>
      <c r="E230" s="15"/>
      <c r="F230" s="15"/>
      <c r="G230" s="15"/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t="14.25" customHeight="1">
      <c r="A231" s="15"/>
      <c r="B231" s="15"/>
      <c r="C231" s="15"/>
      <c r="D231" s="15"/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t="14.25" customHeight="1">
      <c r="A232" s="15"/>
      <c r="B232" s="15"/>
      <c r="C232" s="15"/>
      <c r="D232" s="15"/>
      <c r="E232" s="15"/>
      <c r="F232" s="15"/>
      <c r="G232" s="15"/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t="14.25" customHeight="1">
      <c r="A233" s="15"/>
      <c r="B233" s="15"/>
      <c r="C233" s="15"/>
      <c r="D233" s="15"/>
      <c r="E233" s="15"/>
      <c r="F233" s="15"/>
      <c r="G233" s="15"/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t="14.25" customHeight="1">
      <c r="A234" s="15"/>
      <c r="B234" s="15"/>
      <c r="C234" s="15"/>
      <c r="D234" s="15"/>
      <c r="E234" s="15"/>
      <c r="F234" s="15"/>
      <c r="G234" s="15"/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t="14.25" customHeight="1">
      <c r="A235" s="15"/>
      <c r="B235" s="15"/>
      <c r="C235" s="15"/>
      <c r="D235" s="15"/>
      <c r="E235" s="15"/>
      <c r="F235" s="15"/>
      <c r="G235" s="15"/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t="14.25" customHeight="1">
      <c r="A236" s="15"/>
      <c r="B236" s="15"/>
      <c r="C236" s="15"/>
      <c r="D236" s="15"/>
      <c r="E236" s="15"/>
      <c r="F236" s="15"/>
      <c r="G236" s="15"/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t="14.25" customHeight="1">
      <c r="A237" s="15"/>
      <c r="B237" s="15"/>
      <c r="C237" s="15"/>
      <c r="D237" s="15"/>
      <c r="E237" s="15"/>
      <c r="F237" s="15"/>
      <c r="G237" s="15"/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t="14.25" customHeight="1">
      <c r="A238" s="15"/>
      <c r="B238" s="15"/>
      <c r="C238" s="15"/>
      <c r="D238" s="15"/>
      <c r="E238" s="15"/>
      <c r="F238" s="15"/>
      <c r="G238" s="15"/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t="14.25" customHeight="1">
      <c r="A239" s="15"/>
      <c r="B239" s="15"/>
      <c r="C239" s="15"/>
      <c r="D239" s="15"/>
      <c r="E239" s="15"/>
      <c r="F239" s="15"/>
      <c r="G239" s="15"/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t="14.25" customHeight="1">
      <c r="A240" s="15"/>
      <c r="B240" s="15"/>
      <c r="C240" s="15"/>
      <c r="D240" s="15"/>
      <c r="E240" s="15"/>
      <c r="F240" s="15"/>
      <c r="G240" s="15"/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t="14.25" customHeight="1">
      <c r="A241" s="15"/>
      <c r="B241" s="15"/>
      <c r="C241" s="15"/>
      <c r="D241" s="15"/>
      <c r="E241" s="15"/>
      <c r="F241" s="15"/>
      <c r="G241" s="15"/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t="14.25" customHeight="1">
      <c r="A242" s="15"/>
      <c r="B242" s="15"/>
      <c r="C242" s="15"/>
      <c r="D242" s="15"/>
      <c r="E242" s="15"/>
      <c r="F242" s="15"/>
      <c r="G242" s="15"/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t="14.25" customHeight="1">
      <c r="A243" s="15"/>
      <c r="B243" s="15"/>
      <c r="C243" s="15"/>
      <c r="D243" s="15"/>
      <c r="E243" s="15"/>
      <c r="F243" s="15"/>
      <c r="G243" s="15"/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t="14.25" customHeight="1">
      <c r="A244" s="15"/>
      <c r="B244" s="15"/>
      <c r="C244" s="15"/>
      <c r="D244" s="15"/>
      <c r="E244" s="15"/>
      <c r="F244" s="15"/>
      <c r="G244" s="15"/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t="14.25" customHeight="1">
      <c r="A245" s="15"/>
      <c r="B245" s="15"/>
      <c r="C245" s="15"/>
      <c r="D245" s="15"/>
      <c r="E245" s="15"/>
      <c r="F245" s="15"/>
      <c r="G245" s="15"/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t="14.25" customHeight="1">
      <c r="A246" s="15"/>
      <c r="B246" s="15"/>
      <c r="C246" s="15"/>
      <c r="D246" s="15"/>
      <c r="E246" s="15"/>
      <c r="F246" s="15"/>
      <c r="G246" s="15"/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t="14.25" customHeight="1">
      <c r="A247" s="15"/>
      <c r="B247" s="15"/>
      <c r="C247" s="15"/>
      <c r="D247" s="15"/>
      <c r="E247" s="15"/>
      <c r="F247" s="15"/>
      <c r="G247" s="15"/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t="14.25" customHeight="1">
      <c r="A248" s="15"/>
      <c r="B248" s="15"/>
      <c r="C248" s="15"/>
      <c r="D248" s="15"/>
      <c r="E248" s="15"/>
      <c r="F248" s="15"/>
      <c r="G248" s="15"/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t="14.25" customHeight="1">
      <c r="A249" s="15"/>
      <c r="B249" s="15"/>
      <c r="C249" s="15"/>
      <c r="D249" s="15"/>
      <c r="E249" s="15"/>
      <c r="F249" s="15"/>
      <c r="G249" s="15"/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t="14.25" customHeight="1">
      <c r="A250" s="15"/>
      <c r="B250" s="15"/>
      <c r="C250" s="15"/>
      <c r="D250" s="15"/>
      <c r="E250" s="15"/>
      <c r="F250" s="15"/>
      <c r="G250" s="15"/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t="14.25" customHeight="1">
      <c r="A251" s="15"/>
      <c r="B251" s="15"/>
      <c r="C251" s="15"/>
      <c r="D251" s="15"/>
      <c r="E251" s="15"/>
      <c r="F251" s="15"/>
      <c r="G251" s="15"/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t="14.25" customHeight="1">
      <c r="A252" s="15"/>
      <c r="B252" s="15"/>
      <c r="C252" s="15"/>
      <c r="D252" s="15"/>
      <c r="E252" s="15"/>
      <c r="F252" s="15"/>
      <c r="G252" s="15"/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t="14.25" customHeight="1">
      <c r="A253" s="15"/>
      <c r="B253" s="15"/>
      <c r="C253" s="15"/>
      <c r="D253" s="15"/>
      <c r="E253" s="15"/>
      <c r="F253" s="15"/>
      <c r="G253" s="15"/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t="14.25" customHeight="1">
      <c r="A254" s="15"/>
      <c r="B254" s="15"/>
      <c r="C254" s="15"/>
      <c r="D254" s="15"/>
      <c r="E254" s="15"/>
      <c r="F254" s="15"/>
      <c r="G254" s="15"/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t="14.25" customHeight="1">
      <c r="A255" s="15"/>
      <c r="B255" s="15"/>
      <c r="C255" s="15"/>
      <c r="D255" s="15"/>
      <c r="E255" s="15"/>
      <c r="F255" s="15"/>
      <c r="G255" s="15"/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t="14.25" customHeight="1">
      <c r="A256" s="15"/>
      <c r="B256" s="15"/>
      <c r="C256" s="15"/>
      <c r="D256" s="15"/>
      <c r="E256" s="15"/>
      <c r="F256" s="15"/>
      <c r="G256" s="15"/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t="14.25" customHeight="1">
      <c r="A257" s="15"/>
      <c r="B257" s="15"/>
      <c r="C257" s="15"/>
      <c r="D257" s="15"/>
      <c r="E257" s="15"/>
      <c r="F257" s="15"/>
      <c r="G257" s="15"/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t="14.25" customHeight="1">
      <c r="A258" s="15"/>
      <c r="B258" s="15"/>
      <c r="C258" s="15"/>
      <c r="D258" s="15"/>
      <c r="E258" s="15"/>
      <c r="F258" s="15"/>
      <c r="G258" s="15"/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t="14.25" customHeight="1">
      <c r="A259" s="15"/>
      <c r="B259" s="15"/>
      <c r="C259" s="15"/>
      <c r="D259" s="15"/>
      <c r="E259" s="15"/>
      <c r="F259" s="15"/>
      <c r="G259" s="15"/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t="14.25" customHeight="1">
      <c r="A260" s="15"/>
      <c r="B260" s="15"/>
      <c r="C260" s="15"/>
      <c r="D260" s="15"/>
      <c r="E260" s="15"/>
      <c r="F260" s="15"/>
      <c r="G260" s="15"/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t="14.25" customHeight="1">
      <c r="A261" s="15"/>
      <c r="B261" s="15"/>
      <c r="C261" s="15"/>
      <c r="D261" s="15"/>
      <c r="E261" s="15"/>
      <c r="F261" s="15"/>
      <c r="G261" s="15"/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t="14.25" customHeight="1">
      <c r="A262" s="15"/>
      <c r="B262" s="15"/>
      <c r="C262" s="15"/>
      <c r="D262" s="15"/>
      <c r="E262" s="15"/>
      <c r="F262" s="15"/>
      <c r="G262" s="15"/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t="14.25" customHeight="1">
      <c r="A263" s="15"/>
      <c r="B263" s="15"/>
      <c r="C263" s="15"/>
      <c r="D263" s="15"/>
      <c r="E263" s="15"/>
      <c r="F263" s="15"/>
      <c r="G263" s="15"/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t="14.25" customHeight="1">
      <c r="A264" s="15"/>
      <c r="B264" s="15"/>
      <c r="C264" s="15"/>
      <c r="D264" s="15"/>
      <c r="E264" s="15"/>
      <c r="F264" s="15"/>
      <c r="G264" s="15"/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t="14.25" customHeight="1">
      <c r="A265" s="15"/>
      <c r="B265" s="15"/>
      <c r="C265" s="15"/>
      <c r="D265" s="15"/>
      <c r="E265" s="15"/>
      <c r="F265" s="15"/>
      <c r="G265" s="15"/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1">
    <mergeCell ref="G13:H15"/>
    <mergeCell ref="G16:H20"/>
    <mergeCell ref="G24:H26"/>
    <mergeCell ref="G27:H31"/>
    <mergeCell ref="A1:F1"/>
    <mergeCell ref="A7:A8"/>
    <mergeCell ref="B7:C7"/>
    <mergeCell ref="D7:E7"/>
    <mergeCell ref="F7:F8"/>
    <mergeCell ref="A13:A15"/>
    <mergeCell ref="A16:A20"/>
    <mergeCell ref="A24:A26"/>
    <mergeCell ref="A27:A31"/>
    <mergeCell ref="C41:D41"/>
    <mergeCell ref="E41:F41"/>
    <mergeCell ref="C42:D42"/>
    <mergeCell ref="E42:F42"/>
    <mergeCell ref="A35:A39"/>
    <mergeCell ref="C45:D45"/>
    <mergeCell ref="E45:F45"/>
    <mergeCell ref="C46:D46"/>
    <mergeCell ref="E46:F46"/>
    <mergeCell ref="H46:I48"/>
    <mergeCell ref="C47:D47"/>
    <mergeCell ref="E47:F47"/>
    <mergeCell ref="C54:D54"/>
    <mergeCell ref="C55:D55"/>
    <mergeCell ref="C56:D56"/>
    <mergeCell ref="C57:D57"/>
    <mergeCell ref="C58:D58"/>
    <mergeCell ref="E55:F55"/>
    <mergeCell ref="E56:F56"/>
    <mergeCell ref="E57:F57"/>
    <mergeCell ref="E58:F58"/>
    <mergeCell ref="C48:D48"/>
    <mergeCell ref="E48:F48"/>
    <mergeCell ref="E54:F54"/>
    <mergeCell ref="C50:D50"/>
    <mergeCell ref="E50:F50"/>
    <mergeCell ref="C51:D51"/>
    <mergeCell ref="E51:F51"/>
  </mergeCells>
  <conditionalFormatting sqref="G9">
    <cfRule type="notContainsBlanks" dxfId="0" priority="1">
      <formula>LEN(TRIM(G9))&gt;0</formula>
    </cfRule>
  </conditionalFormatting>
  <conditionalFormatting sqref="G13">
    <cfRule type="notContainsBlanks" dxfId="1" priority="2">
      <formula>LEN(TRIM(G13))&gt;0</formula>
    </cfRule>
  </conditionalFormatting>
  <conditionalFormatting sqref="G16">
    <cfRule type="notContainsBlanks" dxfId="1" priority="3">
      <formula>LEN(TRIM(G16))&gt;0</formula>
    </cfRule>
  </conditionalFormatting>
  <conditionalFormatting sqref="G24">
    <cfRule type="notContainsBlanks" dxfId="1" priority="4">
      <formula>LEN(TRIM(G24))&gt;0</formula>
    </cfRule>
  </conditionalFormatting>
  <conditionalFormatting sqref="G27">
    <cfRule type="notContainsBlanks" dxfId="1" priority="5">
      <formula>LEN(TRIM(G27))&gt;0</formula>
    </cfRule>
  </conditionalFormatting>
  <conditionalFormatting sqref="H46">
    <cfRule type="notContainsBlanks" dxfId="1" priority="6">
      <formula>LEN(TRIM(H46))&gt;0</formula>
    </cfRule>
  </conditionalFormatting>
  <conditionalFormatting sqref="I13:I20">
    <cfRule type="notContainsBlanks" dxfId="0" priority="7">
      <formula>LEN(TRIM(I13))&gt;0</formula>
    </cfRule>
  </conditionalFormatting>
  <conditionalFormatting sqref="I24:I31">
    <cfRule type="notContainsBlanks" dxfId="0" priority="8">
      <formula>LEN(TRIM(I24))&gt;0</formula>
    </cfRule>
  </conditionalFormatting>
  <conditionalFormatting sqref="J46:J48">
    <cfRule type="notContainsBlanks" dxfId="0" priority="9">
      <formula>LEN(TRIM(J46))&gt;0</formula>
    </cfRule>
  </conditionalFormatting>
  <printOptions/>
  <pageMargins bottom="0.75" footer="0.0" header="0.0" left="0.7" right="0.7" top="0.75"/>
  <pageSetup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13.78"/>
    <col customWidth="1" min="2" max="2" width="25.0"/>
    <col customWidth="1" min="3" max="3" width="8.0"/>
    <col customWidth="1" min="4" max="4" width="11.33"/>
    <col customWidth="1" min="5" max="5" width="9.33"/>
    <col customWidth="1" min="6" max="6" width="6.0"/>
    <col customWidth="1" min="7" max="7" width="9.44"/>
    <col customWidth="1" min="8" max="8" width="20.33"/>
    <col customWidth="1" min="9" max="9" width="20.44"/>
    <col customWidth="1" min="10" max="10" width="11.0"/>
    <col customWidth="1" min="11" max="12" width="10.78"/>
    <col customWidth="1" min="13" max="26" width="11.0"/>
  </cols>
  <sheetData>
    <row r="1" ht="14.25" customHeight="1">
      <c r="A1" s="14" t="s">
        <v>38</v>
      </c>
      <c r="G1" s="15"/>
      <c r="H1" s="15"/>
      <c r="I1" s="16" t="s">
        <v>39</v>
      </c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14.25" customHeight="1">
      <c r="A2" s="15"/>
      <c r="B2" s="15"/>
      <c r="C2" s="15"/>
      <c r="D2" s="15"/>
      <c r="E2" s="15"/>
      <c r="F2" s="15"/>
      <c r="G2" s="15"/>
      <c r="H2" s="17" t="s">
        <v>40</v>
      </c>
      <c r="I2" s="18" t="str">
        <f>DATE(F3, 4, 1)</f>
        <v>#VALUE!</v>
      </c>
      <c r="J2" s="15"/>
      <c r="K2" s="19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t="14.25" customHeight="1">
      <c r="A3" s="15" t="s">
        <v>100</v>
      </c>
      <c r="B3" s="15"/>
      <c r="C3" s="20" t="s">
        <v>105</v>
      </c>
      <c r="D3" s="15"/>
      <c r="E3" s="15" t="s">
        <v>43</v>
      </c>
      <c r="F3" s="20" t="str">
        <f>YEAR(Results!E3)</f>
        <v>#VALUE!</v>
      </c>
      <c r="G3" s="15"/>
      <c r="H3" s="17" t="s">
        <v>44</v>
      </c>
      <c r="I3" s="18" t="str">
        <f>EOMONTH(I2,2)</f>
        <v>#VALUE!</v>
      </c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t="14.25" customHeight="1">
      <c r="A4" s="15" t="s">
        <v>45</v>
      </c>
      <c r="B4" s="15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t="14.25" customHeight="1">
      <c r="A5" s="15"/>
      <c r="B5" s="15"/>
      <c r="C5" s="15"/>
      <c r="D5" s="15"/>
      <c r="E5" s="15"/>
      <c r="F5" s="15"/>
      <c r="G5" s="15"/>
      <c r="H5" s="15"/>
      <c r="I5" s="15"/>
      <c r="J5" s="15"/>
      <c r="K5" s="15"/>
      <c r="L5" s="15"/>
      <c r="M5" s="15"/>
      <c r="N5" s="15"/>
      <c r="O5" s="21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t="14.25" customHeight="1">
      <c r="A6" s="15" t="s">
        <v>46</v>
      </c>
      <c r="B6" s="15"/>
      <c r="C6" s="15"/>
      <c r="D6" s="15"/>
      <c r="E6" s="15"/>
      <c r="F6" s="15"/>
      <c r="G6" s="15"/>
      <c r="H6" s="15"/>
      <c r="I6" s="20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t="14.25" customHeight="1">
      <c r="A7" s="22"/>
      <c r="B7" s="23" t="s">
        <v>47</v>
      </c>
      <c r="C7" s="24"/>
      <c r="D7" s="23" t="s">
        <v>48</v>
      </c>
      <c r="E7" s="24"/>
      <c r="F7" s="25" t="s">
        <v>49</v>
      </c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t="14.25" customHeight="1">
      <c r="A8" s="26"/>
      <c r="B8" s="27" t="s">
        <v>50</v>
      </c>
      <c r="C8" s="27" t="s">
        <v>51</v>
      </c>
      <c r="D8" s="27" t="s">
        <v>50</v>
      </c>
      <c r="E8" s="27" t="s">
        <v>51</v>
      </c>
      <c r="F8" s="26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t="14.25" customHeight="1">
      <c r="A9" s="28"/>
      <c r="B9" s="28">
        <f>COUNTIFS(Results!$E:$E,"&gt;="&amp;$I$2,Results!$E:$E,"&lt;="&amp;$I$3,Results!$I:$I,"Male",Results!$J:$J,"&lt;15", Results!$F:$F,"*tive")</f>
        <v>0</v>
      </c>
      <c r="C9" s="28">
        <f>COUNTIFS(Results!$E:$E,"&gt;="&amp;$I$2,Results!$E:$E,"&lt;="&amp;$I$3,Results!$I:$I,"Male",Results!$J:$J,"&gt;=15", Results!$F:$F,"*tive")</f>
        <v>0</v>
      </c>
      <c r="D9" s="28">
        <f>COUNTIFS(Results!$E:$E,"&gt;="&amp;$I$2,Results!$E:$E,"&lt;="&amp;$I$3,Results!$I:$I,"Female",Results!$J:$J,"&lt;15", Results!$F:$F,"*tive")</f>
        <v>0</v>
      </c>
      <c r="E9" s="28">
        <f>COUNTIFS(Results!$E:$E,"&gt;="&amp;$I$2,Results!$E:$E,"&lt;="&amp;$I$3,Results!$I:$I,"Female",Results!$J:$J,"&gt;=15", Results!$F:$F,"*tive")</f>
        <v>0</v>
      </c>
      <c r="F9" s="28">
        <f>COUNTIFS(Results!$E:$E,"&gt;="&amp;$I$2,Results!$E:$E,"&lt;="&amp;$I$3, Results!$F:$F,"*tive", Results!$J:$J,"&lt;&gt;Not on Form", Results!$J:$J,"&lt;&gt;N/A", Results!$I:$I,"&lt;&gt;Not on Form", Results!$I:$I,"&lt;&gt;N/A")</f>
        <v>0</v>
      </c>
      <c r="G9" s="15" t="str">
        <f>IF(SUM(B9:E9)=F9,"","Check Total Value &amp; Category")</f>
        <v/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t="14.25" customHeight="1">
      <c r="A10" s="15"/>
      <c r="B10" s="15"/>
      <c r="C10" s="15"/>
      <c r="D10" s="15"/>
      <c r="E10" s="15"/>
      <c r="F10" s="15"/>
      <c r="G10" s="15"/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t="14.25" customHeight="1">
      <c r="A11" s="15" t="s">
        <v>52</v>
      </c>
      <c r="B11" s="15"/>
      <c r="C11" s="15"/>
      <c r="D11" s="15"/>
      <c r="E11" s="15"/>
      <c r="F11" s="15"/>
      <c r="G11" s="15"/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t="14.25" customHeight="1">
      <c r="A12" s="28"/>
      <c r="B12" s="28"/>
      <c r="C12" s="29" t="s">
        <v>53</v>
      </c>
      <c r="D12" s="29" t="s">
        <v>54</v>
      </c>
      <c r="E12" s="29" t="s">
        <v>55</v>
      </c>
      <c r="F12" s="29" t="s">
        <v>49</v>
      </c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t="15.75" customHeight="1">
      <c r="A13" s="30" t="s">
        <v>56</v>
      </c>
      <c r="B13" s="28" t="s">
        <v>57</v>
      </c>
      <c r="C13" s="28">
        <f>COUNTIFS(Results!$E:$E,"&gt;="&amp;$I$2,Results!$E:$E,"&lt;="&amp;$I$3,Results!$L:$L,"Positive",Results!$K:$K,"No", Results!$F:$F,"*tive") + COUNTIFS(Results!$E:$E,"&gt;="&amp;$I$2,Results!$E:$E,"&lt;="&amp;$I$3,Results!$L:$L,"Positive",Results!$K:$K,"On Treatment", Results!$F:$F,"*tive")</f>
        <v>0</v>
      </c>
      <c r="D13" s="28">
        <f>COUNTIFS(Results!$E:$E,"&gt;="&amp;$I$2,Results!$E:$E,"&lt;="&amp;$I$3,Results!$L:$L,"Positive",Results!$K:$K,"Yes", Results!$F:$F,"*tive")</f>
        <v>0</v>
      </c>
      <c r="E13" s="28">
        <f>COUNTIFS(Results!$E:$E,"&gt;="&amp;$I$2,Results!$E:$E,"&lt;="&amp;$I$3,Results!$L:$L,"Positive",Results!$K:$K,"Unknown", Results!$F:$F,"*tive")</f>
        <v>0</v>
      </c>
      <c r="F13" s="28">
        <f>COUNTIFS(Results!$E:$E,"&gt;="&amp;$I$2,Results!$E:$E,"&lt;="&amp;$I$3,Results!$L:$L,"Positive", Results!$F:$F,"*tive", Results!$K:$K,"&lt;&gt;Not on Form", Results!$K:$K,"&lt;&gt;N/A", Results!$L:$L,"&lt;&gt;Not on Form", Results!$L:$L,"&lt;&gt;N/A")</f>
        <v>0</v>
      </c>
      <c r="G13" s="31" t="str">
        <f>IF($F$9=SUM(F13:F15),"","Error! Microscopy result does NOT match, cross check: Missing information in Microscopy Result")</f>
        <v/>
      </c>
      <c r="I13" s="15" t="str">
        <f t="shared" ref="I13:I18" si="1">IF(SUM(C13:E13)=F13,"","Check Total Value &amp; Category")</f>
        <v/>
      </c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t="14.25" customHeight="1">
      <c r="A14" s="32"/>
      <c r="B14" s="28" t="s">
        <v>58</v>
      </c>
      <c r="C14" s="28">
        <f>COUNTIFS(Results!$E:$E,"&gt;="&amp;$I$2,Results!$E:$E,"&lt;="&amp;$I$3,Results!$L:$L,"Negative",Results!$K:$K,"No", Results!$F:$F,"*tive") + COUNTIFS(Results!$E:$E,"&gt;="&amp;$I$2,Results!$E:$E,"&lt;="&amp;$I$3,Results!$L:$L,"Negative",Results!$K:$K,"On Treatment", Results!$F:$F,"*tive")</f>
        <v>0</v>
      </c>
      <c r="D14" s="28">
        <f>COUNTIFS(Results!$E:$E,"&gt;="&amp;$I$2,Results!$E:$E,"&lt;="&amp;$I$3,Results!$L:$L,"Negative",Results!$K:$K,"Yes", Results!$F:$F,"*tive")</f>
        <v>0</v>
      </c>
      <c r="E14" s="28">
        <f>COUNTIFS(Results!$E:$E,"&gt;="&amp;$I$2,Results!$E:$E,"&lt;="&amp;$I$3,Results!$L:$L,"Negative",Results!$K:$K,"Unknown", Results!$F:$F,"*tive")</f>
        <v>0</v>
      </c>
      <c r="F14" s="28">
        <f>COUNTIFS(Results!$E:$E,"&gt;="&amp;$I$2,Results!$E:$E,"&lt;="&amp;$I$3,Results!$L:$L,"Negative", Results!$F:$F,"*tive",Results!$K:$K,"&lt;&gt;Not on Form", Results!$K:$K,"&lt;&gt;N/A", Results!$L:$L,"&lt;&gt;Not on Form", Results!$L:$L,"&lt;&gt;N/A")</f>
        <v>0</v>
      </c>
      <c r="G14" s="33"/>
      <c r="I14" s="15" t="str">
        <f t="shared" si="1"/>
        <v/>
      </c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t="14.25" customHeight="1">
      <c r="A15" s="26"/>
      <c r="B15" s="28" t="s">
        <v>59</v>
      </c>
      <c r="C15" s="28">
        <f>COUNTIFS(Results!$E:$E,"&gt;="&amp;$I$2,Results!$E:$E,"&lt;="&amp;$I$3,Results!$L:$L,"Not Done",Results!$K:$K,"No", Results!$F:$F,"*tive") + COUNTIFS(Results!$E:$E,"&gt;="&amp;$I$2,Results!$E:$E,"&lt;="&amp;$I$3,Results!$L:$L,"Not Done",Results!$K:$K,"On Treatment", Results!$F:$F,"*tive")</f>
        <v>0</v>
      </c>
      <c r="D15" s="28">
        <f>COUNTIFS(Results!$E:$E,"&gt;="&amp;$I$2,Results!$E:$E,"&lt;="&amp;$I$3,Results!$L:$L,"Not Done",Results!$K:$K,"Yes", Results!$F:$F,"*tive")</f>
        <v>0</v>
      </c>
      <c r="E15" s="28">
        <f>COUNTIFS(Results!$E:$E,"&gt;="&amp;$I$2,Results!$E:$E,"&lt;="&amp;$I$3,Results!$L:$L,"Not Done",Results!$K:$K,"Unknown", Results!$F:$F,"*tive")</f>
        <v>0</v>
      </c>
      <c r="F15" s="28">
        <f>COUNTIFS(Results!$E:$E,"&gt;="&amp;$I$2,Results!$E:$E,"&lt;="&amp;$I$3,Results!$L:$L,"Not Done", Results!$F:$F,"*tive", Results!$K:$K,"&lt;&gt;Not on Form", Results!$K:$K,"&lt;&gt;N/A", Results!$L:$L,"&lt;&gt;Not on Form", Results!$L:$L,"&lt;&gt;N/A")</f>
        <v>0</v>
      </c>
      <c r="G15" s="33"/>
      <c r="I15" s="15" t="str">
        <f t="shared" si="1"/>
        <v/>
      </c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t="14.25" customHeight="1">
      <c r="A16" s="25" t="s">
        <v>60</v>
      </c>
      <c r="B16" s="28" t="s">
        <v>61</v>
      </c>
      <c r="C16" s="28">
        <f>COUNTIFS(Results!$E:$E,"&gt;="&amp;$I$2,Results!$E:$E,"&lt;="&amp;$I$3,Results!$F:$F,"Negative",Results!$K:$K,"No") + COUNTIFS(Results!$E:$E,"&gt;="&amp;$I$2,Results!$E:$E,"&lt;="&amp;$I$3,Results!$F:$F,"Negative",Results!$K:$K,"On Treatment")</f>
        <v>0</v>
      </c>
      <c r="D16" s="28">
        <f>COUNTIFS(Results!$E:$E,"&gt;="&amp;$I$2,Results!$E:$E,"&lt;="&amp;$I$3,Results!$F:$F,"Negative",Results!$K:$K,"Yes")</f>
        <v>0</v>
      </c>
      <c r="E16" s="28">
        <f>COUNTIFS(Results!$E:$E,"&gt;="&amp;$I$2,Results!$E:$E,"&lt;="&amp;$I$3,Results!$F:$F,"Negative",Results!$K:$K,"Unknown")</f>
        <v>0</v>
      </c>
      <c r="F16" s="28">
        <f>COUNTIFS(Results!$E:$E,"&gt;="&amp;$I$2,Results!$E:$E,"&lt;="&amp;$I$3,Results!$F:$F,"Negative", Results!$K:$K,"&lt;&gt;Not on Form", Results!$K:$K,"&lt;&gt;N/A")</f>
        <v>0</v>
      </c>
      <c r="G16" s="31" t="str">
        <f>IF($F$9=SUM(F16:F20),"","Error! Cross information between Xpert result and treatment category are not match; possibly there will be Erorr or missing information on MTB result OR RIF result")</f>
        <v/>
      </c>
      <c r="I16" s="15" t="str">
        <f t="shared" si="1"/>
        <v/>
      </c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t="14.25" customHeight="1">
      <c r="A17" s="32"/>
      <c r="B17" s="28" t="s">
        <v>62</v>
      </c>
      <c r="C17" s="28">
        <f>COUNTIFS(Results!$E:$E,"&gt;="&amp;$I$2,Results!$E:$E,"&lt;="&amp;$I$3,Results!$F:$F,"Positive",Results!$G:$G,"Negative",Results!$K:$K,"No") + COUNTIFS(Results!$E:$E,"&gt;="&amp;$I$2,Results!$E:$E,"&lt;="&amp;$I$3,Results!$F:$F,"Positive",Results!$G:$G,"Negative",Results!$K:$K,"On Treatment")</f>
        <v>0</v>
      </c>
      <c r="D17" s="28">
        <f>COUNTIFS(Results!$E:$E,"&gt;="&amp;$I$2,Results!$E:$E,"&lt;="&amp;$I$3,Results!$F:$F,"Positive",Results!$G:$G,"Negative",Results!$K:$K,"Yes")</f>
        <v>0</v>
      </c>
      <c r="E17" s="28">
        <f>COUNTIFS(Results!$E:$E,"&gt;="&amp;$I$2,Results!$E:$E,"&lt;="&amp;$I$3,Results!$F:$F,"Positive",Results!$G:$G,"Negative",Results!$K:$K,"Unknown")</f>
        <v>0</v>
      </c>
      <c r="F17" s="28">
        <f>COUNTIFS(Results!$E:$E,"&gt;="&amp;$I$2,Results!$E:$E,"&lt;="&amp;$I$3,Results!$F:$F,"Positive",Results!$G:$G,"Negative", Results!$K:$K,"&lt;&gt;Not on Form", Results!$K:$K,"&lt;&gt;N/A")</f>
        <v>0</v>
      </c>
      <c r="G17" s="33"/>
      <c r="I17" s="15" t="str">
        <f t="shared" si="1"/>
        <v/>
      </c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t="14.25" customHeight="1">
      <c r="A18" s="32"/>
      <c r="B18" s="28" t="s">
        <v>63</v>
      </c>
      <c r="C18" s="28">
        <f>COUNTIFS(Results!$E:$E,"&gt;="&amp;$I$2,Results!$E:$E,"&lt;="&amp;$I$3,Results!$F:$F,"Positive",Results!$G:$G,"Positive",Results!$K:$K,"No") + COUNTIFS(Results!$E:$E,"&gt;="&amp;$I$2,Results!$E:$E,"&lt;="&amp;$I$3,Results!$F:$F,"Positive",Results!$G:$G,"Positive",Results!$K:$K,"On Treatment")</f>
        <v>0</v>
      </c>
      <c r="D18" s="28">
        <f>COUNTIFS(Results!$E:$E,"&gt;="&amp;$I$2,Results!$E:$E,"&lt;="&amp;$I$3,Results!$F:$F,"Positive",Results!$G:$G,"Positive",Results!$K:$K,"Yes")</f>
        <v>0</v>
      </c>
      <c r="E18" s="28">
        <f>COUNTIFS(Results!$E:$E,"&gt;="&amp;$I$2,Results!$E:$E,"&lt;="&amp;$I$3,Results!$F:$F,"Positive",Results!$G:$G,"Positive",Results!$K:$K,"Unknown")</f>
        <v>0</v>
      </c>
      <c r="F18" s="28">
        <f>COUNTIFS(Results!$E:$E,"&gt;="&amp;$I$2,Results!$E:$E,"&lt;="&amp;$I$3,Results!$F:$F,"Positive",Results!$G:$G,"Positive", Results!$K:$K,"&lt;&gt;Not on Form", Results!$K:$K,"&lt;&gt;N/A")</f>
        <v>0</v>
      </c>
      <c r="G18" s="33"/>
      <c r="I18" s="15" t="str">
        <f t="shared" si="1"/>
        <v/>
      </c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t="14.25" customHeight="1">
      <c r="A19" s="32"/>
      <c r="B19" s="28" t="s">
        <v>64</v>
      </c>
      <c r="C19" s="28">
        <f>COUNTIFS(Results!$E:$E,"&gt;="&amp;$I$2,Results!$E:$E,"&lt;="&amp;$I$3,Results!$F:$F,"Positive",Results!$G:$G,"Indeterminate",Results!$K:$K,"No") + COUNTIFS(Results!$E:$E,"&gt;="&amp;$I$2,Results!$E:$E,"&lt;="&amp;$I$3,Results!$F:$F,"Positive",Results!$G:$G,"Indeterminate",Results!$K:$K,"On Treatment")</f>
        <v>0</v>
      </c>
      <c r="D19" s="28">
        <f>COUNTIFS(Results!$E:$E,"&gt;="&amp;$I$2,Results!$E:$E,"&lt;="&amp;$I$3,Results!$F:$F,"Positive",Results!$G:$G,"Indeterminate",Results!$K:$K,"Yes")</f>
        <v>0</v>
      </c>
      <c r="E19" s="28">
        <f>COUNTIFS(Results!$E:$E,"&gt;="&amp;$I$2,Results!$E:$E,"&lt;="&amp;$I$3,Results!$F:$F,"Positive",Results!$G:$G,"Indeterminate",Results!$K:$K,"Unknown")</f>
        <v>0</v>
      </c>
      <c r="F19" s="28">
        <f>COUNTIFS(Results!$E:$E,"&gt;="&amp;$I$2,Results!$E:$E,"&lt;="&amp;$I$3,Results!$F:$F,"Positive",Results!$G:$G,"Indeterminate", Results!$K:$K,"&lt;&gt;Not on Form", Results!$K:$K,"&lt;&gt;N/A")</f>
        <v>0</v>
      </c>
      <c r="G19" s="33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t="14.25" customHeight="1">
      <c r="A20" s="26"/>
      <c r="B20" s="28" t="s">
        <v>65</v>
      </c>
      <c r="C20" s="28">
        <f>COUNTIFS(Results!$E:$E,"&gt;="&amp;$I$2,Results!$E:$E,"&lt;="&amp;$I$3,Results!$F:$F,"Trace",Results!$G:$G,"Indeterminate",Results!$K:$K,"No") + COUNTIFS(Results!$E:$E,"&gt;="&amp;$I$2,Results!$E:$E,"&lt;="&amp;$I$3,Results!$F:$F,"Trace",Results!$G:$G,"Indeterminate",Results!$K:$K,"On Treatment")</f>
        <v>0</v>
      </c>
      <c r="D20" s="28">
        <f>COUNTIFS(Results!$E:$E,"&gt;="&amp;$I$2,Results!$E:$E,"&lt;="&amp;$I$3,Results!$F:$F,"Trace",Results!$G:$G,"Indeterminate",Results!$K:$K,"Yes")</f>
        <v>0</v>
      </c>
      <c r="E20" s="28">
        <f>COUNTIFS(Results!$E:$E,"&gt;="&amp;$I$2,Results!$E:$E,"&lt;="&amp;$I$3,Results!$F:$F,"Trace",Results!$G:$G,"Indeterminate",Results!$K:$K,"Unknown")</f>
        <v>0</v>
      </c>
      <c r="F20" s="28">
        <f>COUNTIFS(Results!$E:$E,"&gt;="&amp;$I$2,Results!$E:$E,"&lt;="&amp;$I$3,Results!$F:$F,"Trace",Results!$G:$G,"Indeterminate", Results!$K:$K,"&lt;&gt;Not on Form", Results!$K:$K,"&lt;&gt;N/A")</f>
        <v>0</v>
      </c>
      <c r="G20" s="33"/>
      <c r="I20" s="15" t="str">
        <f>IF(SUM(C20:E20)=F20,"","Check Total Value &amp; Category")</f>
        <v/>
      </c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t="14.25" customHeight="1">
      <c r="A21" s="15"/>
      <c r="B21" s="15"/>
      <c r="C21" s="15"/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t="14.25" customHeight="1">
      <c r="A22" s="15" t="s">
        <v>66</v>
      </c>
      <c r="B22" s="15"/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t="14.25" customHeight="1">
      <c r="A23" s="28"/>
      <c r="B23" s="28"/>
      <c r="C23" s="34" t="s">
        <v>67</v>
      </c>
      <c r="D23" s="34" t="s">
        <v>68</v>
      </c>
      <c r="E23" s="27" t="s">
        <v>55</v>
      </c>
      <c r="F23" s="27" t="s">
        <v>49</v>
      </c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t="15.75" hidden="1" customHeight="1">
      <c r="A24" s="30" t="s">
        <v>56</v>
      </c>
      <c r="B24" s="28" t="s">
        <v>57</v>
      </c>
      <c r="C24" s="28">
        <f>COUNTIFS(Results!$E:$E,"&gt;="&amp;$I$2,Results!$E:$E,"&lt;="&amp;$I$3,Results!$L:$L,"Positive",Results!$H:$H,"Positive", Results!$F:$F,"*tive")</f>
        <v>0</v>
      </c>
      <c r="D24" s="28">
        <f>COUNTIFS(Results!$E:$E,"&gt;="&amp;$I$2,Results!$E:$E,"&lt;="&amp;$I$3,Results!$L:$L,"Positive",Results!$H:$H,"Negative", Results!$F:$F,"*tive")</f>
        <v>0</v>
      </c>
      <c r="E24" s="28">
        <f>COUNTIFS(Results!$E:$E,"&gt;="&amp;$I$2,Results!$E:$E,"&lt;="&amp;$I$3,Results!$L:$L,"Positive",Results!$H:$H,"Unknown", Results!$F:$F,"*tive")</f>
        <v>0</v>
      </c>
      <c r="F24" s="28">
        <f>COUNTIFS(Results!$E:$E,"&gt;="&amp;$I$2,Results!$E:$E,"&lt;="&amp;$I$3,Results!$L:$L,"Positive", Results!$F:$F,"*tive", Results!$H:$H,"&lt;&gt;Not on Form", Results!$H:$H,"&lt;&gt;N/A", Results!$L:$L,"&lt;&gt;Not on Form", Results!$L:$L,"&lt;&gt;N/A")</f>
        <v>0</v>
      </c>
      <c r="G24" s="31" t="str">
        <f>IF($F$9=SUM(F24:F26),"","Error! Microscope Result and HIV Status do NOT match; Crosscheck for missing information in Microscope Result OR HIV Status")</f>
        <v/>
      </c>
      <c r="I24" s="15" t="str">
        <f t="shared" ref="I24:I29" si="2">IF(SUM(C24:E24)=F24,"","Check Total Value &amp; Category")</f>
        <v/>
      </c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t="14.25" hidden="1" customHeight="1">
      <c r="A25" s="32"/>
      <c r="B25" s="28" t="s">
        <v>58</v>
      </c>
      <c r="C25" s="28">
        <f>COUNTIFS(Results!$E:$E,"&gt;="&amp;$I$2,Results!$E:$E,"&lt;="&amp;$I$3,Results!$L:$L,"Negative",Results!$H:$H,"Positive", Results!$F:$F,"*tive")</f>
        <v>0</v>
      </c>
      <c r="D25" s="28">
        <f>COUNTIFS(Results!$E:$E,"&gt;="&amp;$I$2,Results!$E:$E,"&lt;="&amp;$I$3,Results!$L:$L,"Negative",Results!$H:$H,"Negative", Results!$F:$F,"*tive")</f>
        <v>0</v>
      </c>
      <c r="E25" s="28">
        <f>COUNTIFS(Results!$E:$E,"&gt;="&amp;$I$2,Results!$E:$E,"&lt;="&amp;$I$3,Results!$L:$L,"Negative",Results!$H:$H,"Unknown", Results!$F:$F,"*tive")</f>
        <v>0</v>
      </c>
      <c r="F25" s="28">
        <f>COUNTIFS(Results!$E:$E,"&gt;="&amp;$I$2,Results!$E:$E,"&lt;="&amp;$I$3,Results!$L:$L,"Negative", Results!$F:$F,"*tive",  Results!$H:$H,"&lt;&gt;Not on Form", Results!$H:$H,"&lt;&gt;N/A", Results!$L:$L,"&lt;&gt;Not on Form", Results!$L:$L,"&lt;&gt;N/A")</f>
        <v>0</v>
      </c>
      <c r="G25" s="33"/>
      <c r="I25" s="15" t="str">
        <f t="shared" si="2"/>
        <v/>
      </c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t="14.25" hidden="1" customHeight="1">
      <c r="A26" s="26"/>
      <c r="B26" s="28" t="s">
        <v>59</v>
      </c>
      <c r="C26" s="28">
        <f>COUNTIFS(Results!$E:$E,"&gt;="&amp;$I$2,Results!$E:$E,"&lt;="&amp;$I$3,Results!$L:$L,"Not Done",Results!$H:$H,"Positive", Results!$F:$F,"*tive")</f>
        <v>0</v>
      </c>
      <c r="D26" s="28">
        <f>COUNTIFS(Results!$E:$E,"&gt;="&amp;$I$2,Results!$E:$E,"&lt;="&amp;$I$3,Results!$L:$L,"Not Done",Results!$H:$H,"Negative", Results!$F:$F,"*tive")</f>
        <v>0</v>
      </c>
      <c r="E26" s="28">
        <f>COUNTIFS(Results!$E:$E,"&gt;="&amp;$I$2,Results!$E:$E,"&lt;="&amp;$I$3,Results!$L:$L,"Not Done",Results!$H:$H,"Unknown", Results!$F:$F,"*tive")</f>
        <v>0</v>
      </c>
      <c r="F26" s="28">
        <f>COUNTIFS(Results!$E:$E,"&gt;="&amp;$I$2,Results!$E:$E,"&lt;="&amp;$I$3,Results!$L:$L,"Not Done",Results!$F:$F,"*tive",  Results!$H:$H,"&lt;&gt;Not on Form", Results!$H:$H,"&lt;&gt;N/A", Results!$L:$L,"&lt;&gt;Not on Form", Results!$L:$L,"&lt;&gt;N/A")</f>
        <v>0</v>
      </c>
      <c r="G26" s="33"/>
      <c r="I26" s="15" t="str">
        <f t="shared" si="2"/>
        <v/>
      </c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t="14.25" customHeight="1">
      <c r="A27" s="25" t="s">
        <v>60</v>
      </c>
      <c r="B27" s="28" t="s">
        <v>61</v>
      </c>
      <c r="C27" s="28">
        <f>COUNTIFS(Results!$E:$E,"&gt;="&amp;$I$2,Results!$E:$E,"&lt;="&amp;$I$3,Results!$F:$F,"Negative",Results!$H:$H,"Positive")</f>
        <v>0</v>
      </c>
      <c r="D27" s="28">
        <f>COUNTIFS(Results!$E:$E,"&gt;="&amp;$I$2,Results!$E:$E,"&lt;="&amp;$I$3,Results!$F:$F,"Negative",Results!$H:$H,"Negative")</f>
        <v>0</v>
      </c>
      <c r="E27" s="28">
        <f>COUNTIFS(Results!$E:$E,"&gt;="&amp;$I$2,Results!$E:$E,"&lt;="&amp;$I$3,Results!$F:$F,"Negative",Results!$H:$H,"Unknown")</f>
        <v>0</v>
      </c>
      <c r="F27" s="28">
        <f>COUNTIFS(Results!$E:$E,"&gt;="&amp;$I$2,Results!$E:$E,"&lt;="&amp;$I$3,Results!$F:$F,"Negative", Results!$H:$H,"&lt;&gt;Not on Form", Results!$H:$H,"&lt;&gt;N/A")</f>
        <v>0</v>
      </c>
      <c r="G27" s="31" t="str">
        <f>IF($F$9=SUM(F27:F31),"","Error! Cross information between Xpert result and HIV Status are not match; possibly there will be Erorr or missing information on MTB result OR HIV Status")</f>
        <v/>
      </c>
      <c r="I27" s="15" t="str">
        <f t="shared" si="2"/>
        <v/>
      </c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t="14.25" customHeight="1">
      <c r="A28" s="32"/>
      <c r="B28" s="28" t="s">
        <v>62</v>
      </c>
      <c r="C28" s="28">
        <f>COUNTIFS(Results!$E:$E,"&gt;="&amp;$I$2,Results!$E:$E,"&lt;="&amp;$I$3,Results!$F:$F,"Positive",Results!$G:$G,"Negative",Results!$H:$H,"Positive")</f>
        <v>0</v>
      </c>
      <c r="D28" s="28">
        <f>COUNTIFS(Results!$E:$E,"&gt;="&amp;$I$2,Results!$E:$E,"&lt;="&amp;$I$3,Results!$F:$F,"Positive",Results!$G:$G,"Negative",Results!$H:$H,"Negative")</f>
        <v>0</v>
      </c>
      <c r="E28" s="28">
        <f>COUNTIFS(Results!$E:$E,"&gt;="&amp;$I$2,Results!$E:$E,"&lt;="&amp;$I$3,Results!$F:$F,"Positive",Results!$G:$G,"Negative",Results!$H:$H,"Unknown")</f>
        <v>0</v>
      </c>
      <c r="F28" s="28">
        <f>COUNTIFS(Results!$E:$E,"&gt;="&amp;$I$2,Results!$E:$E,"&lt;="&amp;$I$3,Results!$F:$F,"Positive",Results!$G:$G,"Negative", Results!$H:$H,"&lt;&gt;Not on Form", Results!$H:$H,"&lt;&gt;N/A")</f>
        <v>0</v>
      </c>
      <c r="G28" s="33"/>
      <c r="I28" s="15" t="str">
        <f t="shared" si="2"/>
        <v/>
      </c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t="14.25" customHeight="1">
      <c r="A29" s="32"/>
      <c r="B29" s="28" t="s">
        <v>63</v>
      </c>
      <c r="C29" s="28">
        <f>COUNTIFS(Results!$E:$E,"&gt;="&amp;$I$2,Results!$E:$E,"&lt;="&amp;$I$3,Results!$F:$F,"Positive",Results!$G:$G,"Positive",Results!$H:$H,"Positive")</f>
        <v>0</v>
      </c>
      <c r="D29" s="28">
        <f>COUNTIFS(Results!$E:$E,"&gt;="&amp;$I$2,Results!$E:$E,"&lt;="&amp;$I$3,Results!$F:$F,"Positive",Results!$G:$G,"Positive",Results!$H:$H,"Negative")</f>
        <v>0</v>
      </c>
      <c r="E29" s="28">
        <f>COUNTIFS(Results!$E:$E,"&gt;="&amp;$I$2,Results!$E:$E,"&lt;="&amp;$I$3,Results!$F:$F,"Positive",Results!$G:$G,"Positive",Results!$H:$H,"Unknown")</f>
        <v>0</v>
      </c>
      <c r="F29" s="28">
        <f>COUNTIFS(Results!$E:$E,"&gt;="&amp;$I$2,Results!$E:$E,"&lt;="&amp;$I$3,Results!$F:$F,"Positive",Results!$G:$G,"Positive", Results!$H:$H,"&lt;&gt;Not on Form", Results!$H:$H,"&lt;&gt;N/A")</f>
        <v>0</v>
      </c>
      <c r="G29" s="33"/>
      <c r="I29" s="15" t="str">
        <f t="shared" si="2"/>
        <v/>
      </c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t="14.25" customHeight="1">
      <c r="A30" s="32"/>
      <c r="B30" s="28" t="s">
        <v>64</v>
      </c>
      <c r="C30" s="28">
        <f>COUNTIFS(Results!$E:$E,"&gt;="&amp;$I$2,Results!$E:$E,"&lt;="&amp;$I$3,Results!$F:$F,"Positive",Results!$G:$G,"Indeterminate",Results!$H:$H,"Positive")</f>
        <v>0</v>
      </c>
      <c r="D30" s="28">
        <f>COUNTIFS(Results!$E:$E,"&gt;="&amp;$I$2,Results!$E:$E,"&lt;="&amp;$I$3,Results!$F:$F,"Positive",Results!$G:$G,"Indeterminate",Results!$H:$H,"Negative")</f>
        <v>0</v>
      </c>
      <c r="E30" s="28">
        <f>COUNTIFS(Results!$E:$E,"&gt;="&amp;$I$2,Results!$E:$E,"&lt;="&amp;$I$3,Results!$F:$F,"Positive",Results!$G:$G,"Indeterminate",Results!$H:$H,"Unknown")</f>
        <v>0</v>
      </c>
      <c r="F30" s="28">
        <f>COUNTIFS(Results!$E:$E,"&gt;="&amp;$I$2,Results!$E:$E,"&lt;="&amp;$I$3,Results!$F:$F,"Positive",Results!$G:$G,"Indeterminate", Results!$H:$H,"&lt;&gt;Not on Form", Results!$H:$H,"&lt;&gt;N/A")</f>
        <v>0</v>
      </c>
      <c r="G30" s="33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t="14.25" customHeight="1">
      <c r="A31" s="26"/>
      <c r="B31" s="28" t="s">
        <v>65</v>
      </c>
      <c r="C31" s="28">
        <f>COUNTIFS(Results!$E:$E,"&gt;="&amp;$I$2,Results!$E:$E,"&lt;="&amp;$I$3,Results!$F:$F,"Trace",Results!$G:$G,"Indeterminate",Results!$H:$H,"Positive")</f>
        <v>0</v>
      </c>
      <c r="D31" s="28">
        <f>COUNTIFS(Results!$E:$E,"&gt;="&amp;$I$2,Results!$E:$E,"&lt;="&amp;$I$3,Results!$F:$F,"Trace",Results!$G:$G,"Indeterminate",Results!$H:$H,"Negative")</f>
        <v>0</v>
      </c>
      <c r="E31" s="28">
        <f>COUNTIFS(Results!$E:$E,"&gt;="&amp;$I$2,Results!$E:$E,"&lt;="&amp;$I$3,Results!$F:$F,"Trace",Results!$G:$G,"Indeterminate",Results!$H:$H,"Unknown")</f>
        <v>0</v>
      </c>
      <c r="F31" s="28">
        <f>COUNTIFS(Results!$E:$E,"&gt;="&amp;$I$2,Results!$E:$E,"&lt;="&amp;$I$3,Results!$F:$F,"Trace",Results!$G:$G,"Indeterminate", Results!$H:$H,"&lt;&gt;Not on Form", Results!$H:$H,"&lt;&gt;N/A")</f>
        <v>0</v>
      </c>
      <c r="G31" s="33"/>
      <c r="I31" s="15" t="str">
        <f>IF(SUM(C31:E31)=F31,"","Check Total Value &amp; Category")</f>
        <v/>
      </c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t="14.25" customHeight="1">
      <c r="A32" s="15"/>
      <c r="B32" s="15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t="14.25" customHeight="1">
      <c r="A33" s="35" t="s">
        <v>69</v>
      </c>
      <c r="B33" s="36"/>
      <c r="C33" s="36"/>
      <c r="D33" s="36"/>
      <c r="E33" s="36"/>
      <c r="F33" s="36"/>
      <c r="G33" s="36"/>
      <c r="H33" s="36"/>
      <c r="I33" s="36"/>
      <c r="J33" s="36"/>
      <c r="K33" s="36"/>
      <c r="L33" s="36"/>
      <c r="M33" s="36"/>
      <c r="N33" s="36"/>
      <c r="O33" s="36"/>
      <c r="P33" s="36"/>
      <c r="Q33" s="36"/>
      <c r="R33" s="36"/>
      <c r="S33" s="36"/>
      <c r="T33" s="36"/>
      <c r="U33" s="36"/>
      <c r="V33" s="36"/>
      <c r="W33" s="36"/>
      <c r="X33" s="36"/>
      <c r="Y33" s="36"/>
      <c r="Z33" s="36"/>
    </row>
    <row r="34" ht="14.25" customHeight="1">
      <c r="A34" s="37"/>
      <c r="B34" s="37"/>
      <c r="C34" s="38" t="s">
        <v>70</v>
      </c>
      <c r="D34" s="38" t="s">
        <v>71</v>
      </c>
      <c r="E34" s="38" t="s">
        <v>72</v>
      </c>
      <c r="F34" s="38" t="s">
        <v>73</v>
      </c>
      <c r="G34" s="38" t="s">
        <v>74</v>
      </c>
      <c r="H34" s="39" t="s">
        <v>49</v>
      </c>
      <c r="I34" s="40"/>
      <c r="J34" s="40"/>
      <c r="K34" s="40"/>
      <c r="L34" s="40"/>
      <c r="M34" s="40"/>
      <c r="N34" s="40"/>
      <c r="O34" s="40"/>
      <c r="P34" s="40"/>
      <c r="Q34" s="40"/>
      <c r="R34" s="40"/>
      <c r="S34" s="40"/>
      <c r="T34" s="40"/>
      <c r="U34" s="40"/>
      <c r="V34" s="40"/>
      <c r="W34" s="40"/>
      <c r="X34" s="40"/>
      <c r="Y34" s="40"/>
      <c r="Z34" s="40"/>
    </row>
    <row r="35" ht="14.25" customHeight="1">
      <c r="A35" s="41" t="s">
        <v>60</v>
      </c>
      <c r="B35" s="42" t="s">
        <v>61</v>
      </c>
      <c r="C35" s="43">
        <f>COUNTIFS(Results!$E:$E,"&gt;="&amp;$I$2,Results!$E:$E,"&lt;="&amp;$I$3,Results!$F:$F,"Negative",Results!$S:$S,"*DX*")</f>
        <v>0</v>
      </c>
      <c r="D35" s="43">
        <f>COUNTIFS(Results!$E:$E,"&gt;="&amp;$I$2,Results!$E:$E,"&lt;="&amp;$I$3,Results!$F:$F,"Negative",Results!$S:$S,"*fu*")</f>
        <v>0</v>
      </c>
      <c r="E35" s="43">
        <f>COUNTIFS(Results!$E:$E,"&gt;="&amp;$I$2,Results!$E:$E,"&lt;="&amp;$I$3,Results!$F:$F,"Negative",Results!$S:$S,"*mdr*")</f>
        <v>0</v>
      </c>
      <c r="F35" s="43">
        <f>COUNTIFS(Results!$E:$E,"&gt;="&amp;$I$2,Results!$E:$E,"&lt;="&amp;$I$3,Results!$F:$F,"Negative",Results!$S:$S,"*dm*")</f>
        <v>0</v>
      </c>
      <c r="G35" s="43">
        <f>COUNTIFS(Results!$E:$E,"&gt;="&amp;$I$2,Results!$E:$E,"&lt;="&amp;$I$3,Results!$F:$F,"Negative",Results!$S:$S,"*na*")</f>
        <v>0</v>
      </c>
      <c r="H35" s="43">
        <f>COUNTIFS(Results!$E:$E,"&gt;="&amp;$I$2,Results!$E:$E,"&lt;="&amp;$I$3,Results!$F:$F,"Negative", Results!$O:$O,"&lt;&gt;Not on Form", Results!$O:$O,"&lt;&gt;N/A")</f>
        <v>0</v>
      </c>
      <c r="I35" s="40"/>
      <c r="J35" s="40"/>
      <c r="K35" s="40"/>
      <c r="L35" s="40"/>
      <c r="M35" s="40"/>
      <c r="N35" s="40"/>
      <c r="O35" s="40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</row>
    <row r="36" ht="14.25" customHeight="1">
      <c r="A36" s="32"/>
      <c r="B36" s="42" t="s">
        <v>62</v>
      </c>
      <c r="C36" s="43">
        <f>COUNTIFS(Results!$E:$E,"&gt;="&amp;$I$2,Results!$E:$E,"&lt;="&amp;$I$3,Results!$F:$F,"Positive",Results!$G:$G,"Negative",Results!$S:$S,"*DX*")</f>
        <v>0</v>
      </c>
      <c r="D36" s="43">
        <f>COUNTIFS(Results!$E:$E,"&gt;="&amp;$I$2,Results!$E:$E,"&lt;="&amp;$I$3,Results!$F:$F,"Positive",Results!$G:$G,"Negative",Results!$S:$S,"*fu*")</f>
        <v>0</v>
      </c>
      <c r="E36" s="43">
        <f>COUNTIFS(Results!$E:$E,"&gt;="&amp;$I$2,Results!$E:$E,"&lt;="&amp;$I$3,Results!$F:$F,"Positive",Results!$G:$G,"Negative",Results!$S:$S,"*mdr*")</f>
        <v>0</v>
      </c>
      <c r="F36" s="43">
        <f>COUNTIFS(Results!$E:$E,"&gt;="&amp;$I$2,Results!$E:$E,"&lt;="&amp;$I$3,Results!$F:$F,"Positive",Results!$G:$G,"Negative",Results!$S:$S,"*Dm*")</f>
        <v>0</v>
      </c>
      <c r="G36" s="43">
        <f>COUNTIFS(Results!$E:$E,"&gt;="&amp;$I$2,Results!$E:$E,"&lt;="&amp;$I$3,Results!$F:$F,"Positive",Results!$G:$G,"Negative",Results!$S:$S,"*na*")</f>
        <v>0</v>
      </c>
      <c r="H36" s="43">
        <f>COUNTIFS(Results!$E:$E,"&gt;="&amp;$I$2,Results!$E:$E,"&lt;="&amp;$I$3,Results!$F:$F,"Positive",Results!$G:$G,"Negative", Results!$O:$O,"&lt;&gt;Not on Form", Results!$O:$O,"&lt;&gt;N/A")</f>
        <v>0</v>
      </c>
      <c r="I36" s="40"/>
      <c r="J36" s="40"/>
      <c r="K36" s="40"/>
      <c r="L36" s="40"/>
      <c r="M36" s="40"/>
      <c r="N36" s="40"/>
      <c r="O36" s="40"/>
      <c r="P36" s="40"/>
      <c r="Q36" s="40"/>
      <c r="R36" s="40"/>
      <c r="S36" s="40"/>
      <c r="T36" s="40"/>
      <c r="U36" s="40"/>
      <c r="V36" s="40"/>
      <c r="W36" s="40"/>
      <c r="X36" s="40"/>
      <c r="Y36" s="40"/>
      <c r="Z36" s="40"/>
    </row>
    <row r="37" ht="14.25" customHeight="1">
      <c r="A37" s="32"/>
      <c r="B37" s="42" t="s">
        <v>63</v>
      </c>
      <c r="C37" s="43">
        <f>COUNTIFS(Results!$E:$E,"&gt;="&amp;$I$2,Results!$E:$E,"&lt;="&amp;$I$3,Results!$F:$F,"Positive",Results!$G:$G,"Positive",Results!$S:$S,"*DX*")</f>
        <v>0</v>
      </c>
      <c r="D37" s="43">
        <f>COUNTIFS(Results!$E:$E,"&gt;="&amp;$I$2,Results!$E:$E,"&lt;="&amp;$I$3,Results!$F:$F,"Positive",Results!$G:$G,"Positive",Results!$S:$S,"*fu*")</f>
        <v>0</v>
      </c>
      <c r="E37" s="43">
        <f>COUNTIFS(Results!$E:$E,"&gt;="&amp;$I$2,Results!$E:$E,"&lt;="&amp;$I$3,Results!$F:$F,"Positive",Results!$G:$G,"Positive",Results!$S:$S,"*mdr*")</f>
        <v>0</v>
      </c>
      <c r="F37" s="43">
        <f>COUNTIFS(Results!$E:$E,"&gt;="&amp;$I$2,Results!$E:$E,"&lt;="&amp;$I$3,Results!$F:$F,"Positive",Results!$G:$G,"Positive",Results!$S:$S,"*dm*")</f>
        <v>0</v>
      </c>
      <c r="G37" s="43">
        <f>COUNTIFS(Results!$E:$E,"&gt;="&amp;$I$2,Results!$E:$E,"&lt;="&amp;$I$3,Results!$F:$F,"Positive",Results!$G:$G,"Positive",Results!$S:$S,"*na*")</f>
        <v>0</v>
      </c>
      <c r="H37" s="43">
        <f>COUNTIFS(Results!$E:$E,"&gt;="&amp;$I$2,Results!$E:$E,"&lt;="&amp;$I$3,Results!$F:$F,"Positive",Results!$G:$G,"Positive", Results!$O:$O,"&lt;&gt;Not on Form", Results!$O:$O,"&lt;&gt;N/A")</f>
        <v>0</v>
      </c>
      <c r="I37" s="40"/>
      <c r="J37" s="40"/>
      <c r="K37" s="40"/>
      <c r="L37" s="40"/>
      <c r="M37" s="40"/>
      <c r="N37" s="40"/>
      <c r="O37" s="40"/>
      <c r="P37" s="40"/>
      <c r="Q37" s="40"/>
      <c r="R37" s="40"/>
      <c r="S37" s="40"/>
      <c r="T37" s="40"/>
      <c r="U37" s="40"/>
      <c r="V37" s="40"/>
      <c r="W37" s="40"/>
      <c r="X37" s="40"/>
      <c r="Y37" s="40"/>
      <c r="Z37" s="40"/>
    </row>
    <row r="38" ht="14.25" customHeight="1">
      <c r="A38" s="32"/>
      <c r="B38" s="42" t="s">
        <v>64</v>
      </c>
      <c r="C38" s="43">
        <f>COUNTIFS(Results!$E:$E,"&gt;="&amp;$I$2,Results!$E:$E,"&lt;="&amp;$I$3,Results!$F:$F,"Positive",Results!$G:$G,"Indeterminate",Results!$S:$S,"*DX*")</f>
        <v>0</v>
      </c>
      <c r="D38" s="43">
        <f>COUNTIFS(Results!$E:$E,"&gt;="&amp;$I$2,Results!$E:$E,"&lt;="&amp;$I$3,Results!$F:$F,"Positive",Results!$G:$G,"Indeterminate",Results!$S:$S,"*fu*")</f>
        <v>0</v>
      </c>
      <c r="E38" s="43">
        <f>COUNTIFS(Results!$E:$E,"&gt;="&amp;$I$2,Results!$E:$E,"&lt;="&amp;$I$3,Results!$F:$F,"Positive",Results!$G:$G,"Indeterminate",Results!$S:$S,"*mdr*")</f>
        <v>0</v>
      </c>
      <c r="F38" s="43">
        <f>COUNTIFS(Results!$E:$E,"&gt;="&amp;$I$2,Results!$E:$E,"&lt;="&amp;$I$3,Results!$F:$F,"Positive",Results!$G:$G,"Indeterminate",Results!$S:$S,"*dm*")</f>
        <v>0</v>
      </c>
      <c r="G38" s="43">
        <f>COUNTIFS(Results!$E:$E,"&gt;="&amp;$I$2,Results!$E:$E,"&lt;="&amp;$I$3,Results!$F:$F,"Positive",Results!$G:$G,"Indeterminate",Results!$S:$S,"*na*")</f>
        <v>0</v>
      </c>
      <c r="H38" s="43">
        <f>COUNTIFS(Results!$E:$E,"&gt;="&amp;$I$2,Results!$E:$E,"&lt;="&amp;$I$3,Results!$F:$F,"Positive",Results!$G:$G,"Indeterminate", Results!$O:$O,"&lt;&gt;Not on Form", Results!$O:$O,"&lt;&gt;N/A")</f>
        <v>0</v>
      </c>
      <c r="I38" s="40"/>
      <c r="J38" s="40"/>
      <c r="K38" s="40"/>
      <c r="L38" s="40"/>
      <c r="M38" s="40"/>
      <c r="N38" s="40"/>
      <c r="O38" s="40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</row>
    <row r="39" ht="14.25" customHeight="1">
      <c r="A39" s="26"/>
      <c r="B39" s="42" t="s">
        <v>75</v>
      </c>
      <c r="C39" s="43">
        <f>COUNTIFS(Results!$E:$E,"&gt;="&amp;$I$2,Results!$E:$E,"&lt;="&amp;$I$3,Results!$F:$F,"Trace",Results!$G:$G,"Indeterminate",Results!$S:$S,"*DX*")</f>
        <v>0</v>
      </c>
      <c r="D39" s="43">
        <f>COUNTIFS(Results!$E:$E,"&gt;="&amp;$I$2,Results!$E:$E,"&lt;="&amp;$I$3,Results!$F:$F,"Trace",Results!$G:$G,"Indeterminate",Results!$S:$S,"*fu*")</f>
        <v>0</v>
      </c>
      <c r="E39" s="43">
        <f>COUNTIFS(Results!$E:$E,"&gt;="&amp;$I$2,Results!$E:$E,"&lt;="&amp;$I$3,Results!$F:$F,"Trace",Results!$G:$G,"Indeterminate",Results!$S:$S,"*mdr*")</f>
        <v>0</v>
      </c>
      <c r="F39" s="43">
        <f>COUNTIFS(Results!$E:$E,"&gt;="&amp;$I$2,Results!$E:$E,"&lt;="&amp;$I$3,Results!$F:$F,"Trace",Results!$G:$G,"Indeterminate",Results!$S:$S,"*dm*")</f>
        <v>0</v>
      </c>
      <c r="G39" s="43">
        <f>COUNTIFS(Results!$E:$E,"&gt;="&amp;$I$2,Results!$E:$E,"&lt;="&amp;$I$3,Results!$F:$F,"Trace",Results!$G:$G,"Indeterminate",Results!$S:$S,"*na*")</f>
        <v>0</v>
      </c>
      <c r="H39" s="43">
        <f>COUNTIFS(Results!$E:$E,"&gt;="&amp;$I$2,Results!$E:$E,"&lt;="&amp;$I$3,Results!$F:$F,"Trace",Results!$G:$G,"Indeterminate", Results!$O:$O,"&lt;&gt;Not on Form", Results!$O:$O,"&lt;&gt;N/A")</f>
        <v>0</v>
      </c>
      <c r="I39" s="40"/>
      <c r="J39" s="40"/>
      <c r="K39" s="40"/>
      <c r="L39" s="40"/>
      <c r="M39" s="40"/>
      <c r="N39" s="40"/>
      <c r="O39" s="40"/>
      <c r="P39" s="40"/>
      <c r="Q39" s="40"/>
      <c r="R39" s="40"/>
      <c r="S39" s="40"/>
      <c r="T39" s="40"/>
      <c r="U39" s="40"/>
      <c r="V39" s="40"/>
      <c r="W39" s="40"/>
      <c r="X39" s="40"/>
      <c r="Y39" s="40"/>
      <c r="Z39" s="40"/>
    </row>
    <row r="40" ht="14.25" customHeight="1">
      <c r="A40" s="15"/>
      <c r="B40" s="15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t="14.25" customHeight="1">
      <c r="A41" s="15"/>
      <c r="B41" s="15"/>
      <c r="C41" s="23" t="s">
        <v>47</v>
      </c>
      <c r="D41" s="24"/>
      <c r="E41" s="23" t="s">
        <v>48</v>
      </c>
      <c r="F41" s="24"/>
      <c r="G41" s="22" t="s">
        <v>49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t="14.25" customHeight="1">
      <c r="A42" s="28" t="s">
        <v>76</v>
      </c>
      <c r="B42" s="28"/>
      <c r="C42" s="23">
        <f>COUNTIFS(Results!$E:$E,"&gt;="&amp;$I$2,Results!$E:$E,"&lt;="&amp;$I$3,Results!$I:$I,"Male",Results!$F:$F,"Positive",Results!$G:$G,"Positive")</f>
        <v>0</v>
      </c>
      <c r="D42" s="24"/>
      <c r="E42" s="23">
        <f>COUNTIFS(Results!$E:$E,"&gt;="&amp;$I$2,Results!$E:$E,"&lt;="&amp;$I$3,Results!$I:$I,"Female",Results!$F:$F,"Positive",Results!$G:$G,"Positive")</f>
        <v>0</v>
      </c>
      <c r="F42" s="24"/>
      <c r="G42" s="28">
        <f>COUNTIFS(Results!$E:$E,"&gt;="&amp;$I$2,Results!$E:$E,"&lt;="&amp;$I$3,Results!$F:$F,"Positive",Results!$G:$G,"Positive", Results!$I:$I,"&lt;&gt;Not on Form", Results!$I:$I,"&lt;&gt;N/A")</f>
        <v>0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t="14.25" customHeight="1">
      <c r="A43" s="15"/>
      <c r="B43" s="15"/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t="14.25" customHeight="1">
      <c r="A44" s="15" t="s">
        <v>77</v>
      </c>
      <c r="B44" s="15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t="14.25" customHeight="1">
      <c r="A45" s="28"/>
      <c r="B45" s="28"/>
      <c r="C45" s="23" t="s">
        <v>78</v>
      </c>
      <c r="D45" s="24"/>
      <c r="E45" s="23" t="s">
        <v>79</v>
      </c>
      <c r="F45" s="24"/>
      <c r="G45" s="28" t="s">
        <v>49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t="14.25" customHeight="1">
      <c r="A46" s="44" t="s">
        <v>80</v>
      </c>
      <c r="B46" s="45"/>
      <c r="C46" s="23">
        <f>COUNTIFS(Results!$E:$E,"&gt;="&amp;$I$2,Results!$E:$E,"&lt;="&amp;$I$3,Results!$F:$F,"Positive",Results!$L:$L,"Positive")</f>
        <v>0</v>
      </c>
      <c r="D46" s="24"/>
      <c r="E46" s="23">
        <f>COUNTIFS(Results!$E:$E,"&gt;="&amp;$I$2,Results!$E:$E,"&lt;="&amp;$I$3,Results!$F:$F,"Negative",Results!$L:$L,"Positive")</f>
        <v>0</v>
      </c>
      <c r="F46" s="24"/>
      <c r="G46" s="28">
        <f>COUNTIFS(Results!$E:$E,"&gt;="&amp;$I$2,Results!$E:$E,"&lt;="&amp;$I$3,Results!$L:$L,"Positive", Results!$F:$F,"*tive", Results!$L:$L,"&lt;&gt;Not on Form", Results!$L:$L,"&lt;&gt;N/A")</f>
        <v>0</v>
      </c>
      <c r="H46" s="31" t="s">
        <v>81</v>
      </c>
      <c r="J46" s="15" t="str">
        <f t="shared" ref="J46:J48" si="3">IF(SUM(C46:F46)=G46,"","Check Total Value &amp; Category")</f>
        <v/>
      </c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t="14.25" customHeight="1">
      <c r="A47" s="44" t="s">
        <v>82</v>
      </c>
      <c r="B47" s="45"/>
      <c r="C47" s="23">
        <f>COUNTIFS(Results!$E:$E,"&gt;="&amp;$I$2,Results!$E:$E,"&lt;="&amp;$I$3,Results!$F:$F,"Positive",Results!$L:$L,"Negative")</f>
        <v>0</v>
      </c>
      <c r="D47" s="24"/>
      <c r="E47" s="23">
        <f>COUNTIFS(Results!$E:$E,"&gt;="&amp;$I$2,Results!$E:$E,"&lt;="&amp;$I$3,Results!$F:$F,"Negative",Results!$L:$L,"Negative")</f>
        <v>0</v>
      </c>
      <c r="F47" s="24"/>
      <c r="G47" s="28">
        <f>COUNTIFS(Results!$E:$E,"&gt;="&amp;$I$2,Results!$E:$E,"&lt;="&amp;$I$3,Results!$L:$L,"Negative", Results!$F:$F,"*tive", Results!$F:$F,"*tive", Results!$L:$L,"&lt;&gt;Not on Form", Results!$L:$L,"&lt;&gt;N/A")</f>
        <v>0</v>
      </c>
      <c r="H47" s="33"/>
      <c r="J47" s="15" t="str">
        <f t="shared" si="3"/>
        <v/>
      </c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t="14.25" customHeight="1">
      <c r="A48" s="44" t="s">
        <v>83</v>
      </c>
      <c r="B48" s="45"/>
      <c r="C48" s="23">
        <f>COUNTIFS(Results!$E:$E,"&gt;="&amp;$I$2,Results!$E:$E,"&lt;="&amp;$I$3,Results!$F:$F,"Positive",Results!$L:$L,"Not Done")</f>
        <v>0</v>
      </c>
      <c r="D48" s="24"/>
      <c r="E48" s="23">
        <f>COUNTIFS(Results!$E:$E,"&gt;="&amp;$I$2,Results!$E:$E,"&lt;="&amp;$I$3,Results!$F:$F,"Negative",Results!$L:$L,"Not Done")</f>
        <v>0</v>
      </c>
      <c r="F48" s="24"/>
      <c r="G48" s="28">
        <f>COUNTIFS(Results!$E:$E,"&gt;="&amp;$I$2,Results!$E:$E,"&lt;="&amp;$I$3,Results!$L:$L,"Not Done", Results!$F:$F,"*tive", Results!$F:$F,"*tive", Results!$L:$L,"&lt;&gt;Not on Form", Results!$L:$L,"&lt;&gt;N/A")</f>
        <v>0</v>
      </c>
      <c r="H48" s="33"/>
      <c r="J48" s="15" t="str">
        <f t="shared" si="3"/>
        <v/>
      </c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t="14.25" customHeight="1">
      <c r="A49" s="15"/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t="14.25" customHeight="1">
      <c r="A50" s="36"/>
      <c r="B50" s="36"/>
      <c r="C50" s="46" t="s">
        <v>78</v>
      </c>
      <c r="D50" s="24"/>
      <c r="E50" s="46" t="s">
        <v>79</v>
      </c>
      <c r="F50" s="24"/>
      <c r="G50" s="47" t="s">
        <v>49</v>
      </c>
      <c r="H50" s="36"/>
      <c r="I50" s="36"/>
      <c r="J50" s="36"/>
      <c r="K50" s="36"/>
      <c r="L50" s="36"/>
      <c r="M50" s="36"/>
      <c r="N50" s="36"/>
      <c r="O50" s="36"/>
      <c r="P50" s="36"/>
      <c r="Q50" s="36"/>
      <c r="R50" s="36"/>
      <c r="S50" s="36"/>
      <c r="T50" s="36"/>
      <c r="U50" s="36"/>
      <c r="V50" s="36"/>
      <c r="W50" s="36"/>
      <c r="X50" s="36"/>
      <c r="Y50" s="36"/>
      <c r="Z50" s="36"/>
    </row>
    <row r="51" ht="14.25" customHeight="1">
      <c r="A51" s="42" t="s">
        <v>84</v>
      </c>
      <c r="B51" s="37"/>
      <c r="C51" s="48">
        <f>COUNTIFS(Results!$E:$E,"&gt;="&amp;$I$2,Results!$E:$E,"&lt;="&amp;$I$3,Results!$F:$F,"Positive",Results!$P:$P,"CXR")</f>
        <v>0</v>
      </c>
      <c r="D51" s="24"/>
      <c r="E51" s="48">
        <f>COUNTIFS(Results!$E:$E,"&gt;="&amp;$I$2,Results!$E:$E,"&lt;="&amp;$I$3,Results!$F:$F,"Negative",Results!$P:$P,"CXR")</f>
        <v>0</v>
      </c>
      <c r="F51" s="24"/>
      <c r="G51" s="49">
        <f>COUNTIFS(Results!$E:$E,"&gt;="&amp;$I$2,Results!$E:$E,"&lt;="&amp;$I$3,Results!$F:$F,"Negative",Results!$P:$P,"CXR")</f>
        <v>0</v>
      </c>
      <c r="H51" s="40"/>
      <c r="I51" s="40"/>
      <c r="J51" s="40"/>
      <c r="K51" s="40"/>
      <c r="L51" s="40"/>
      <c r="M51" s="40"/>
      <c r="N51" s="40"/>
      <c r="O51" s="40"/>
      <c r="P51" s="40"/>
      <c r="Q51" s="40"/>
      <c r="R51" s="40"/>
      <c r="S51" s="40"/>
      <c r="T51" s="40"/>
      <c r="U51" s="40"/>
      <c r="V51" s="40"/>
      <c r="W51" s="40"/>
      <c r="X51" s="40"/>
      <c r="Y51" s="40"/>
      <c r="Z51" s="40"/>
    </row>
    <row r="52" ht="14.25" customHeight="1">
      <c r="A52" s="15"/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t="14.25" customHeight="1">
      <c r="A53" s="15" t="s">
        <v>85</v>
      </c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t="14.25" customHeight="1">
      <c r="A54" s="28"/>
      <c r="B54" s="28"/>
      <c r="C54" s="23" t="s">
        <v>86</v>
      </c>
      <c r="D54" s="24"/>
      <c r="E54" s="23" t="s">
        <v>87</v>
      </c>
      <c r="F54" s="24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t="14.25" customHeight="1">
      <c r="A55" s="44" t="s">
        <v>88</v>
      </c>
      <c r="B55" s="45"/>
      <c r="C55" s="23"/>
      <c r="D55" s="24"/>
      <c r="E55" s="23"/>
      <c r="F55" s="24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t="14.25" customHeight="1">
      <c r="A56" s="44" t="s">
        <v>89</v>
      </c>
      <c r="B56" s="45"/>
      <c r="C56" s="23"/>
      <c r="D56" s="24"/>
      <c r="E56" s="23"/>
      <c r="F56" s="24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t="14.25" customHeight="1">
      <c r="A57" s="44" t="s">
        <v>90</v>
      </c>
      <c r="B57" s="45"/>
      <c r="C57" s="23">
        <f>COUNTIFS(Results!$E:$E,"&gt;="&amp;$I$2,Results!$E:$E,"&lt;="&amp;$I$3)</f>
        <v>0</v>
      </c>
      <c r="D57" s="24"/>
      <c r="E57" s="23"/>
      <c r="F57" s="24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t="14.25" customHeight="1">
      <c r="A58" s="44" t="s">
        <v>91</v>
      </c>
      <c r="B58" s="45"/>
      <c r="C58" s="23">
        <f>C55+C56-C57</f>
        <v>0</v>
      </c>
      <c r="D58" s="24"/>
      <c r="E58" s="23"/>
      <c r="F58" s="24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t="14.25" customHeight="1">
      <c r="A59" s="50" t="s">
        <v>92</v>
      </c>
      <c r="B59" s="50"/>
      <c r="C59" s="50">
        <f>COUNTIFS(Results!$E:$E,"&gt;="&amp;$I$2,Results!$E:$E,"&lt;="&amp;$I$3,Results!$F:$F,"Error")+COUNTIFS(Results!$E:$E,"&gt;="&amp;$I$2,Results!$E:$E,"&lt;="&amp;$I$3,Results!$F:$F,"Invalid")</f>
        <v>0</v>
      </c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t="14.25" customHeight="1">
      <c r="A60" s="50" t="s">
        <v>93</v>
      </c>
      <c r="B60" s="15"/>
      <c r="C60" s="50">
        <f>COUNTIFS(Results!$E:$E,"&gt;="&amp;$I$2,Results!$E:$E,"&lt;="&amp;$I$3,Results!$F:$F,"No Result")</f>
        <v>0</v>
      </c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t="14.25" customHeight="1">
      <c r="A61" s="15"/>
      <c r="B61" s="15"/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t="14.25" customHeight="1">
      <c r="A62" s="15"/>
      <c r="B62" s="15"/>
      <c r="C62" s="15"/>
      <c r="D62" s="15"/>
      <c r="E62" s="15" t="s">
        <v>94</v>
      </c>
      <c r="F62" s="51"/>
      <c r="G62" s="51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t="14.25" customHeight="1">
      <c r="A63" s="15"/>
      <c r="B63" s="15"/>
      <c r="C63" s="15"/>
      <c r="D63" s="15"/>
      <c r="E63" s="15" t="s">
        <v>95</v>
      </c>
      <c r="F63" s="52"/>
      <c r="G63" s="52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t="14.25" customHeight="1">
      <c r="A64" s="15"/>
      <c r="B64" s="15"/>
      <c r="C64" s="15"/>
      <c r="D64" s="15"/>
      <c r="E64" s="15" t="s">
        <v>96</v>
      </c>
      <c r="F64" s="52"/>
      <c r="G64" s="52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t="14.25" customHeight="1">
      <c r="A65" s="15"/>
      <c r="B65" s="15"/>
      <c r="C65" s="15"/>
      <c r="D65" s="15"/>
      <c r="E65" s="15" t="s">
        <v>97</v>
      </c>
      <c r="F65" s="52"/>
      <c r="G65" s="52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t="14.25" customHeight="1">
      <c r="A66" s="15"/>
      <c r="B66" s="15"/>
      <c r="C66" s="15"/>
      <c r="D66" s="15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t="14.25" customHeight="1">
      <c r="A67" s="15"/>
      <c r="B67" s="15"/>
      <c r="C67" s="15"/>
      <c r="D67" s="15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t="14.25" customHeight="1">
      <c r="A68" s="15"/>
      <c r="B68" s="15"/>
      <c r="C68" s="15"/>
      <c r="D68" s="15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t="14.25" customHeight="1">
      <c r="A69" s="15"/>
      <c r="B69" s="15"/>
      <c r="C69" s="15"/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t="14.25" customHeight="1">
      <c r="A70" s="15"/>
      <c r="B70" s="15"/>
      <c r="C70" s="15"/>
      <c r="D70" s="15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t="14.25" customHeight="1">
      <c r="A71" s="15"/>
      <c r="B71" s="15"/>
      <c r="C71" s="15"/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t="14.25" customHeight="1">
      <c r="A72" s="15"/>
      <c r="B72" s="15"/>
      <c r="C72" s="15"/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t="14.25" customHeight="1">
      <c r="A73" s="15"/>
      <c r="B73" s="15"/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t="14.25" customHeight="1">
      <c r="A74" s="15"/>
      <c r="B74" s="15"/>
      <c r="C74" s="15"/>
      <c r="D74" s="15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t="14.25" customHeight="1">
      <c r="A75" s="15"/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t="14.25" customHeight="1">
      <c r="A76" s="15"/>
      <c r="B76" s="15"/>
      <c r="C76" s="15"/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t="14.25" customHeight="1">
      <c r="A77" s="15"/>
      <c r="B77" s="15"/>
      <c r="C77" s="15"/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t="14.25" customHeight="1">
      <c r="A78" s="15"/>
      <c r="B78" s="15"/>
      <c r="C78" s="15"/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t="14.25" customHeight="1">
      <c r="A79" s="15"/>
      <c r="B79" s="15"/>
      <c r="C79" s="15"/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t="14.25" customHeight="1">
      <c r="A80" s="15"/>
      <c r="B80" s="15"/>
      <c r="C80" s="15"/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t="14.25" customHeight="1">
      <c r="A81" s="15"/>
      <c r="B81" s="15"/>
      <c r="C81" s="15"/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t="14.25" customHeight="1">
      <c r="A82" s="15"/>
      <c r="B82" s="15"/>
      <c r="C82" s="15"/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t="14.25" customHeight="1">
      <c r="A83" s="15"/>
      <c r="B83" s="15"/>
      <c r="C83" s="15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t="14.25" customHeight="1">
      <c r="A84" s="15"/>
      <c r="B84" s="15"/>
      <c r="C84" s="15"/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t="14.25" customHeight="1">
      <c r="A85" s="15"/>
      <c r="B85" s="15"/>
      <c r="C85" s="15"/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t="14.25" customHeight="1">
      <c r="A86" s="15"/>
      <c r="B86" s="15"/>
      <c r="C86" s="15"/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t="14.25" customHeight="1">
      <c r="A87" s="15"/>
      <c r="B87" s="15"/>
      <c r="C87" s="15"/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t="14.25" customHeight="1">
      <c r="A88" s="15"/>
      <c r="B88" s="15"/>
      <c r="C88" s="15"/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t="14.25" customHeight="1">
      <c r="A89" s="15"/>
      <c r="B89" s="15"/>
      <c r="C89" s="15"/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t="14.25" customHeight="1">
      <c r="A90" s="15"/>
      <c r="B90" s="15"/>
      <c r="C90" s="15"/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t="14.25" customHeight="1">
      <c r="A91" s="15"/>
      <c r="B91" s="15"/>
      <c r="C91" s="15"/>
      <c r="D91" s="15"/>
      <c r="E91" s="15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t="14.25" customHeight="1">
      <c r="A92" s="15"/>
      <c r="B92" s="15"/>
      <c r="C92" s="15"/>
      <c r="D92" s="15"/>
      <c r="E92" s="15"/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t="14.25" customHeight="1">
      <c r="A93" s="15"/>
      <c r="B93" s="15"/>
      <c r="C93" s="15"/>
      <c r="D93" s="15"/>
      <c r="E93" s="15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t="14.25" customHeight="1">
      <c r="A94" s="15"/>
      <c r="B94" s="15"/>
      <c r="C94" s="15"/>
      <c r="D94" s="15"/>
      <c r="E94" s="15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t="14.25" customHeight="1">
      <c r="A95" s="15"/>
      <c r="B95" s="15"/>
      <c r="C95" s="15"/>
      <c r="D95" s="15"/>
      <c r="E95" s="15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t="14.25" customHeight="1">
      <c r="A96" s="15"/>
      <c r="B96" s="15"/>
      <c r="C96" s="15"/>
      <c r="D96" s="15"/>
      <c r="E96" s="15"/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t="14.25" customHeight="1">
      <c r="A97" s="15"/>
      <c r="B97" s="15"/>
      <c r="C97" s="15"/>
      <c r="D97" s="15"/>
      <c r="E97" s="15"/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t="14.25" customHeight="1">
      <c r="A98" s="15"/>
      <c r="B98" s="15"/>
      <c r="C98" s="15"/>
      <c r="D98" s="15"/>
      <c r="E98" s="15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t="14.25" customHeight="1">
      <c r="A99" s="15"/>
      <c r="B99" s="15"/>
      <c r="C99" s="15"/>
      <c r="D99" s="15"/>
      <c r="E99" s="15"/>
      <c r="F99" s="15"/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t="14.25" customHeight="1">
      <c r="A100" s="15"/>
      <c r="B100" s="15"/>
      <c r="C100" s="15"/>
      <c r="D100" s="15"/>
      <c r="E100" s="15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t="14.25" customHeight="1">
      <c r="A101" s="15"/>
      <c r="B101" s="15"/>
      <c r="C101" s="15"/>
      <c r="D101" s="15"/>
      <c r="E101" s="15"/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t="14.25" customHeight="1">
      <c r="A102" s="15"/>
      <c r="B102" s="15"/>
      <c r="C102" s="15"/>
      <c r="D102" s="15"/>
      <c r="E102" s="15"/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t="14.25" customHeight="1">
      <c r="A103" s="15"/>
      <c r="B103" s="15"/>
      <c r="C103" s="15"/>
      <c r="D103" s="15"/>
      <c r="E103" s="15"/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t="14.25" customHeight="1">
      <c r="A104" s="15"/>
      <c r="B104" s="15"/>
      <c r="C104" s="15"/>
      <c r="D104" s="15"/>
      <c r="E104" s="15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t="14.25" customHeight="1">
      <c r="A105" s="15"/>
      <c r="B105" s="15"/>
      <c r="C105" s="15"/>
      <c r="D105" s="15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t="14.25" customHeight="1">
      <c r="A106" s="15"/>
      <c r="B106" s="15"/>
      <c r="C106" s="15"/>
      <c r="D106" s="15"/>
      <c r="E106" s="15"/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t="14.25" customHeight="1">
      <c r="A107" s="15"/>
      <c r="B107" s="15"/>
      <c r="C107" s="15"/>
      <c r="D107" s="15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t="14.25" customHeight="1">
      <c r="A108" s="15"/>
      <c r="B108" s="15"/>
      <c r="C108" s="15"/>
      <c r="D108" s="15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t="14.25" customHeight="1">
      <c r="A109" s="15"/>
      <c r="B109" s="15"/>
      <c r="C109" s="15"/>
      <c r="D109" s="15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t="14.25" customHeight="1">
      <c r="A110" s="15"/>
      <c r="B110" s="15"/>
      <c r="C110" s="15"/>
      <c r="D110" s="15"/>
      <c r="E110" s="15"/>
      <c r="F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t="14.25" customHeight="1">
      <c r="A111" s="15"/>
      <c r="B111" s="15"/>
      <c r="C111" s="15"/>
      <c r="D111" s="15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t="14.25" customHeight="1">
      <c r="A112" s="15"/>
      <c r="B112" s="15"/>
      <c r="C112" s="15"/>
      <c r="D112" s="15"/>
      <c r="E112" s="15"/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t="14.25" customHeight="1">
      <c r="A113" s="15"/>
      <c r="B113" s="15"/>
      <c r="C113" s="15"/>
      <c r="D113" s="15"/>
      <c r="E113" s="15"/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t="14.25" customHeight="1">
      <c r="A114" s="15"/>
      <c r="B114" s="15"/>
      <c r="C114" s="15"/>
      <c r="D114" s="15"/>
      <c r="E114" s="15"/>
      <c r="F114" s="15"/>
      <c r="G114" s="15"/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t="14.25" customHeight="1">
      <c r="A115" s="15"/>
      <c r="B115" s="15"/>
      <c r="C115" s="15"/>
      <c r="D115" s="15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t="14.25" customHeight="1">
      <c r="A116" s="15"/>
      <c r="B116" s="15"/>
      <c r="C116" s="15"/>
      <c r="D116" s="15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t="14.25" customHeight="1">
      <c r="A117" s="15"/>
      <c r="B117" s="15"/>
      <c r="C117" s="15"/>
      <c r="D117" s="15"/>
      <c r="E117" s="15"/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t="14.25" customHeight="1">
      <c r="A118" s="15"/>
      <c r="B118" s="15"/>
      <c r="C118" s="15"/>
      <c r="D118" s="15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t="14.25" customHeight="1">
      <c r="A119" s="15"/>
      <c r="B119" s="15"/>
      <c r="C119" s="15"/>
      <c r="D119" s="15"/>
      <c r="E119" s="15"/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t="14.25" customHeight="1">
      <c r="A120" s="15"/>
      <c r="B120" s="15"/>
      <c r="C120" s="15"/>
      <c r="D120" s="15"/>
      <c r="E120" s="15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t="14.25" customHeight="1">
      <c r="A121" s="15"/>
      <c r="B121" s="15"/>
      <c r="C121" s="15"/>
      <c r="D121" s="15"/>
      <c r="E121" s="15"/>
      <c r="F121" s="15"/>
      <c r="G121" s="15"/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t="14.25" customHeight="1">
      <c r="A122" s="15"/>
      <c r="B122" s="15"/>
      <c r="C122" s="15"/>
      <c r="D122" s="15"/>
      <c r="E122" s="15"/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t="14.25" customHeight="1">
      <c r="A123" s="15"/>
      <c r="B123" s="15"/>
      <c r="C123" s="15"/>
      <c r="D123" s="15"/>
      <c r="E123" s="15"/>
      <c r="F123" s="15"/>
      <c r="G123" s="15"/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t="14.25" customHeight="1">
      <c r="A124" s="15"/>
      <c r="B124" s="15"/>
      <c r="C124" s="15"/>
      <c r="D124" s="15"/>
      <c r="E124" s="15"/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t="14.25" customHeight="1">
      <c r="A125" s="15"/>
      <c r="B125" s="15"/>
      <c r="C125" s="15"/>
      <c r="D125" s="15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t="14.25" customHeight="1">
      <c r="A126" s="15"/>
      <c r="B126" s="15"/>
      <c r="C126" s="15"/>
      <c r="D126" s="15"/>
      <c r="E126" s="15"/>
      <c r="F126" s="15"/>
      <c r="G126" s="15"/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t="14.25" customHeight="1">
      <c r="A127" s="15"/>
      <c r="B127" s="15"/>
      <c r="C127" s="15"/>
      <c r="D127" s="15"/>
      <c r="E127" s="15"/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t="14.25" customHeight="1">
      <c r="A128" s="15"/>
      <c r="B128" s="15"/>
      <c r="C128" s="15"/>
      <c r="D128" s="15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t="14.25" customHeight="1">
      <c r="A129" s="15"/>
      <c r="B129" s="15"/>
      <c r="C129" s="15"/>
      <c r="D129" s="15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t="14.25" customHeight="1">
      <c r="A130" s="15"/>
      <c r="B130" s="15"/>
      <c r="C130" s="15"/>
      <c r="D130" s="15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t="14.25" customHeight="1">
      <c r="A131" s="15"/>
      <c r="B131" s="15"/>
      <c r="C131" s="15"/>
      <c r="D131" s="15"/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t="14.25" customHeight="1">
      <c r="A132" s="15"/>
      <c r="B132" s="15"/>
      <c r="C132" s="15"/>
      <c r="D132" s="15"/>
      <c r="E132" s="15"/>
      <c r="F132" s="15"/>
      <c r="G132" s="15"/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t="14.25" customHeight="1">
      <c r="A133" s="15"/>
      <c r="B133" s="15"/>
      <c r="C133" s="15"/>
      <c r="D133" s="15"/>
      <c r="E133" s="15"/>
      <c r="F133" s="15"/>
      <c r="G133" s="15"/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t="14.25" customHeight="1">
      <c r="A134" s="15"/>
      <c r="B134" s="15"/>
      <c r="C134" s="15"/>
      <c r="D134" s="15"/>
      <c r="E134" s="15"/>
      <c r="F134" s="15"/>
      <c r="G134" s="15"/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t="14.25" customHeight="1">
      <c r="A135" s="15"/>
      <c r="B135" s="15"/>
      <c r="C135" s="15"/>
      <c r="D135" s="15"/>
      <c r="E135" s="15"/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t="14.25" customHeight="1">
      <c r="A136" s="15"/>
      <c r="B136" s="15"/>
      <c r="C136" s="15"/>
      <c r="D136" s="15"/>
      <c r="E136" s="15"/>
      <c r="F136" s="15"/>
      <c r="G136" s="15"/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t="14.25" customHeight="1">
      <c r="A137" s="15"/>
      <c r="B137" s="15"/>
      <c r="C137" s="15"/>
      <c r="D137" s="15"/>
      <c r="E137" s="15"/>
      <c r="F137" s="15"/>
      <c r="G137" s="15"/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t="14.25" customHeight="1">
      <c r="A138" s="15"/>
      <c r="B138" s="15"/>
      <c r="C138" s="15"/>
      <c r="D138" s="15"/>
      <c r="E138" s="15"/>
      <c r="F138" s="15"/>
      <c r="G138" s="15"/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t="14.25" customHeight="1">
      <c r="A139" s="15"/>
      <c r="B139" s="15"/>
      <c r="C139" s="15"/>
      <c r="D139" s="15"/>
      <c r="E139" s="15"/>
      <c r="F139" s="15"/>
      <c r="G139" s="15"/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t="14.25" customHeight="1">
      <c r="A140" s="15"/>
      <c r="B140" s="15"/>
      <c r="C140" s="15"/>
      <c r="D140" s="15"/>
      <c r="E140" s="15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t="14.25" customHeight="1">
      <c r="A141" s="15"/>
      <c r="B141" s="15"/>
      <c r="C141" s="15"/>
      <c r="D141" s="15"/>
      <c r="E141" s="15"/>
      <c r="F141" s="15"/>
      <c r="G141" s="15"/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t="14.25" customHeight="1">
      <c r="A142" s="15"/>
      <c r="B142" s="15"/>
      <c r="C142" s="15"/>
      <c r="D142" s="15"/>
      <c r="E142" s="15"/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t="14.25" customHeight="1">
      <c r="A143" s="15"/>
      <c r="B143" s="15"/>
      <c r="C143" s="15"/>
      <c r="D143" s="15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t="14.25" customHeight="1">
      <c r="A144" s="15"/>
      <c r="B144" s="15"/>
      <c r="C144" s="15"/>
      <c r="D144" s="15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t="14.25" customHeight="1">
      <c r="A145" s="15"/>
      <c r="B145" s="15"/>
      <c r="C145" s="15"/>
      <c r="D145" s="15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t="14.25" customHeight="1">
      <c r="A146" s="15"/>
      <c r="B146" s="15"/>
      <c r="C146" s="15"/>
      <c r="D146" s="15"/>
      <c r="E146" s="15"/>
      <c r="F146" s="15"/>
      <c r="G146" s="15"/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t="14.25" customHeight="1">
      <c r="A147" s="15"/>
      <c r="B147" s="15"/>
      <c r="C147" s="15"/>
      <c r="D147" s="15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t="14.25" customHeight="1">
      <c r="A148" s="15"/>
      <c r="B148" s="15"/>
      <c r="C148" s="15"/>
      <c r="D148" s="15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t="14.25" customHeight="1">
      <c r="A149" s="15"/>
      <c r="B149" s="15"/>
      <c r="C149" s="15"/>
      <c r="D149" s="15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t="14.25" customHeight="1">
      <c r="A150" s="15"/>
      <c r="B150" s="15"/>
      <c r="C150" s="15"/>
      <c r="D150" s="15"/>
      <c r="E150" s="15"/>
      <c r="F150" s="15"/>
      <c r="G150" s="15"/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t="14.25" customHeight="1">
      <c r="A151" s="15"/>
      <c r="B151" s="15"/>
      <c r="C151" s="15"/>
      <c r="D151" s="15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t="14.25" customHeight="1">
      <c r="A152" s="15"/>
      <c r="B152" s="15"/>
      <c r="C152" s="15"/>
      <c r="D152" s="15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t="14.25" customHeight="1">
      <c r="A153" s="15"/>
      <c r="B153" s="15"/>
      <c r="C153" s="15"/>
      <c r="D153" s="15"/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t="14.25" customHeight="1">
      <c r="A154" s="15"/>
      <c r="B154" s="15"/>
      <c r="C154" s="15"/>
      <c r="D154" s="15"/>
      <c r="E154" s="15"/>
      <c r="F154" s="15"/>
      <c r="G154" s="15"/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t="14.25" customHeight="1">
      <c r="A155" s="15"/>
      <c r="B155" s="15"/>
      <c r="C155" s="15"/>
      <c r="D155" s="15"/>
      <c r="E155" s="15"/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t="14.25" customHeight="1">
      <c r="A156" s="15"/>
      <c r="B156" s="15"/>
      <c r="C156" s="15"/>
      <c r="D156" s="15"/>
      <c r="E156" s="15"/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t="14.25" customHeight="1">
      <c r="A157" s="15"/>
      <c r="B157" s="15"/>
      <c r="C157" s="15"/>
      <c r="D157" s="15"/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t="14.25" customHeight="1">
      <c r="A158" s="15"/>
      <c r="B158" s="15"/>
      <c r="C158" s="15"/>
      <c r="D158" s="15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t="14.25" customHeight="1">
      <c r="A159" s="15"/>
      <c r="B159" s="15"/>
      <c r="C159" s="15"/>
      <c r="D159" s="15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t="14.25" customHeight="1">
      <c r="A160" s="15"/>
      <c r="B160" s="15"/>
      <c r="C160" s="15"/>
      <c r="D160" s="15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t="14.25" customHeight="1">
      <c r="A161" s="15"/>
      <c r="B161" s="15"/>
      <c r="C161" s="15"/>
      <c r="D161" s="15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t="14.25" customHeight="1">
      <c r="A162" s="15"/>
      <c r="B162" s="15"/>
      <c r="C162" s="15"/>
      <c r="D162" s="15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t="14.25" customHeight="1">
      <c r="A163" s="15"/>
      <c r="B163" s="15"/>
      <c r="C163" s="15"/>
      <c r="D163" s="15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t="14.25" customHeight="1">
      <c r="A164" s="15"/>
      <c r="B164" s="15"/>
      <c r="C164" s="15"/>
      <c r="D164" s="15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t="14.25" customHeight="1">
      <c r="A165" s="15"/>
      <c r="B165" s="15"/>
      <c r="C165" s="15"/>
      <c r="D165" s="15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t="14.25" customHeight="1">
      <c r="A166" s="15"/>
      <c r="B166" s="15"/>
      <c r="C166" s="15"/>
      <c r="D166" s="15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t="14.25" customHeight="1">
      <c r="A167" s="15"/>
      <c r="B167" s="15"/>
      <c r="C167" s="15"/>
      <c r="D167" s="15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t="14.25" customHeight="1">
      <c r="A168" s="15"/>
      <c r="B168" s="15"/>
      <c r="C168" s="15"/>
      <c r="D168" s="15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t="14.25" customHeight="1">
      <c r="A169" s="15"/>
      <c r="B169" s="15"/>
      <c r="C169" s="15"/>
      <c r="D169" s="15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t="14.25" customHeight="1">
      <c r="A170" s="15"/>
      <c r="B170" s="15"/>
      <c r="C170" s="15"/>
      <c r="D170" s="15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t="14.25" customHeight="1">
      <c r="A171" s="15"/>
      <c r="B171" s="15"/>
      <c r="C171" s="15"/>
      <c r="D171" s="15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t="14.25" customHeight="1">
      <c r="A172" s="15"/>
      <c r="B172" s="15"/>
      <c r="C172" s="15"/>
      <c r="D172" s="15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t="14.25" customHeight="1">
      <c r="A173" s="15"/>
      <c r="B173" s="15"/>
      <c r="C173" s="15"/>
      <c r="D173" s="15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t="14.25" customHeight="1">
      <c r="A174" s="15"/>
      <c r="B174" s="15"/>
      <c r="C174" s="15"/>
      <c r="D174" s="15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t="14.25" customHeight="1">
      <c r="A175" s="15"/>
      <c r="B175" s="15"/>
      <c r="C175" s="15"/>
      <c r="D175" s="15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t="14.25" customHeight="1">
      <c r="A176" s="15"/>
      <c r="B176" s="15"/>
      <c r="C176" s="15"/>
      <c r="D176" s="15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t="14.25" customHeight="1">
      <c r="A177" s="15"/>
      <c r="B177" s="15"/>
      <c r="C177" s="15"/>
      <c r="D177" s="15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t="14.25" customHeight="1">
      <c r="A178" s="15"/>
      <c r="B178" s="15"/>
      <c r="C178" s="15"/>
      <c r="D178" s="15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t="14.25" customHeight="1">
      <c r="A179" s="15"/>
      <c r="B179" s="15"/>
      <c r="C179" s="15"/>
      <c r="D179" s="15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t="14.25" customHeight="1">
      <c r="A180" s="15"/>
      <c r="B180" s="15"/>
      <c r="C180" s="15"/>
      <c r="D180" s="15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t="14.25" customHeight="1">
      <c r="A181" s="15"/>
      <c r="B181" s="15"/>
      <c r="C181" s="15"/>
      <c r="D181" s="15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t="14.25" customHeight="1">
      <c r="A182" s="15"/>
      <c r="B182" s="15"/>
      <c r="C182" s="15"/>
      <c r="D182" s="15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t="14.25" customHeight="1">
      <c r="A183" s="15"/>
      <c r="B183" s="15"/>
      <c r="C183" s="15"/>
      <c r="D183" s="15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t="14.25" customHeight="1">
      <c r="A184" s="15"/>
      <c r="B184" s="15"/>
      <c r="C184" s="15"/>
      <c r="D184" s="15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t="14.25" customHeight="1">
      <c r="A185" s="15"/>
      <c r="B185" s="15"/>
      <c r="C185" s="15"/>
      <c r="D185" s="15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t="14.25" customHeight="1">
      <c r="A186" s="15"/>
      <c r="B186" s="15"/>
      <c r="C186" s="15"/>
      <c r="D186" s="15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t="14.25" customHeight="1">
      <c r="A187" s="15"/>
      <c r="B187" s="15"/>
      <c r="C187" s="15"/>
      <c r="D187" s="15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t="14.25" customHeight="1">
      <c r="A188" s="15"/>
      <c r="B188" s="15"/>
      <c r="C188" s="15"/>
      <c r="D188" s="15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t="14.25" customHeight="1">
      <c r="A189" s="15"/>
      <c r="B189" s="15"/>
      <c r="C189" s="15"/>
      <c r="D189" s="15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t="14.25" customHeight="1">
      <c r="A190" s="15"/>
      <c r="B190" s="15"/>
      <c r="C190" s="15"/>
      <c r="D190" s="15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t="14.25" customHeight="1">
      <c r="A191" s="15"/>
      <c r="B191" s="15"/>
      <c r="C191" s="15"/>
      <c r="D191" s="15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t="14.25" customHeight="1">
      <c r="A192" s="15"/>
      <c r="B192" s="15"/>
      <c r="C192" s="15"/>
      <c r="D192" s="15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t="14.25" customHeight="1">
      <c r="A193" s="15"/>
      <c r="B193" s="15"/>
      <c r="C193" s="15"/>
      <c r="D193" s="15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t="14.25" customHeight="1">
      <c r="A194" s="15"/>
      <c r="B194" s="15"/>
      <c r="C194" s="15"/>
      <c r="D194" s="15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t="14.25" customHeight="1">
      <c r="A195" s="15"/>
      <c r="B195" s="15"/>
      <c r="C195" s="15"/>
      <c r="D195" s="15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t="14.25" customHeight="1">
      <c r="A196" s="15"/>
      <c r="B196" s="15"/>
      <c r="C196" s="15"/>
      <c r="D196" s="15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t="14.25" customHeight="1">
      <c r="A197" s="15"/>
      <c r="B197" s="15"/>
      <c r="C197" s="15"/>
      <c r="D197" s="15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t="14.25" customHeight="1">
      <c r="A198" s="15"/>
      <c r="B198" s="15"/>
      <c r="C198" s="15"/>
      <c r="D198" s="15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t="14.25" customHeight="1">
      <c r="A199" s="15"/>
      <c r="B199" s="15"/>
      <c r="C199" s="15"/>
      <c r="D199" s="15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t="14.25" customHeight="1">
      <c r="A200" s="15"/>
      <c r="B200" s="15"/>
      <c r="C200" s="15"/>
      <c r="D200" s="15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t="14.25" customHeight="1">
      <c r="A201" s="15"/>
      <c r="B201" s="15"/>
      <c r="C201" s="15"/>
      <c r="D201" s="15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t="14.25" customHeight="1">
      <c r="A202" s="15"/>
      <c r="B202" s="15"/>
      <c r="C202" s="15"/>
      <c r="D202" s="15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t="14.25" customHeight="1">
      <c r="A203" s="15"/>
      <c r="B203" s="15"/>
      <c r="C203" s="15"/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t="14.25" customHeight="1">
      <c r="A204" s="15"/>
      <c r="B204" s="15"/>
      <c r="C204" s="15"/>
      <c r="D204" s="15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t="14.25" customHeight="1">
      <c r="A205" s="15"/>
      <c r="B205" s="15"/>
      <c r="C205" s="15"/>
      <c r="D205" s="15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t="14.25" customHeight="1">
      <c r="A206" s="15"/>
      <c r="B206" s="15"/>
      <c r="C206" s="15"/>
      <c r="D206" s="15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t="14.25" customHeight="1">
      <c r="A207" s="15"/>
      <c r="B207" s="15"/>
      <c r="C207" s="15"/>
      <c r="D207" s="15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t="14.25" customHeight="1">
      <c r="A208" s="15"/>
      <c r="B208" s="15"/>
      <c r="C208" s="15"/>
      <c r="D208" s="15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t="14.25" customHeight="1">
      <c r="A209" s="15"/>
      <c r="B209" s="15"/>
      <c r="C209" s="15"/>
      <c r="D209" s="15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t="14.25" customHeight="1">
      <c r="A210" s="15"/>
      <c r="B210" s="15"/>
      <c r="C210" s="15"/>
      <c r="D210" s="15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t="14.25" customHeight="1">
      <c r="A211" s="15"/>
      <c r="B211" s="15"/>
      <c r="C211" s="15"/>
      <c r="D211" s="15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t="14.25" customHeight="1">
      <c r="A212" s="15"/>
      <c r="B212" s="15"/>
      <c r="C212" s="15"/>
      <c r="D212" s="15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t="14.25" customHeight="1">
      <c r="A213" s="15"/>
      <c r="B213" s="15"/>
      <c r="C213" s="15"/>
      <c r="D213" s="15"/>
      <c r="E213" s="15"/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t="14.25" customHeight="1">
      <c r="A214" s="15"/>
      <c r="B214" s="15"/>
      <c r="C214" s="15"/>
      <c r="D214" s="15"/>
      <c r="E214" s="15"/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t="14.25" customHeight="1">
      <c r="A215" s="15"/>
      <c r="B215" s="15"/>
      <c r="C215" s="15"/>
      <c r="D215" s="15"/>
      <c r="E215" s="15"/>
      <c r="F215" s="15"/>
      <c r="G215" s="15"/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t="14.25" customHeight="1">
      <c r="A216" s="15"/>
      <c r="B216" s="15"/>
      <c r="C216" s="15"/>
      <c r="D216" s="15"/>
      <c r="E216" s="15"/>
      <c r="F216" s="15"/>
      <c r="G216" s="15"/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t="14.25" customHeight="1">
      <c r="A217" s="15"/>
      <c r="B217" s="15"/>
      <c r="C217" s="15"/>
      <c r="D217" s="15"/>
      <c r="E217" s="15"/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t="14.25" customHeight="1">
      <c r="A218" s="15"/>
      <c r="B218" s="15"/>
      <c r="C218" s="15"/>
      <c r="D218" s="15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t="14.25" customHeight="1">
      <c r="A219" s="15"/>
      <c r="B219" s="15"/>
      <c r="C219" s="15"/>
      <c r="D219" s="15"/>
      <c r="E219" s="15"/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t="14.25" customHeight="1">
      <c r="A220" s="15"/>
      <c r="B220" s="15"/>
      <c r="C220" s="15"/>
      <c r="D220" s="15"/>
      <c r="E220" s="15"/>
      <c r="F220" s="15"/>
      <c r="G220" s="15"/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t="14.25" customHeight="1">
      <c r="A221" s="15"/>
      <c r="B221" s="15"/>
      <c r="C221" s="15"/>
      <c r="D221" s="15"/>
      <c r="E221" s="15"/>
      <c r="F221" s="15"/>
      <c r="G221" s="15"/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t="14.25" customHeight="1">
      <c r="A222" s="15"/>
      <c r="B222" s="15"/>
      <c r="C222" s="15"/>
      <c r="D222" s="15"/>
      <c r="E222" s="15"/>
      <c r="F222" s="15"/>
      <c r="G222" s="15"/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t="14.25" customHeight="1">
      <c r="A223" s="15"/>
      <c r="B223" s="15"/>
      <c r="C223" s="15"/>
      <c r="D223" s="15"/>
      <c r="E223" s="15"/>
      <c r="F223" s="15"/>
      <c r="G223" s="15"/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t="14.25" customHeight="1">
      <c r="A224" s="15"/>
      <c r="B224" s="15"/>
      <c r="C224" s="15"/>
      <c r="D224" s="15"/>
      <c r="E224" s="15"/>
      <c r="F224" s="15"/>
      <c r="G224" s="15"/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t="14.25" customHeight="1">
      <c r="A225" s="15"/>
      <c r="B225" s="15"/>
      <c r="C225" s="15"/>
      <c r="D225" s="15"/>
      <c r="E225" s="15"/>
      <c r="F225" s="15"/>
      <c r="G225" s="15"/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t="14.25" customHeight="1">
      <c r="A226" s="15"/>
      <c r="B226" s="15"/>
      <c r="C226" s="15"/>
      <c r="D226" s="15"/>
      <c r="E226" s="15"/>
      <c r="F226" s="15"/>
      <c r="G226" s="15"/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t="14.25" customHeight="1">
      <c r="A227" s="15"/>
      <c r="B227" s="15"/>
      <c r="C227" s="15"/>
      <c r="D227" s="15"/>
      <c r="E227" s="15"/>
      <c r="F227" s="15"/>
      <c r="G227" s="15"/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t="14.25" customHeight="1">
      <c r="A228" s="15"/>
      <c r="B228" s="15"/>
      <c r="C228" s="15"/>
      <c r="D228" s="15"/>
      <c r="E228" s="15"/>
      <c r="F228" s="15"/>
      <c r="G228" s="15"/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t="14.25" customHeight="1">
      <c r="A229" s="15"/>
      <c r="B229" s="15"/>
      <c r="C229" s="15"/>
      <c r="D229" s="15"/>
      <c r="E229" s="15"/>
      <c r="F229" s="15"/>
      <c r="G229" s="15"/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t="14.25" customHeight="1">
      <c r="A230" s="15"/>
      <c r="B230" s="15"/>
      <c r="C230" s="15"/>
      <c r="D230" s="15"/>
      <c r="E230" s="15"/>
      <c r="F230" s="15"/>
      <c r="G230" s="15"/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t="14.25" customHeight="1">
      <c r="A231" s="15"/>
      <c r="B231" s="15"/>
      <c r="C231" s="15"/>
      <c r="D231" s="15"/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t="14.25" customHeight="1">
      <c r="A232" s="15"/>
      <c r="B232" s="15"/>
      <c r="C232" s="15"/>
      <c r="D232" s="15"/>
      <c r="E232" s="15"/>
      <c r="F232" s="15"/>
      <c r="G232" s="15"/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t="14.25" customHeight="1">
      <c r="A233" s="15"/>
      <c r="B233" s="15"/>
      <c r="C233" s="15"/>
      <c r="D233" s="15"/>
      <c r="E233" s="15"/>
      <c r="F233" s="15"/>
      <c r="G233" s="15"/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t="14.25" customHeight="1">
      <c r="A234" s="15"/>
      <c r="B234" s="15"/>
      <c r="C234" s="15"/>
      <c r="D234" s="15"/>
      <c r="E234" s="15"/>
      <c r="F234" s="15"/>
      <c r="G234" s="15"/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t="14.25" customHeight="1">
      <c r="A235" s="15"/>
      <c r="B235" s="15"/>
      <c r="C235" s="15"/>
      <c r="D235" s="15"/>
      <c r="E235" s="15"/>
      <c r="F235" s="15"/>
      <c r="G235" s="15"/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t="14.25" customHeight="1">
      <c r="A236" s="15"/>
      <c r="B236" s="15"/>
      <c r="C236" s="15"/>
      <c r="D236" s="15"/>
      <c r="E236" s="15"/>
      <c r="F236" s="15"/>
      <c r="G236" s="15"/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t="14.25" customHeight="1">
      <c r="A237" s="15"/>
      <c r="B237" s="15"/>
      <c r="C237" s="15"/>
      <c r="D237" s="15"/>
      <c r="E237" s="15"/>
      <c r="F237" s="15"/>
      <c r="G237" s="15"/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t="14.25" customHeight="1">
      <c r="A238" s="15"/>
      <c r="B238" s="15"/>
      <c r="C238" s="15"/>
      <c r="D238" s="15"/>
      <c r="E238" s="15"/>
      <c r="F238" s="15"/>
      <c r="G238" s="15"/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t="14.25" customHeight="1">
      <c r="A239" s="15"/>
      <c r="B239" s="15"/>
      <c r="C239" s="15"/>
      <c r="D239" s="15"/>
      <c r="E239" s="15"/>
      <c r="F239" s="15"/>
      <c r="G239" s="15"/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t="14.25" customHeight="1">
      <c r="A240" s="15"/>
      <c r="B240" s="15"/>
      <c r="C240" s="15"/>
      <c r="D240" s="15"/>
      <c r="E240" s="15"/>
      <c r="F240" s="15"/>
      <c r="G240" s="15"/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t="14.25" customHeight="1">
      <c r="A241" s="15"/>
      <c r="B241" s="15"/>
      <c r="C241" s="15"/>
      <c r="D241" s="15"/>
      <c r="E241" s="15"/>
      <c r="F241" s="15"/>
      <c r="G241" s="15"/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t="14.25" customHeight="1">
      <c r="A242" s="15"/>
      <c r="B242" s="15"/>
      <c r="C242" s="15"/>
      <c r="D242" s="15"/>
      <c r="E242" s="15"/>
      <c r="F242" s="15"/>
      <c r="G242" s="15"/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t="14.25" customHeight="1">
      <c r="A243" s="15"/>
      <c r="B243" s="15"/>
      <c r="C243" s="15"/>
      <c r="D243" s="15"/>
      <c r="E243" s="15"/>
      <c r="F243" s="15"/>
      <c r="G243" s="15"/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t="14.25" customHeight="1">
      <c r="A244" s="15"/>
      <c r="B244" s="15"/>
      <c r="C244" s="15"/>
      <c r="D244" s="15"/>
      <c r="E244" s="15"/>
      <c r="F244" s="15"/>
      <c r="G244" s="15"/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t="14.25" customHeight="1">
      <c r="A245" s="15"/>
      <c r="B245" s="15"/>
      <c r="C245" s="15"/>
      <c r="D245" s="15"/>
      <c r="E245" s="15"/>
      <c r="F245" s="15"/>
      <c r="G245" s="15"/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t="14.25" customHeight="1">
      <c r="A246" s="15"/>
      <c r="B246" s="15"/>
      <c r="C246" s="15"/>
      <c r="D246" s="15"/>
      <c r="E246" s="15"/>
      <c r="F246" s="15"/>
      <c r="G246" s="15"/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t="14.25" customHeight="1">
      <c r="A247" s="15"/>
      <c r="B247" s="15"/>
      <c r="C247" s="15"/>
      <c r="D247" s="15"/>
      <c r="E247" s="15"/>
      <c r="F247" s="15"/>
      <c r="G247" s="15"/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t="14.25" customHeight="1">
      <c r="A248" s="15"/>
      <c r="B248" s="15"/>
      <c r="C248" s="15"/>
      <c r="D248" s="15"/>
      <c r="E248" s="15"/>
      <c r="F248" s="15"/>
      <c r="G248" s="15"/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t="14.25" customHeight="1">
      <c r="A249" s="15"/>
      <c r="B249" s="15"/>
      <c r="C249" s="15"/>
      <c r="D249" s="15"/>
      <c r="E249" s="15"/>
      <c r="F249" s="15"/>
      <c r="G249" s="15"/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t="14.25" customHeight="1">
      <c r="A250" s="15"/>
      <c r="B250" s="15"/>
      <c r="C250" s="15"/>
      <c r="D250" s="15"/>
      <c r="E250" s="15"/>
      <c r="F250" s="15"/>
      <c r="G250" s="15"/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t="14.25" customHeight="1">
      <c r="A251" s="15"/>
      <c r="B251" s="15"/>
      <c r="C251" s="15"/>
      <c r="D251" s="15"/>
      <c r="E251" s="15"/>
      <c r="F251" s="15"/>
      <c r="G251" s="15"/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t="14.25" customHeight="1">
      <c r="A252" s="15"/>
      <c r="B252" s="15"/>
      <c r="C252" s="15"/>
      <c r="D252" s="15"/>
      <c r="E252" s="15"/>
      <c r="F252" s="15"/>
      <c r="G252" s="15"/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t="14.25" customHeight="1">
      <c r="A253" s="15"/>
      <c r="B253" s="15"/>
      <c r="C253" s="15"/>
      <c r="D253" s="15"/>
      <c r="E253" s="15"/>
      <c r="F253" s="15"/>
      <c r="G253" s="15"/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t="14.25" customHeight="1">
      <c r="A254" s="15"/>
      <c r="B254" s="15"/>
      <c r="C254" s="15"/>
      <c r="D254" s="15"/>
      <c r="E254" s="15"/>
      <c r="F254" s="15"/>
      <c r="G254" s="15"/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t="14.25" customHeight="1">
      <c r="A255" s="15"/>
      <c r="B255" s="15"/>
      <c r="C255" s="15"/>
      <c r="D255" s="15"/>
      <c r="E255" s="15"/>
      <c r="F255" s="15"/>
      <c r="G255" s="15"/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t="14.25" customHeight="1">
      <c r="A256" s="15"/>
      <c r="B256" s="15"/>
      <c r="C256" s="15"/>
      <c r="D256" s="15"/>
      <c r="E256" s="15"/>
      <c r="F256" s="15"/>
      <c r="G256" s="15"/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t="14.25" customHeight="1">
      <c r="A257" s="15"/>
      <c r="B257" s="15"/>
      <c r="C257" s="15"/>
      <c r="D257" s="15"/>
      <c r="E257" s="15"/>
      <c r="F257" s="15"/>
      <c r="G257" s="15"/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t="14.25" customHeight="1">
      <c r="A258" s="15"/>
      <c r="B258" s="15"/>
      <c r="C258" s="15"/>
      <c r="D258" s="15"/>
      <c r="E258" s="15"/>
      <c r="F258" s="15"/>
      <c r="G258" s="15"/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t="14.25" customHeight="1">
      <c r="A259" s="15"/>
      <c r="B259" s="15"/>
      <c r="C259" s="15"/>
      <c r="D259" s="15"/>
      <c r="E259" s="15"/>
      <c r="F259" s="15"/>
      <c r="G259" s="15"/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t="14.25" customHeight="1">
      <c r="A260" s="15"/>
      <c r="B260" s="15"/>
      <c r="C260" s="15"/>
      <c r="D260" s="15"/>
      <c r="E260" s="15"/>
      <c r="F260" s="15"/>
      <c r="G260" s="15"/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t="14.25" customHeight="1">
      <c r="A261" s="15"/>
      <c r="B261" s="15"/>
      <c r="C261" s="15"/>
      <c r="D261" s="15"/>
      <c r="E261" s="15"/>
      <c r="F261" s="15"/>
      <c r="G261" s="15"/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t="14.25" customHeight="1">
      <c r="A262" s="15"/>
      <c r="B262" s="15"/>
      <c r="C262" s="15"/>
      <c r="D262" s="15"/>
      <c r="E262" s="15"/>
      <c r="F262" s="15"/>
      <c r="G262" s="15"/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t="14.25" customHeight="1">
      <c r="A263" s="15"/>
      <c r="B263" s="15"/>
      <c r="C263" s="15"/>
      <c r="D263" s="15"/>
      <c r="E263" s="15"/>
      <c r="F263" s="15"/>
      <c r="G263" s="15"/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t="14.25" customHeight="1">
      <c r="A264" s="15"/>
      <c r="B264" s="15"/>
      <c r="C264" s="15"/>
      <c r="D264" s="15"/>
      <c r="E264" s="15"/>
      <c r="F264" s="15"/>
      <c r="G264" s="15"/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t="14.25" customHeight="1">
      <c r="A265" s="15"/>
      <c r="B265" s="15"/>
      <c r="C265" s="15"/>
      <c r="D265" s="15"/>
      <c r="E265" s="15"/>
      <c r="F265" s="15"/>
      <c r="G265" s="15"/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1">
    <mergeCell ref="G13:H15"/>
    <mergeCell ref="G16:H20"/>
    <mergeCell ref="G24:H26"/>
    <mergeCell ref="G27:H31"/>
    <mergeCell ref="A1:F1"/>
    <mergeCell ref="A7:A8"/>
    <mergeCell ref="B7:C7"/>
    <mergeCell ref="D7:E7"/>
    <mergeCell ref="F7:F8"/>
    <mergeCell ref="A13:A15"/>
    <mergeCell ref="A16:A20"/>
    <mergeCell ref="A24:A26"/>
    <mergeCell ref="A27:A31"/>
    <mergeCell ref="C41:D41"/>
    <mergeCell ref="E41:F41"/>
    <mergeCell ref="C42:D42"/>
    <mergeCell ref="E42:F42"/>
    <mergeCell ref="A35:A39"/>
    <mergeCell ref="C45:D45"/>
    <mergeCell ref="E45:F45"/>
    <mergeCell ref="C46:D46"/>
    <mergeCell ref="E46:F46"/>
    <mergeCell ref="H46:I48"/>
    <mergeCell ref="C47:D47"/>
    <mergeCell ref="E47:F47"/>
    <mergeCell ref="C54:D54"/>
    <mergeCell ref="C55:D55"/>
    <mergeCell ref="C56:D56"/>
    <mergeCell ref="C57:D57"/>
    <mergeCell ref="C58:D58"/>
    <mergeCell ref="E55:F55"/>
    <mergeCell ref="E56:F56"/>
    <mergeCell ref="E57:F57"/>
    <mergeCell ref="E58:F58"/>
    <mergeCell ref="C48:D48"/>
    <mergeCell ref="E48:F48"/>
    <mergeCell ref="E54:F54"/>
    <mergeCell ref="C50:D50"/>
    <mergeCell ref="E50:F50"/>
    <mergeCell ref="C51:D51"/>
    <mergeCell ref="E51:F51"/>
  </mergeCells>
  <conditionalFormatting sqref="G9">
    <cfRule type="notContainsBlanks" dxfId="0" priority="1">
      <formula>LEN(TRIM(G9))&gt;0</formula>
    </cfRule>
  </conditionalFormatting>
  <conditionalFormatting sqref="G13">
    <cfRule type="notContainsBlanks" dxfId="1" priority="2">
      <formula>LEN(TRIM(G13))&gt;0</formula>
    </cfRule>
  </conditionalFormatting>
  <conditionalFormatting sqref="G16">
    <cfRule type="notContainsBlanks" dxfId="1" priority="3">
      <formula>LEN(TRIM(G16))&gt;0</formula>
    </cfRule>
  </conditionalFormatting>
  <conditionalFormatting sqref="G24">
    <cfRule type="notContainsBlanks" dxfId="1" priority="4">
      <formula>LEN(TRIM(G24))&gt;0</formula>
    </cfRule>
  </conditionalFormatting>
  <conditionalFormatting sqref="G27">
    <cfRule type="notContainsBlanks" dxfId="1" priority="5">
      <formula>LEN(TRIM(G27))&gt;0</formula>
    </cfRule>
  </conditionalFormatting>
  <conditionalFormatting sqref="H46">
    <cfRule type="notContainsBlanks" dxfId="1" priority="6">
      <formula>LEN(TRIM(H46))&gt;0</formula>
    </cfRule>
  </conditionalFormatting>
  <conditionalFormatting sqref="I13:I20">
    <cfRule type="notContainsBlanks" dxfId="0" priority="7">
      <formula>LEN(TRIM(I13))&gt;0</formula>
    </cfRule>
  </conditionalFormatting>
  <conditionalFormatting sqref="I24:I31">
    <cfRule type="notContainsBlanks" dxfId="0" priority="8">
      <formula>LEN(TRIM(I24))&gt;0</formula>
    </cfRule>
  </conditionalFormatting>
  <conditionalFormatting sqref="J46:J48">
    <cfRule type="notContainsBlanks" dxfId="0" priority="9">
      <formula>LEN(TRIM(J46))&gt;0</formula>
    </cfRule>
  </conditionalFormatting>
  <printOptions/>
  <pageMargins bottom="0.75" footer="0.0" header="0.0" left="0.7" right="0.7" top="0.75"/>
  <pageSetup orientation="portrait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13.78"/>
    <col customWidth="1" min="2" max="2" width="25.0"/>
    <col customWidth="1" min="3" max="3" width="8.0"/>
    <col customWidth="1" min="4" max="4" width="11.33"/>
    <col customWidth="1" min="5" max="5" width="9.33"/>
    <col customWidth="1" min="6" max="6" width="6.0"/>
    <col customWidth="1" min="7" max="7" width="9.44"/>
    <col customWidth="1" min="8" max="8" width="20.33"/>
    <col customWidth="1" min="9" max="9" width="20.44"/>
    <col customWidth="1" min="10" max="10" width="11.0"/>
    <col customWidth="1" min="11" max="12" width="10.78"/>
    <col customWidth="1" min="13" max="26" width="11.0"/>
  </cols>
  <sheetData>
    <row r="1" ht="14.25" customHeight="1">
      <c r="A1" s="14" t="s">
        <v>38</v>
      </c>
      <c r="G1" s="15"/>
      <c r="H1" s="15"/>
      <c r="I1" s="16" t="s">
        <v>39</v>
      </c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14.25" customHeight="1">
      <c r="A2" s="15"/>
      <c r="B2" s="15"/>
      <c r="C2" s="15"/>
      <c r="D2" s="15"/>
      <c r="E2" s="15"/>
      <c r="F2" s="15"/>
      <c r="G2" s="15"/>
      <c r="H2" s="17" t="s">
        <v>40</v>
      </c>
      <c r="I2" s="18" t="str">
        <f>DATE(F3, 7, 1)</f>
        <v>#VALUE!</v>
      </c>
      <c r="J2" s="15"/>
      <c r="K2" s="19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t="14.25" customHeight="1">
      <c r="A3" s="15" t="s">
        <v>41</v>
      </c>
      <c r="B3" s="15"/>
      <c r="C3" s="20" t="s">
        <v>106</v>
      </c>
      <c r="D3" s="15"/>
      <c r="E3" s="15" t="s">
        <v>43</v>
      </c>
      <c r="F3" s="20" t="str">
        <f>YEAR(Results!E3)</f>
        <v>#VALUE!</v>
      </c>
      <c r="G3" s="15"/>
      <c r="H3" s="17" t="s">
        <v>44</v>
      </c>
      <c r="I3" s="18" t="str">
        <f>EOMONTH(I2,0)</f>
        <v>#VALUE!</v>
      </c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t="14.25" customHeight="1">
      <c r="A4" s="15" t="s">
        <v>45</v>
      </c>
      <c r="B4" s="15"/>
      <c r="C4" s="15"/>
      <c r="D4" s="15"/>
      <c r="E4" s="15"/>
      <c r="F4" s="15"/>
      <c r="G4" s="15"/>
      <c r="H4" s="15"/>
      <c r="I4" s="53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t="14.25" customHeight="1">
      <c r="A5" s="15"/>
      <c r="B5" s="15"/>
      <c r="C5" s="15"/>
      <c r="D5" s="15"/>
      <c r="E5" s="15"/>
      <c r="F5" s="15"/>
      <c r="G5" s="15"/>
      <c r="H5" s="15"/>
      <c r="I5" s="15"/>
      <c r="J5" s="15"/>
      <c r="K5" s="15"/>
      <c r="L5" s="15"/>
      <c r="M5" s="15"/>
      <c r="N5" s="15"/>
      <c r="O5" s="21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t="14.25" customHeight="1">
      <c r="A6" s="15" t="s">
        <v>46</v>
      </c>
      <c r="B6" s="15"/>
      <c r="C6" s="15"/>
      <c r="D6" s="15"/>
      <c r="E6" s="15"/>
      <c r="F6" s="15"/>
      <c r="G6" s="15"/>
      <c r="H6" s="15"/>
      <c r="I6" s="20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t="14.25" customHeight="1">
      <c r="A7" s="22"/>
      <c r="B7" s="23" t="s">
        <v>47</v>
      </c>
      <c r="C7" s="24"/>
      <c r="D7" s="23" t="s">
        <v>48</v>
      </c>
      <c r="E7" s="24"/>
      <c r="F7" s="25" t="s">
        <v>49</v>
      </c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t="14.25" customHeight="1">
      <c r="A8" s="26"/>
      <c r="B8" s="27" t="s">
        <v>50</v>
      </c>
      <c r="C8" s="27" t="s">
        <v>51</v>
      </c>
      <c r="D8" s="27" t="s">
        <v>50</v>
      </c>
      <c r="E8" s="27" t="s">
        <v>51</v>
      </c>
      <c r="F8" s="26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t="14.25" customHeight="1">
      <c r="A9" s="28"/>
      <c r="B9" s="28">
        <f>COUNTIFS(Results!$E:$E,"&gt;="&amp;$I$2,Results!$E:$E,"&lt;="&amp;$I$3,Results!$I:$I,"Male",Results!$J:$J,"&lt;15", Results!$F:$F,"*tive")</f>
        <v>0</v>
      </c>
      <c r="C9" s="28">
        <f>COUNTIFS(Results!$E:$E,"&gt;="&amp;$I$2,Results!$E:$E,"&lt;="&amp;$I$3,Results!$I:$I,"Male",Results!$J:$J,"&gt;=15", Results!$F:$F,"*tive")</f>
        <v>0</v>
      </c>
      <c r="D9" s="28">
        <f>COUNTIFS(Results!$E:$E,"&gt;="&amp;$I$2,Results!$E:$E,"&lt;="&amp;$I$3,Results!$I:$I,"Female",Results!$J:$J,"&lt;15", Results!$F:$F,"*tive")</f>
        <v>0</v>
      </c>
      <c r="E9" s="28">
        <f>COUNTIFS(Results!$E:$E,"&gt;="&amp;$I$2,Results!$E:$E,"&lt;="&amp;$I$3,Results!$I:$I,"Female",Results!$J:$J,"&gt;=15", Results!$F:$F,"*tive")</f>
        <v>0</v>
      </c>
      <c r="F9" s="28">
        <f>COUNTIFS(Results!$E:$E,"&gt;="&amp;$I$2,Results!$E:$E,"&lt;="&amp;$I$3, Results!$F:$F,"*tive", Results!$J:$J,"&lt;&gt;Not on Form", Results!$J:$J,"&lt;&gt;N/A", Results!$I:$I,"&lt;&gt;Not on Form", Results!$I:$I,"&lt;&gt;N/A")</f>
        <v>0</v>
      </c>
      <c r="G9" s="15" t="str">
        <f>IF(SUM(B9:E9)=F9,"","Check Total Value &amp; Category")</f>
        <v/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t="14.25" customHeight="1">
      <c r="A10" s="15"/>
      <c r="B10" s="15"/>
      <c r="C10" s="15"/>
      <c r="D10" s="15"/>
      <c r="E10" s="15"/>
      <c r="F10" s="15"/>
      <c r="G10" s="15"/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t="14.25" customHeight="1">
      <c r="A11" s="15" t="s">
        <v>52</v>
      </c>
      <c r="B11" s="15"/>
      <c r="C11" s="15"/>
      <c r="D11" s="15"/>
      <c r="E11" s="15"/>
      <c r="F11" s="15"/>
      <c r="G11" s="15"/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t="14.25" customHeight="1">
      <c r="A12" s="28"/>
      <c r="B12" s="28"/>
      <c r="C12" s="29" t="s">
        <v>53</v>
      </c>
      <c r="D12" s="29" t="s">
        <v>54</v>
      </c>
      <c r="E12" s="29" t="s">
        <v>55</v>
      </c>
      <c r="F12" s="29" t="s">
        <v>49</v>
      </c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t="15.75" customHeight="1">
      <c r="A13" s="30" t="s">
        <v>56</v>
      </c>
      <c r="B13" s="28" t="s">
        <v>57</v>
      </c>
      <c r="C13" s="28">
        <f>COUNTIFS(Results!$E:$E,"&gt;="&amp;$I$2,Results!$E:$E,"&lt;="&amp;$I$3,Results!$L:$L,"Positive",Results!$K:$K,"No", Results!$F:$F,"*tive") + COUNTIFS(Results!$E:$E,"&gt;="&amp;$I$2,Results!$E:$E,"&lt;="&amp;$I$3,Results!$L:$L,"Positive",Results!$K:$K,"On Treatment", Results!$F:$F,"*tive")</f>
        <v>0</v>
      </c>
      <c r="D13" s="28">
        <f>COUNTIFS(Results!$E:$E,"&gt;="&amp;$I$2,Results!$E:$E,"&lt;="&amp;$I$3,Results!$L:$L,"Positive",Results!$K:$K,"Yes", Results!$F:$F,"*tive")</f>
        <v>0</v>
      </c>
      <c r="E13" s="28">
        <f>COUNTIFS(Results!$E:$E,"&gt;="&amp;$I$2,Results!$E:$E,"&lt;="&amp;$I$3,Results!$L:$L,"Positive",Results!$K:$K,"Unknown", Results!$F:$F,"*tive")</f>
        <v>0</v>
      </c>
      <c r="F13" s="28">
        <f>COUNTIFS(Results!$E:$E,"&gt;="&amp;$I$2,Results!$E:$E,"&lt;="&amp;$I$3,Results!$L:$L,"Positive", Results!$F:$F,"*tive", Results!$K:$K,"&lt;&gt;Not on Form", Results!$K:$K,"&lt;&gt;N/A", Results!$L:$L,"&lt;&gt;Not on Form", Results!$L:$L,"&lt;&gt;N/A")</f>
        <v>0</v>
      </c>
      <c r="G13" s="31" t="str">
        <f>IF($F$9=SUM(F13:F15),"","Error! Microscopy result does NOT match, cross check: Missing information in Microscopy Result")</f>
        <v/>
      </c>
      <c r="I13" s="15" t="str">
        <f t="shared" ref="I13:I18" si="1">IF(SUM(C13:E13)=F13,"","Check Total Value &amp; Category")</f>
        <v/>
      </c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t="14.25" customHeight="1">
      <c r="A14" s="32"/>
      <c r="B14" s="28" t="s">
        <v>58</v>
      </c>
      <c r="C14" s="28">
        <f>COUNTIFS(Results!$E:$E,"&gt;="&amp;$I$2,Results!$E:$E,"&lt;="&amp;$I$3,Results!$L:$L,"Negative",Results!$K:$K,"No", Results!$F:$F,"*tive") + COUNTIFS(Results!$E:$E,"&gt;="&amp;$I$2,Results!$E:$E,"&lt;="&amp;$I$3,Results!$L:$L,"Negative",Results!$K:$K,"On Treatment", Results!$F:$F,"*tive")</f>
        <v>0</v>
      </c>
      <c r="D14" s="28">
        <f>COUNTIFS(Results!$E:$E,"&gt;="&amp;$I$2,Results!$E:$E,"&lt;="&amp;$I$3,Results!$L:$L,"Negative",Results!$K:$K,"Yes", Results!$F:$F,"*tive")</f>
        <v>0</v>
      </c>
      <c r="E14" s="28">
        <f>COUNTIFS(Results!$E:$E,"&gt;="&amp;$I$2,Results!$E:$E,"&lt;="&amp;$I$3,Results!$L:$L,"Negative",Results!$K:$K,"Unknown", Results!$F:$F,"*tive")</f>
        <v>0</v>
      </c>
      <c r="F14" s="28">
        <f>COUNTIFS(Results!$E:$E,"&gt;="&amp;$I$2,Results!$E:$E,"&lt;="&amp;$I$3,Results!$L:$L,"Negative", Results!$F:$F,"*tive",Results!$K:$K,"&lt;&gt;Not on Form", Results!$K:$K,"&lt;&gt;N/A", Results!$L:$L,"&lt;&gt;Not on Form", Results!$L:$L,"&lt;&gt;N/A")</f>
        <v>0</v>
      </c>
      <c r="G14" s="33"/>
      <c r="I14" s="15" t="str">
        <f t="shared" si="1"/>
        <v/>
      </c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t="14.25" customHeight="1">
      <c r="A15" s="26"/>
      <c r="B15" s="28" t="s">
        <v>59</v>
      </c>
      <c r="C15" s="28">
        <f>COUNTIFS(Results!$E:$E,"&gt;="&amp;$I$2,Results!$E:$E,"&lt;="&amp;$I$3,Results!$L:$L,"Not Done",Results!$K:$K,"No", Results!$F:$F,"*tive") + COUNTIFS(Results!$E:$E,"&gt;="&amp;$I$2,Results!$E:$E,"&lt;="&amp;$I$3,Results!$L:$L,"Not Done",Results!$K:$K,"On Treatment", Results!$F:$F,"*tive")</f>
        <v>0</v>
      </c>
      <c r="D15" s="28">
        <f>COUNTIFS(Results!$E:$E,"&gt;="&amp;$I$2,Results!$E:$E,"&lt;="&amp;$I$3,Results!$L:$L,"Not Done",Results!$K:$K,"Yes", Results!$F:$F,"*tive")</f>
        <v>0</v>
      </c>
      <c r="E15" s="28">
        <f>COUNTIFS(Results!$E:$E,"&gt;="&amp;$I$2,Results!$E:$E,"&lt;="&amp;$I$3,Results!$L:$L,"Not Done",Results!$K:$K,"Unknown", Results!$F:$F,"*tive")</f>
        <v>0</v>
      </c>
      <c r="F15" s="28">
        <f>COUNTIFS(Results!$E:$E,"&gt;="&amp;$I$2,Results!$E:$E,"&lt;="&amp;$I$3,Results!$L:$L,"Not Done", Results!$F:$F,"*tive", Results!$K:$K,"&lt;&gt;Not on Form", Results!$K:$K,"&lt;&gt;N/A", Results!$L:$L,"&lt;&gt;Not on Form", Results!$L:$L,"&lt;&gt;N/A")</f>
        <v>0</v>
      </c>
      <c r="G15" s="33"/>
      <c r="I15" s="15" t="str">
        <f t="shared" si="1"/>
        <v/>
      </c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t="14.25" customHeight="1">
      <c r="A16" s="25" t="s">
        <v>60</v>
      </c>
      <c r="B16" s="28" t="s">
        <v>61</v>
      </c>
      <c r="C16" s="28">
        <f>COUNTIFS(Results!$E:$E,"&gt;="&amp;$I$2,Results!$E:$E,"&lt;="&amp;$I$3,Results!$F:$F,"Negative",Results!$K:$K,"No") + COUNTIFS(Results!$E:$E,"&gt;="&amp;$I$2,Results!$E:$E,"&lt;="&amp;$I$3,Results!$F:$F,"Negative",Results!$K:$K,"On Treatment")</f>
        <v>0</v>
      </c>
      <c r="D16" s="28">
        <f>COUNTIFS(Results!$E:$E,"&gt;="&amp;$I$2,Results!$E:$E,"&lt;="&amp;$I$3,Results!$F:$F,"Negative",Results!$K:$K,"Yes")</f>
        <v>0</v>
      </c>
      <c r="E16" s="28">
        <f>COUNTIFS(Results!$E:$E,"&gt;="&amp;$I$2,Results!$E:$E,"&lt;="&amp;$I$3,Results!$F:$F,"Negative",Results!$K:$K,"Unknown")</f>
        <v>0</v>
      </c>
      <c r="F16" s="28">
        <f>COUNTIFS(Results!$E:$E,"&gt;="&amp;$I$2,Results!$E:$E,"&lt;="&amp;$I$3,Results!$F:$F,"Negative", Results!$K:$K,"&lt;&gt;Not on Form", Results!$K:$K,"&lt;&gt;N/A")</f>
        <v>0</v>
      </c>
      <c r="G16" s="31" t="str">
        <f>IF($F$9=SUM(F16:F20),"","Error! Cross information between Xpert result and treatment category are not match; possibly there will be Erorr or missing information on MTB result OR RIF result")</f>
        <v/>
      </c>
      <c r="I16" s="15" t="str">
        <f t="shared" si="1"/>
        <v/>
      </c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t="14.25" customHeight="1">
      <c r="A17" s="32"/>
      <c r="B17" s="28" t="s">
        <v>62</v>
      </c>
      <c r="C17" s="28">
        <f>COUNTIFS(Results!$E:$E,"&gt;="&amp;$I$2,Results!$E:$E,"&lt;="&amp;$I$3,Results!$F:$F,"Positive",Results!$G:$G,"Negative",Results!$K:$K,"No") + COUNTIFS(Results!$E:$E,"&gt;="&amp;$I$2,Results!$E:$E,"&lt;="&amp;$I$3,Results!$F:$F,"Positive",Results!$G:$G,"Negative",Results!$K:$K,"On Treatment")</f>
        <v>0</v>
      </c>
      <c r="D17" s="28">
        <f>COUNTIFS(Results!$E:$E,"&gt;="&amp;$I$2,Results!$E:$E,"&lt;="&amp;$I$3,Results!$F:$F,"Positive",Results!$G:$G,"Negative",Results!$K:$K,"Yes")</f>
        <v>0</v>
      </c>
      <c r="E17" s="28">
        <f>COUNTIFS(Results!$E:$E,"&gt;="&amp;$I$2,Results!$E:$E,"&lt;="&amp;$I$3,Results!$F:$F,"Positive",Results!$G:$G,"Negative",Results!$K:$K,"Unknown")</f>
        <v>0</v>
      </c>
      <c r="F17" s="28">
        <f>COUNTIFS(Results!$E:$E,"&gt;="&amp;$I$2,Results!$E:$E,"&lt;="&amp;$I$3,Results!$F:$F,"Positive",Results!$G:$G,"Negative", Results!$K:$K,"&lt;&gt;Not on Form", Results!$K:$K,"&lt;&gt;N/A")</f>
        <v>0</v>
      </c>
      <c r="G17" s="33"/>
      <c r="I17" s="15" t="str">
        <f t="shared" si="1"/>
        <v/>
      </c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t="14.25" customHeight="1">
      <c r="A18" s="32"/>
      <c r="B18" s="28" t="s">
        <v>63</v>
      </c>
      <c r="C18" s="28">
        <f>COUNTIFS(Results!$E:$E,"&gt;="&amp;$I$2,Results!$E:$E,"&lt;="&amp;$I$3,Results!$F:$F,"Positive",Results!$G:$G,"Positive",Results!$K:$K,"No") + COUNTIFS(Results!$E:$E,"&gt;="&amp;$I$2,Results!$E:$E,"&lt;="&amp;$I$3,Results!$F:$F,"Positive",Results!$G:$G,"Positive",Results!$K:$K,"On Treatment")</f>
        <v>0</v>
      </c>
      <c r="D18" s="28">
        <f>COUNTIFS(Results!$E:$E,"&gt;="&amp;$I$2,Results!$E:$E,"&lt;="&amp;$I$3,Results!$F:$F,"Positive",Results!$G:$G,"Positive",Results!$K:$K,"Yes")</f>
        <v>0</v>
      </c>
      <c r="E18" s="28">
        <f>COUNTIFS(Results!$E:$E,"&gt;="&amp;$I$2,Results!$E:$E,"&lt;="&amp;$I$3,Results!$F:$F,"Positive",Results!$G:$G,"Positive",Results!$K:$K,"Unknown")</f>
        <v>0</v>
      </c>
      <c r="F18" s="28">
        <f>COUNTIFS(Results!$E:$E,"&gt;="&amp;$I$2,Results!$E:$E,"&lt;="&amp;$I$3,Results!$F:$F,"Positive",Results!$G:$G,"Positive", Results!$K:$K,"&lt;&gt;Not on Form", Results!$K:$K,"&lt;&gt;N/A")</f>
        <v>0</v>
      </c>
      <c r="G18" s="33"/>
      <c r="I18" s="15" t="str">
        <f t="shared" si="1"/>
        <v/>
      </c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t="14.25" customHeight="1">
      <c r="A19" s="32"/>
      <c r="B19" s="28" t="s">
        <v>64</v>
      </c>
      <c r="C19" s="28">
        <f>COUNTIFS(Results!$E:$E,"&gt;="&amp;$I$2,Results!$E:$E,"&lt;="&amp;$I$3,Results!$F:$F,"Positive",Results!$G:$G,"Indeterminate",Results!$K:$K,"No") + COUNTIFS(Results!$E:$E,"&gt;="&amp;$I$2,Results!$E:$E,"&lt;="&amp;$I$3,Results!$F:$F,"Positive",Results!$G:$G,"Indeterminate",Results!$K:$K,"On Treatment")</f>
        <v>0</v>
      </c>
      <c r="D19" s="28">
        <f>COUNTIFS(Results!$E:$E,"&gt;="&amp;$I$2,Results!$E:$E,"&lt;="&amp;$I$3,Results!$F:$F,"Positive",Results!$G:$G,"Indeterminate",Results!$K:$K,"Yes")</f>
        <v>0</v>
      </c>
      <c r="E19" s="28">
        <f>COUNTIFS(Results!$E:$E,"&gt;="&amp;$I$2,Results!$E:$E,"&lt;="&amp;$I$3,Results!$F:$F,"Positive",Results!$G:$G,"Indeterminate",Results!$K:$K,"Unknown")</f>
        <v>0</v>
      </c>
      <c r="F19" s="28">
        <f>COUNTIFS(Results!$E:$E,"&gt;="&amp;$I$2,Results!$E:$E,"&lt;="&amp;$I$3,Results!$F:$F,"Positive",Results!$G:$G,"Indeterminate", Results!$K:$K,"&lt;&gt;Not on Form", Results!$K:$K,"&lt;&gt;N/A")</f>
        <v>0</v>
      </c>
      <c r="G19" s="33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t="14.25" customHeight="1">
      <c r="A20" s="26"/>
      <c r="B20" s="28" t="s">
        <v>65</v>
      </c>
      <c r="C20" s="28">
        <f>COUNTIFS(Results!$E:$E,"&gt;="&amp;$I$2,Results!$E:$E,"&lt;="&amp;$I$3,Results!$F:$F,"Trace",Results!$G:$G,"Indeterminate",Results!$K:$K,"No") + COUNTIFS(Results!$E:$E,"&gt;="&amp;$I$2,Results!$E:$E,"&lt;="&amp;$I$3,Results!$F:$F,"Trace",Results!$G:$G,"Indeterminate",Results!$K:$K,"On Treatment")</f>
        <v>0</v>
      </c>
      <c r="D20" s="28">
        <f>COUNTIFS(Results!$E:$E,"&gt;="&amp;$I$2,Results!$E:$E,"&lt;="&amp;$I$3,Results!$F:$F,"Trace",Results!$G:$G,"Indeterminate",Results!$K:$K,"Yes")</f>
        <v>0</v>
      </c>
      <c r="E20" s="28">
        <f>COUNTIFS(Results!$E:$E,"&gt;="&amp;$I$2,Results!$E:$E,"&lt;="&amp;$I$3,Results!$F:$F,"Trace",Results!$G:$G,"Indeterminate",Results!$K:$K,"Unknown")</f>
        <v>0</v>
      </c>
      <c r="F20" s="28">
        <f>COUNTIFS(Results!$E:$E,"&gt;="&amp;$I$2,Results!$E:$E,"&lt;="&amp;$I$3,Results!$F:$F,"Trace",Results!$G:$G,"Indeterminate", Results!$K:$K,"&lt;&gt;Not on Form", Results!$K:$K,"&lt;&gt;N/A")</f>
        <v>0</v>
      </c>
      <c r="G20" s="33"/>
      <c r="I20" s="15" t="str">
        <f>IF(SUM(C20:E20)=F20,"","Check Total Value &amp; Category")</f>
        <v/>
      </c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t="14.25" customHeight="1">
      <c r="A21" s="15"/>
      <c r="B21" s="15"/>
      <c r="C21" s="15"/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t="14.25" customHeight="1">
      <c r="A22" s="15" t="s">
        <v>66</v>
      </c>
      <c r="B22" s="15"/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t="14.25" customHeight="1">
      <c r="A23" s="28"/>
      <c r="B23" s="28"/>
      <c r="C23" s="34" t="s">
        <v>67</v>
      </c>
      <c r="D23" s="34" t="s">
        <v>68</v>
      </c>
      <c r="E23" s="27" t="s">
        <v>55</v>
      </c>
      <c r="F23" s="27" t="s">
        <v>49</v>
      </c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t="15.75" hidden="1" customHeight="1">
      <c r="A24" s="30" t="s">
        <v>56</v>
      </c>
      <c r="B24" s="28" t="s">
        <v>57</v>
      </c>
      <c r="C24" s="28">
        <f>COUNTIFS(Results!$E:$E,"&gt;="&amp;$I$2,Results!$E:$E,"&lt;="&amp;$I$3,Results!$L:$L,"Positive",Results!$H:$H,"Positive", Results!$F:$F,"*tive")</f>
        <v>0</v>
      </c>
      <c r="D24" s="28">
        <f>COUNTIFS(Results!$E:$E,"&gt;="&amp;$I$2,Results!$E:$E,"&lt;="&amp;$I$3,Results!$L:$L,"Positive",Results!$H:$H,"Negative", Results!$F:$F,"*tive")</f>
        <v>0</v>
      </c>
      <c r="E24" s="28">
        <f>COUNTIFS(Results!$E:$E,"&gt;="&amp;$I$2,Results!$E:$E,"&lt;="&amp;$I$3,Results!$L:$L,"Positive",Results!$H:$H,"Unknown", Results!$F:$F,"*tive")</f>
        <v>0</v>
      </c>
      <c r="F24" s="28">
        <f>COUNTIFS(Results!$E:$E,"&gt;="&amp;$I$2,Results!$E:$E,"&lt;="&amp;$I$3,Results!$L:$L,"Positive", Results!$F:$F,"*tive", Results!$H:$H,"&lt;&gt;Not on Form", Results!$H:$H,"&lt;&gt;N/A", Results!$L:$L,"&lt;&gt;Not on Form", Results!$L:$L,"&lt;&gt;N/A")</f>
        <v>0</v>
      </c>
      <c r="G24" s="31" t="str">
        <f>IF($F$9=SUM(F24:F26),"","Error! Microscope Result and HIV Status do NOT match; Crosscheck for missing information in Microscope Result OR HIV Status")</f>
        <v/>
      </c>
      <c r="I24" s="15" t="str">
        <f t="shared" ref="I24:I29" si="2">IF(SUM(C24:E24)=F24,"","Check Total Value &amp; Category")</f>
        <v/>
      </c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t="14.25" hidden="1" customHeight="1">
      <c r="A25" s="32"/>
      <c r="B25" s="28" t="s">
        <v>58</v>
      </c>
      <c r="C25" s="28">
        <f>COUNTIFS(Results!$E:$E,"&gt;="&amp;$I$2,Results!$E:$E,"&lt;="&amp;$I$3,Results!$L:$L,"Negative",Results!$H:$H,"Positive", Results!$F:$F,"*tive")</f>
        <v>0</v>
      </c>
      <c r="D25" s="28">
        <f>COUNTIFS(Results!$E:$E,"&gt;="&amp;$I$2,Results!$E:$E,"&lt;="&amp;$I$3,Results!$L:$L,"Negative",Results!$H:$H,"Negative", Results!$F:$F,"*tive")</f>
        <v>0</v>
      </c>
      <c r="E25" s="28">
        <f>COUNTIFS(Results!$E:$E,"&gt;="&amp;$I$2,Results!$E:$E,"&lt;="&amp;$I$3,Results!$L:$L,"Negative",Results!$H:$H,"Unknown", Results!$F:$F,"*tive")</f>
        <v>0</v>
      </c>
      <c r="F25" s="28">
        <f>COUNTIFS(Results!$E:$E,"&gt;="&amp;$I$2,Results!$E:$E,"&lt;="&amp;$I$3,Results!$L:$L,"Negative", Results!$F:$F,"*tive",  Results!$H:$H,"&lt;&gt;Not on Form", Results!$H:$H,"&lt;&gt;N/A", Results!$L:$L,"&lt;&gt;Not on Form", Results!$L:$L,"&lt;&gt;N/A")</f>
        <v>0</v>
      </c>
      <c r="G25" s="33"/>
      <c r="I25" s="15" t="str">
        <f t="shared" si="2"/>
        <v/>
      </c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t="14.25" hidden="1" customHeight="1">
      <c r="A26" s="26"/>
      <c r="B26" s="28" t="s">
        <v>59</v>
      </c>
      <c r="C26" s="28">
        <f>COUNTIFS(Results!$E:$E,"&gt;="&amp;$I$2,Results!$E:$E,"&lt;="&amp;$I$3,Results!$L:$L,"Not Done",Results!$H:$H,"Positive", Results!$F:$F,"*tive")</f>
        <v>0</v>
      </c>
      <c r="D26" s="28">
        <f>COUNTIFS(Results!$E:$E,"&gt;="&amp;$I$2,Results!$E:$E,"&lt;="&amp;$I$3,Results!$L:$L,"Not Done",Results!$H:$H,"Negative", Results!$F:$F,"*tive")</f>
        <v>0</v>
      </c>
      <c r="E26" s="28">
        <f>COUNTIFS(Results!$E:$E,"&gt;="&amp;$I$2,Results!$E:$E,"&lt;="&amp;$I$3,Results!$L:$L,"Not Done",Results!$H:$H,"Unknown", Results!$F:$F,"*tive")</f>
        <v>0</v>
      </c>
      <c r="F26" s="28">
        <f>COUNTIFS(Results!$E:$E,"&gt;="&amp;$I$2,Results!$E:$E,"&lt;="&amp;$I$3,Results!$L:$L,"Not Done",Results!$F:$F,"*tive",  Results!$H:$H,"&lt;&gt;Not on Form", Results!$H:$H,"&lt;&gt;N/A", Results!$L:$L,"&lt;&gt;Not on Form", Results!$L:$L,"&lt;&gt;N/A")</f>
        <v>0</v>
      </c>
      <c r="G26" s="33"/>
      <c r="I26" s="15" t="str">
        <f t="shared" si="2"/>
        <v/>
      </c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t="14.25" customHeight="1">
      <c r="A27" s="25" t="s">
        <v>60</v>
      </c>
      <c r="B27" s="28" t="s">
        <v>61</v>
      </c>
      <c r="C27" s="28">
        <f>COUNTIFS(Results!$E:$E,"&gt;="&amp;$I$2,Results!$E:$E,"&lt;="&amp;$I$3,Results!$F:$F,"Negative",Results!$H:$H,"Positive")</f>
        <v>0</v>
      </c>
      <c r="D27" s="28">
        <f>COUNTIFS(Results!$E:$E,"&gt;="&amp;$I$2,Results!$E:$E,"&lt;="&amp;$I$3,Results!$F:$F,"Negative",Results!$H:$H,"Negative")</f>
        <v>0</v>
      </c>
      <c r="E27" s="28">
        <f>COUNTIFS(Results!$E:$E,"&gt;="&amp;$I$2,Results!$E:$E,"&lt;="&amp;$I$3,Results!$F:$F,"Negative",Results!$H:$H,"Unknown")</f>
        <v>0</v>
      </c>
      <c r="F27" s="28">
        <f>COUNTIFS(Results!$E:$E,"&gt;="&amp;$I$2,Results!$E:$E,"&lt;="&amp;$I$3,Results!$F:$F,"Negative", Results!$H:$H,"&lt;&gt;Not on Form", Results!$H:$H,"&lt;&gt;N/A")</f>
        <v>0</v>
      </c>
      <c r="G27" s="31" t="str">
        <f>IF($F$9=SUM(F27:F31),"","Error! Cross information between Xpert result and HIV Status are not match; possibly there will be Erorr or missing information on MTB result OR HIV Status")</f>
        <v/>
      </c>
      <c r="I27" s="15" t="str">
        <f t="shared" si="2"/>
        <v/>
      </c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t="14.25" customHeight="1">
      <c r="A28" s="32"/>
      <c r="B28" s="28" t="s">
        <v>62</v>
      </c>
      <c r="C28" s="28">
        <f>COUNTIFS(Results!$E:$E,"&gt;="&amp;$I$2,Results!$E:$E,"&lt;="&amp;$I$3,Results!$F:$F,"Positive",Results!$G:$G,"Negative",Results!$H:$H,"Positive")</f>
        <v>0</v>
      </c>
      <c r="D28" s="28">
        <f>COUNTIFS(Results!$E:$E,"&gt;="&amp;$I$2,Results!$E:$E,"&lt;="&amp;$I$3,Results!$F:$F,"Positive",Results!$G:$G,"Negative",Results!$H:$H,"Negative")</f>
        <v>0</v>
      </c>
      <c r="E28" s="28">
        <f>COUNTIFS(Results!$E:$E,"&gt;="&amp;$I$2,Results!$E:$E,"&lt;="&amp;$I$3,Results!$F:$F,"Positive",Results!$G:$G,"Negative",Results!$H:$H,"Unknown")</f>
        <v>0</v>
      </c>
      <c r="F28" s="28">
        <f>COUNTIFS(Results!$E:$E,"&gt;="&amp;$I$2,Results!$E:$E,"&lt;="&amp;$I$3,Results!$F:$F,"Positive",Results!$G:$G,"Negative", Results!$H:$H,"&lt;&gt;Not on Form", Results!$H:$H,"&lt;&gt;N/A")</f>
        <v>0</v>
      </c>
      <c r="G28" s="33"/>
      <c r="I28" s="15" t="str">
        <f t="shared" si="2"/>
        <v/>
      </c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t="14.25" customHeight="1">
      <c r="A29" s="32"/>
      <c r="B29" s="28" t="s">
        <v>63</v>
      </c>
      <c r="C29" s="28">
        <f>COUNTIFS(Results!$E:$E,"&gt;="&amp;$I$2,Results!$E:$E,"&lt;="&amp;$I$3,Results!$F:$F,"Positive",Results!$G:$G,"Positive",Results!$H:$H,"Positive")</f>
        <v>0</v>
      </c>
      <c r="D29" s="28">
        <f>COUNTIFS(Results!$E:$E,"&gt;="&amp;$I$2,Results!$E:$E,"&lt;="&amp;$I$3,Results!$F:$F,"Positive",Results!$G:$G,"Positive",Results!$H:$H,"Negative")</f>
        <v>0</v>
      </c>
      <c r="E29" s="28">
        <f>COUNTIFS(Results!$E:$E,"&gt;="&amp;$I$2,Results!$E:$E,"&lt;="&amp;$I$3,Results!$F:$F,"Positive",Results!$G:$G,"Positive",Results!$H:$H,"Unknown")</f>
        <v>0</v>
      </c>
      <c r="F29" s="28">
        <f>COUNTIFS(Results!$E:$E,"&gt;="&amp;$I$2,Results!$E:$E,"&lt;="&amp;$I$3,Results!$F:$F,"Positive",Results!$G:$G,"Positive", Results!$H:$H,"&lt;&gt;Not on Form", Results!$H:$H,"&lt;&gt;N/A")</f>
        <v>0</v>
      </c>
      <c r="G29" s="33"/>
      <c r="I29" s="15" t="str">
        <f t="shared" si="2"/>
        <v/>
      </c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t="14.25" customHeight="1">
      <c r="A30" s="32"/>
      <c r="B30" s="28" t="s">
        <v>64</v>
      </c>
      <c r="C30" s="28">
        <f>COUNTIFS(Results!$E:$E,"&gt;="&amp;$I$2,Results!$E:$E,"&lt;="&amp;$I$3,Results!$F:$F,"Positive",Results!$G:$G,"Indeterminate",Results!$H:$H,"Positive")</f>
        <v>0</v>
      </c>
      <c r="D30" s="28">
        <f>COUNTIFS(Results!$E:$E,"&gt;="&amp;$I$2,Results!$E:$E,"&lt;="&amp;$I$3,Results!$F:$F,"Positive",Results!$G:$G,"Indeterminate",Results!$H:$H,"Negative")</f>
        <v>0</v>
      </c>
      <c r="E30" s="28">
        <f>COUNTIFS(Results!$E:$E,"&gt;="&amp;$I$2,Results!$E:$E,"&lt;="&amp;$I$3,Results!$F:$F,"Positive",Results!$G:$G,"Indeterminate",Results!$H:$H,"Unknown")</f>
        <v>0</v>
      </c>
      <c r="F30" s="28">
        <f>COUNTIFS(Results!$E:$E,"&gt;="&amp;$I$2,Results!$E:$E,"&lt;="&amp;$I$3,Results!$F:$F,"Positive",Results!$G:$G,"Indeterminate", Results!$H:$H,"&lt;&gt;Not on Form", Results!$H:$H,"&lt;&gt;N/A")</f>
        <v>0</v>
      </c>
      <c r="G30" s="33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t="14.25" customHeight="1">
      <c r="A31" s="26"/>
      <c r="B31" s="28" t="s">
        <v>65</v>
      </c>
      <c r="C31" s="28">
        <f>COUNTIFS(Results!$E:$E,"&gt;="&amp;$I$2,Results!$E:$E,"&lt;="&amp;$I$3,Results!$F:$F,"Trace",Results!$G:$G,"Indeterminate",Results!$H:$H,"Positive")</f>
        <v>0</v>
      </c>
      <c r="D31" s="28">
        <f>COUNTIFS(Results!$E:$E,"&gt;="&amp;$I$2,Results!$E:$E,"&lt;="&amp;$I$3,Results!$F:$F,"Trace",Results!$G:$G,"Indeterminate",Results!$H:$H,"Negative")</f>
        <v>0</v>
      </c>
      <c r="E31" s="28">
        <f>COUNTIFS(Results!$E:$E,"&gt;="&amp;$I$2,Results!$E:$E,"&lt;="&amp;$I$3,Results!$F:$F,"Trace",Results!$G:$G,"Indeterminate",Results!$H:$H,"Unknown")</f>
        <v>0</v>
      </c>
      <c r="F31" s="28">
        <f>COUNTIFS(Results!$E:$E,"&gt;="&amp;$I$2,Results!$E:$E,"&lt;="&amp;$I$3,Results!$F:$F,"Trace",Results!$G:$G,"Indeterminate", Results!$H:$H,"&lt;&gt;Not on Form", Results!$H:$H,"&lt;&gt;N/A")</f>
        <v>0</v>
      </c>
      <c r="G31" s="33"/>
      <c r="I31" s="15" t="str">
        <f>IF(SUM(C31:E31)=F31,"","Check Total Value &amp; Category")</f>
        <v/>
      </c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t="14.25" customHeight="1">
      <c r="A32" s="15"/>
      <c r="B32" s="15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t="14.25" customHeight="1">
      <c r="A33" s="35" t="s">
        <v>69</v>
      </c>
      <c r="B33" s="36"/>
      <c r="C33" s="36"/>
      <c r="D33" s="36"/>
      <c r="E33" s="36"/>
      <c r="F33" s="36"/>
      <c r="G33" s="36"/>
      <c r="H33" s="36"/>
      <c r="I33" s="36"/>
      <c r="J33" s="36"/>
      <c r="K33" s="36"/>
      <c r="L33" s="36"/>
      <c r="M33" s="36"/>
      <c r="N33" s="36"/>
      <c r="O33" s="36"/>
      <c r="P33" s="36"/>
      <c r="Q33" s="36"/>
      <c r="R33" s="36"/>
      <c r="S33" s="36"/>
      <c r="T33" s="36"/>
      <c r="U33" s="36"/>
      <c r="V33" s="36"/>
      <c r="W33" s="36"/>
      <c r="X33" s="36"/>
      <c r="Y33" s="36"/>
      <c r="Z33" s="36"/>
    </row>
    <row r="34" ht="14.25" customHeight="1">
      <c r="A34" s="37"/>
      <c r="B34" s="37"/>
      <c r="C34" s="38" t="s">
        <v>70</v>
      </c>
      <c r="D34" s="38" t="s">
        <v>71</v>
      </c>
      <c r="E34" s="38" t="s">
        <v>72</v>
      </c>
      <c r="F34" s="38" t="s">
        <v>73</v>
      </c>
      <c r="G34" s="38" t="s">
        <v>74</v>
      </c>
      <c r="H34" s="39" t="s">
        <v>49</v>
      </c>
      <c r="I34" s="40"/>
      <c r="J34" s="40"/>
      <c r="K34" s="40"/>
      <c r="L34" s="40"/>
      <c r="M34" s="40"/>
      <c r="N34" s="40"/>
      <c r="O34" s="40"/>
      <c r="P34" s="40"/>
      <c r="Q34" s="40"/>
      <c r="R34" s="40"/>
      <c r="S34" s="40"/>
      <c r="T34" s="40"/>
      <c r="U34" s="40"/>
      <c r="V34" s="40"/>
      <c r="W34" s="40"/>
      <c r="X34" s="40"/>
      <c r="Y34" s="40"/>
      <c r="Z34" s="40"/>
    </row>
    <row r="35" ht="14.25" customHeight="1">
      <c r="A35" s="41" t="s">
        <v>60</v>
      </c>
      <c r="B35" s="42" t="s">
        <v>61</v>
      </c>
      <c r="C35" s="43">
        <f>COUNTIFS(Results!$E:$E,"&gt;="&amp;$I$2,Results!$E:$E,"&lt;="&amp;$I$3,Results!$F:$F,"Negative",Results!$S:$S,"*DX*")</f>
        <v>0</v>
      </c>
      <c r="D35" s="43">
        <f>COUNTIFS(Results!$E:$E,"&gt;="&amp;$I$2,Results!$E:$E,"&lt;="&amp;$I$3,Results!$F:$F,"Negative",Results!$S:$S,"*fu*")</f>
        <v>0</v>
      </c>
      <c r="E35" s="43">
        <f>COUNTIFS(Results!$E:$E,"&gt;="&amp;$I$2,Results!$E:$E,"&lt;="&amp;$I$3,Results!$F:$F,"Negative",Results!$S:$S,"*mdr*")</f>
        <v>0</v>
      </c>
      <c r="F35" s="43">
        <f>COUNTIFS(Results!$E:$E,"&gt;="&amp;$I$2,Results!$E:$E,"&lt;="&amp;$I$3,Results!$F:$F,"Negative",Results!$S:$S,"*dm*")</f>
        <v>0</v>
      </c>
      <c r="G35" s="43">
        <f>COUNTIFS(Results!$E:$E,"&gt;="&amp;$I$2,Results!$E:$E,"&lt;="&amp;$I$3,Results!$F:$F,"Negative",Results!$S:$S,"*na*")</f>
        <v>0</v>
      </c>
      <c r="H35" s="43">
        <f>COUNTIFS(Results!$E:$E,"&gt;="&amp;$I$2,Results!$E:$E,"&lt;="&amp;$I$3,Results!$F:$F,"Negative", Results!$O:$O,"&lt;&gt;Not on Form", Results!$O:$O,"&lt;&gt;N/A")</f>
        <v>0</v>
      </c>
      <c r="I35" s="40"/>
      <c r="J35" s="40"/>
      <c r="K35" s="40"/>
      <c r="L35" s="40"/>
      <c r="M35" s="40"/>
      <c r="N35" s="40"/>
      <c r="O35" s="40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</row>
    <row r="36" ht="14.25" customHeight="1">
      <c r="A36" s="32"/>
      <c r="B36" s="42" t="s">
        <v>62</v>
      </c>
      <c r="C36" s="43">
        <f>COUNTIFS(Results!$E:$E,"&gt;="&amp;$I$2,Results!$E:$E,"&lt;="&amp;$I$3,Results!$F:$F,"Positive",Results!$G:$G,"Negative",Results!$S:$S,"*DX*")</f>
        <v>0</v>
      </c>
      <c r="D36" s="43">
        <f>COUNTIFS(Results!$E:$E,"&gt;="&amp;$I$2,Results!$E:$E,"&lt;="&amp;$I$3,Results!$F:$F,"Positive",Results!$G:$G,"Negative",Results!$S:$S,"*fu*")</f>
        <v>0</v>
      </c>
      <c r="E36" s="43">
        <f>COUNTIFS(Results!$E:$E,"&gt;="&amp;$I$2,Results!$E:$E,"&lt;="&amp;$I$3,Results!$F:$F,"Positive",Results!$G:$G,"Negative",Results!$S:$S,"*mdr*")</f>
        <v>0</v>
      </c>
      <c r="F36" s="43">
        <f>COUNTIFS(Results!$E:$E,"&gt;="&amp;$I$2,Results!$E:$E,"&lt;="&amp;$I$3,Results!$F:$F,"Positive",Results!$G:$G,"Negative",Results!$S:$S,"*Dm*")</f>
        <v>0</v>
      </c>
      <c r="G36" s="43">
        <f>COUNTIFS(Results!$E:$E,"&gt;="&amp;$I$2,Results!$E:$E,"&lt;="&amp;$I$3,Results!$F:$F,"Positive",Results!$G:$G,"Negative",Results!$S:$S,"*na*")</f>
        <v>0</v>
      </c>
      <c r="H36" s="43">
        <f>COUNTIFS(Results!$E:$E,"&gt;="&amp;$I$2,Results!$E:$E,"&lt;="&amp;$I$3,Results!$F:$F,"Positive",Results!$G:$G,"Negative", Results!$O:$O,"&lt;&gt;Not on Form", Results!$O:$O,"&lt;&gt;N/A")</f>
        <v>0</v>
      </c>
      <c r="I36" s="40"/>
      <c r="J36" s="40"/>
      <c r="K36" s="40"/>
      <c r="L36" s="40"/>
      <c r="M36" s="40"/>
      <c r="N36" s="40"/>
      <c r="O36" s="40"/>
      <c r="P36" s="40"/>
      <c r="Q36" s="40"/>
      <c r="R36" s="40"/>
      <c r="S36" s="40"/>
      <c r="T36" s="40"/>
      <c r="U36" s="40"/>
      <c r="V36" s="40"/>
      <c r="W36" s="40"/>
      <c r="X36" s="40"/>
      <c r="Y36" s="40"/>
      <c r="Z36" s="40"/>
    </row>
    <row r="37" ht="14.25" customHeight="1">
      <c r="A37" s="32"/>
      <c r="B37" s="42" t="s">
        <v>63</v>
      </c>
      <c r="C37" s="43">
        <f>COUNTIFS(Results!$E:$E,"&gt;="&amp;$I$2,Results!$E:$E,"&lt;="&amp;$I$3,Results!$F:$F,"Positive",Results!$G:$G,"Positive",Results!$S:$S,"*DX*")</f>
        <v>0</v>
      </c>
      <c r="D37" s="43">
        <f>COUNTIFS(Results!$E:$E,"&gt;="&amp;$I$2,Results!$E:$E,"&lt;="&amp;$I$3,Results!$F:$F,"Positive",Results!$G:$G,"Positive",Results!$S:$S,"*fu*")</f>
        <v>0</v>
      </c>
      <c r="E37" s="43">
        <f>COUNTIFS(Results!$E:$E,"&gt;="&amp;$I$2,Results!$E:$E,"&lt;="&amp;$I$3,Results!$F:$F,"Positive",Results!$G:$G,"Positive",Results!$S:$S,"*mdr*")</f>
        <v>0</v>
      </c>
      <c r="F37" s="43">
        <f>COUNTIFS(Results!$E:$E,"&gt;="&amp;$I$2,Results!$E:$E,"&lt;="&amp;$I$3,Results!$F:$F,"Positive",Results!$G:$G,"Positive",Results!$S:$S,"*dm*")</f>
        <v>0</v>
      </c>
      <c r="G37" s="43">
        <f>COUNTIFS(Results!$E:$E,"&gt;="&amp;$I$2,Results!$E:$E,"&lt;="&amp;$I$3,Results!$F:$F,"Positive",Results!$G:$G,"Positive",Results!$S:$S,"*na*")</f>
        <v>0</v>
      </c>
      <c r="H37" s="43">
        <f>COUNTIFS(Results!$E:$E,"&gt;="&amp;$I$2,Results!$E:$E,"&lt;="&amp;$I$3,Results!$F:$F,"Positive",Results!$G:$G,"Positive", Results!$O:$O,"&lt;&gt;Not on Form", Results!$O:$O,"&lt;&gt;N/A")</f>
        <v>0</v>
      </c>
      <c r="I37" s="40"/>
      <c r="J37" s="40"/>
      <c r="K37" s="40"/>
      <c r="L37" s="40"/>
      <c r="M37" s="40"/>
      <c r="N37" s="40"/>
      <c r="O37" s="40"/>
      <c r="P37" s="40"/>
      <c r="Q37" s="40"/>
      <c r="R37" s="40"/>
      <c r="S37" s="40"/>
      <c r="T37" s="40"/>
      <c r="U37" s="40"/>
      <c r="V37" s="40"/>
      <c r="W37" s="40"/>
      <c r="X37" s="40"/>
      <c r="Y37" s="40"/>
      <c r="Z37" s="40"/>
    </row>
    <row r="38" ht="14.25" customHeight="1">
      <c r="A38" s="32"/>
      <c r="B38" s="42" t="s">
        <v>64</v>
      </c>
      <c r="C38" s="43">
        <f>COUNTIFS(Results!$E:$E,"&gt;="&amp;$I$2,Results!$E:$E,"&lt;="&amp;$I$3,Results!$F:$F,"Positive",Results!$G:$G,"Indeterminate",Results!$S:$S,"*DX*")</f>
        <v>0</v>
      </c>
      <c r="D38" s="43">
        <f>COUNTIFS(Results!$E:$E,"&gt;="&amp;$I$2,Results!$E:$E,"&lt;="&amp;$I$3,Results!$F:$F,"Positive",Results!$G:$G,"Indeterminate",Results!$S:$S,"*fu*")</f>
        <v>0</v>
      </c>
      <c r="E38" s="43">
        <f>COUNTIFS(Results!$E:$E,"&gt;="&amp;$I$2,Results!$E:$E,"&lt;="&amp;$I$3,Results!$F:$F,"Positive",Results!$G:$G,"Indeterminate",Results!$S:$S,"*mdr*")</f>
        <v>0</v>
      </c>
      <c r="F38" s="43">
        <f>COUNTIFS(Results!$E:$E,"&gt;="&amp;$I$2,Results!$E:$E,"&lt;="&amp;$I$3,Results!$F:$F,"Positive",Results!$G:$G,"Indeterminate",Results!$S:$S,"*dm*")</f>
        <v>0</v>
      </c>
      <c r="G38" s="43">
        <f>COUNTIFS(Results!$E:$E,"&gt;="&amp;$I$2,Results!$E:$E,"&lt;="&amp;$I$3,Results!$F:$F,"Positive",Results!$G:$G,"Indeterminate",Results!$S:$S,"*na*")</f>
        <v>0</v>
      </c>
      <c r="H38" s="43">
        <f>COUNTIFS(Results!$E:$E,"&gt;="&amp;$I$2,Results!$E:$E,"&lt;="&amp;$I$3,Results!$F:$F,"Positive",Results!$G:$G,"Indeterminate", Results!$O:$O,"&lt;&gt;Not on Form", Results!$O:$O,"&lt;&gt;N/A")</f>
        <v>0</v>
      </c>
      <c r="I38" s="40"/>
      <c r="J38" s="40"/>
      <c r="K38" s="40"/>
      <c r="L38" s="40"/>
      <c r="M38" s="40"/>
      <c r="N38" s="40"/>
      <c r="O38" s="40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</row>
    <row r="39" ht="14.25" customHeight="1">
      <c r="A39" s="26"/>
      <c r="B39" s="42" t="s">
        <v>75</v>
      </c>
      <c r="C39" s="43">
        <f>COUNTIFS(Results!$E:$E,"&gt;="&amp;$I$2,Results!$E:$E,"&lt;="&amp;$I$3,Results!$F:$F,"Trace",Results!$G:$G,"Indeterminate",Results!$S:$S,"*DX*")</f>
        <v>0</v>
      </c>
      <c r="D39" s="43">
        <f>COUNTIFS(Results!$E:$E,"&gt;="&amp;$I$2,Results!$E:$E,"&lt;="&amp;$I$3,Results!$F:$F,"Trace",Results!$G:$G,"Indeterminate",Results!$S:$S,"*fu*")</f>
        <v>0</v>
      </c>
      <c r="E39" s="43">
        <f>COUNTIFS(Results!$E:$E,"&gt;="&amp;$I$2,Results!$E:$E,"&lt;="&amp;$I$3,Results!$F:$F,"Trace",Results!$G:$G,"Indeterminate",Results!$S:$S,"*mdr*")</f>
        <v>0</v>
      </c>
      <c r="F39" s="43">
        <f>COUNTIFS(Results!$E:$E,"&gt;="&amp;$I$2,Results!$E:$E,"&lt;="&amp;$I$3,Results!$F:$F,"Trace",Results!$G:$G,"Indeterminate",Results!$S:$S,"*dm*")</f>
        <v>0</v>
      </c>
      <c r="G39" s="43">
        <f>COUNTIFS(Results!$E:$E,"&gt;="&amp;$I$2,Results!$E:$E,"&lt;="&amp;$I$3,Results!$F:$F,"Trace",Results!$G:$G,"Indeterminate",Results!$S:$S,"*na*")</f>
        <v>0</v>
      </c>
      <c r="H39" s="43">
        <f>COUNTIFS(Results!$E:$E,"&gt;="&amp;$I$2,Results!$E:$E,"&lt;="&amp;$I$3,Results!$F:$F,"Trace",Results!$G:$G,"Indeterminate", Results!$O:$O,"&lt;&gt;Not on Form", Results!$O:$O,"&lt;&gt;N/A")</f>
        <v>0</v>
      </c>
      <c r="I39" s="40"/>
      <c r="J39" s="40"/>
      <c r="K39" s="40"/>
      <c r="L39" s="40"/>
      <c r="M39" s="40"/>
      <c r="N39" s="40"/>
      <c r="O39" s="40"/>
      <c r="P39" s="40"/>
      <c r="Q39" s="40"/>
      <c r="R39" s="40"/>
      <c r="S39" s="40"/>
      <c r="T39" s="40"/>
      <c r="U39" s="40"/>
      <c r="V39" s="40"/>
      <c r="W39" s="40"/>
      <c r="X39" s="40"/>
      <c r="Y39" s="40"/>
      <c r="Z39" s="40"/>
    </row>
    <row r="40" ht="14.25" customHeight="1">
      <c r="A40" s="15"/>
      <c r="B40" s="15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t="14.25" customHeight="1">
      <c r="A41" s="15"/>
      <c r="B41" s="15"/>
      <c r="C41" s="23" t="s">
        <v>47</v>
      </c>
      <c r="D41" s="24"/>
      <c r="E41" s="23" t="s">
        <v>48</v>
      </c>
      <c r="F41" s="24"/>
      <c r="G41" s="22" t="s">
        <v>49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t="14.25" customHeight="1">
      <c r="A42" s="28" t="s">
        <v>76</v>
      </c>
      <c r="B42" s="28"/>
      <c r="C42" s="23">
        <f>COUNTIFS(Results!$E:$E,"&gt;="&amp;$I$2,Results!$E:$E,"&lt;="&amp;$I$3,Results!$I:$I,"Male",Results!$F:$F,"Positive",Results!$G:$G,"Positive")</f>
        <v>0</v>
      </c>
      <c r="D42" s="24"/>
      <c r="E42" s="23">
        <f>COUNTIFS(Results!$E:$E,"&gt;="&amp;$I$2,Results!$E:$E,"&lt;="&amp;$I$3,Results!$I:$I,"Female",Results!$F:$F,"Positive",Results!$G:$G,"Positive")</f>
        <v>0</v>
      </c>
      <c r="F42" s="24"/>
      <c r="G42" s="28">
        <f>COUNTIFS(Results!$E:$E,"&gt;="&amp;$I$2,Results!$E:$E,"&lt;="&amp;$I$3,Results!$F:$F,"Positive",Results!$G:$G,"Positive", Results!$I:$I,"&lt;&gt;Not on Form", Results!$I:$I,"&lt;&gt;N/A")</f>
        <v>0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t="14.25" customHeight="1">
      <c r="A43" s="15"/>
      <c r="B43" s="15"/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t="14.25" customHeight="1">
      <c r="A44" s="15" t="s">
        <v>77</v>
      </c>
      <c r="B44" s="15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t="14.25" customHeight="1">
      <c r="A45" s="28"/>
      <c r="B45" s="28"/>
      <c r="C45" s="23" t="s">
        <v>78</v>
      </c>
      <c r="D45" s="24"/>
      <c r="E45" s="23" t="s">
        <v>79</v>
      </c>
      <c r="F45" s="24"/>
      <c r="G45" s="28" t="s">
        <v>49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t="14.25" customHeight="1">
      <c r="A46" s="44" t="s">
        <v>80</v>
      </c>
      <c r="B46" s="45"/>
      <c r="C46" s="23">
        <f>COUNTIFS(Results!$E:$E,"&gt;="&amp;$I$2,Results!$E:$E,"&lt;="&amp;$I$3,Results!$F:$F,"Positive",Results!$L:$L,"Positive")</f>
        <v>0</v>
      </c>
      <c r="D46" s="24"/>
      <c r="E46" s="23">
        <f>COUNTIFS(Results!$E:$E,"&gt;="&amp;$I$2,Results!$E:$E,"&lt;="&amp;$I$3,Results!$F:$F,"Negative",Results!$L:$L,"Positive")</f>
        <v>0</v>
      </c>
      <c r="F46" s="24"/>
      <c r="G46" s="28">
        <f>COUNTIFS(Results!$E:$E,"&gt;="&amp;$I$2,Results!$E:$E,"&lt;="&amp;$I$3,Results!$L:$L,"Positive", Results!$F:$F,"*tive", Results!$L:$L,"&lt;&gt;Not on Form", Results!$L:$L,"&lt;&gt;N/A")</f>
        <v>0</v>
      </c>
      <c r="H46" s="31" t="s">
        <v>81</v>
      </c>
      <c r="J46" s="15" t="str">
        <f t="shared" ref="J46:J48" si="3">IF(SUM(C46:F46)=G46,"","Check Total Value &amp; Category")</f>
        <v/>
      </c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t="14.25" customHeight="1">
      <c r="A47" s="44" t="s">
        <v>82</v>
      </c>
      <c r="B47" s="45"/>
      <c r="C47" s="23">
        <f>COUNTIFS(Results!$E:$E,"&gt;="&amp;$I$2,Results!$E:$E,"&lt;="&amp;$I$3,Results!$F:$F,"Positive",Results!$L:$L,"Negative")</f>
        <v>0</v>
      </c>
      <c r="D47" s="24"/>
      <c r="E47" s="23">
        <f>COUNTIFS(Results!$E:$E,"&gt;="&amp;$I$2,Results!$E:$E,"&lt;="&amp;$I$3,Results!$F:$F,"Negative",Results!$L:$L,"Negative")</f>
        <v>0</v>
      </c>
      <c r="F47" s="24"/>
      <c r="G47" s="28">
        <f>COUNTIFS(Results!$E:$E,"&gt;="&amp;$I$2,Results!$E:$E,"&lt;="&amp;$I$3,Results!$L:$L,"Negative", Results!$F:$F,"*tive", Results!$F:$F,"*tive", Results!$L:$L,"&lt;&gt;Not on Form", Results!$L:$L,"&lt;&gt;N/A")</f>
        <v>0</v>
      </c>
      <c r="H47" s="33"/>
      <c r="J47" s="15" t="str">
        <f t="shared" si="3"/>
        <v/>
      </c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t="14.25" customHeight="1">
      <c r="A48" s="44" t="s">
        <v>83</v>
      </c>
      <c r="B48" s="45"/>
      <c r="C48" s="23">
        <f>COUNTIFS(Results!$E:$E,"&gt;="&amp;$I$2,Results!$E:$E,"&lt;="&amp;$I$3,Results!$F:$F,"Positive",Results!$L:$L,"Not Done")</f>
        <v>0</v>
      </c>
      <c r="D48" s="24"/>
      <c r="E48" s="23">
        <f>COUNTIFS(Results!$E:$E,"&gt;="&amp;$I$2,Results!$E:$E,"&lt;="&amp;$I$3,Results!$F:$F,"Negative",Results!$L:$L,"Not Done")</f>
        <v>0</v>
      </c>
      <c r="F48" s="24"/>
      <c r="G48" s="28">
        <f>COUNTIFS(Results!$E:$E,"&gt;="&amp;$I$2,Results!$E:$E,"&lt;="&amp;$I$3,Results!$L:$L,"Not Done", Results!$F:$F,"*tive", Results!$F:$F,"*tive", Results!$L:$L,"&lt;&gt;Not on Form", Results!$L:$L,"&lt;&gt;N/A")</f>
        <v>0</v>
      </c>
      <c r="H48" s="33"/>
      <c r="J48" s="15" t="str">
        <f t="shared" si="3"/>
        <v/>
      </c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t="14.25" customHeight="1">
      <c r="A49" s="15"/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t="14.25" customHeight="1">
      <c r="A50" s="36"/>
      <c r="B50" s="36"/>
      <c r="C50" s="46" t="s">
        <v>78</v>
      </c>
      <c r="D50" s="24"/>
      <c r="E50" s="46" t="s">
        <v>79</v>
      </c>
      <c r="F50" s="24"/>
      <c r="G50" s="47" t="s">
        <v>49</v>
      </c>
      <c r="H50" s="36"/>
      <c r="I50" s="36"/>
      <c r="J50" s="36"/>
      <c r="K50" s="36"/>
      <c r="L50" s="36"/>
      <c r="M50" s="36"/>
      <c r="N50" s="36"/>
      <c r="O50" s="36"/>
      <c r="P50" s="36"/>
      <c r="Q50" s="36"/>
      <c r="R50" s="36"/>
      <c r="S50" s="36"/>
      <c r="T50" s="36"/>
      <c r="U50" s="36"/>
      <c r="V50" s="36"/>
      <c r="W50" s="36"/>
      <c r="X50" s="36"/>
      <c r="Y50" s="36"/>
      <c r="Z50" s="36"/>
    </row>
    <row r="51" ht="14.25" customHeight="1">
      <c r="A51" s="42" t="s">
        <v>84</v>
      </c>
      <c r="B51" s="37"/>
      <c r="C51" s="48">
        <f>COUNTIFS(Results!$E:$E,"&gt;="&amp;$I$2,Results!$E:$E,"&lt;="&amp;$I$3,Results!$F:$F,"Positive",Results!$P:$P,"CXR")</f>
        <v>0</v>
      </c>
      <c r="D51" s="24"/>
      <c r="E51" s="48">
        <f>COUNTIFS(Results!$E:$E,"&gt;="&amp;$I$2,Results!$E:$E,"&lt;="&amp;$I$3,Results!$F:$F,"Negative",Results!$P:$P,"CXR")</f>
        <v>0</v>
      </c>
      <c r="F51" s="24"/>
      <c r="G51" s="49">
        <f>COUNTIFS(Results!$E:$E,"&gt;="&amp;$I$2,Results!$E:$E,"&lt;="&amp;$I$3,Results!$F:$F,"Negative",Results!$P:$P,"CXR")</f>
        <v>0</v>
      </c>
      <c r="H51" s="40"/>
      <c r="I51" s="40"/>
      <c r="J51" s="40"/>
      <c r="K51" s="40"/>
      <c r="L51" s="40"/>
      <c r="M51" s="40"/>
      <c r="N51" s="40"/>
      <c r="O51" s="40"/>
      <c r="P51" s="40"/>
      <c r="Q51" s="40"/>
      <c r="R51" s="40"/>
      <c r="S51" s="40"/>
      <c r="T51" s="40"/>
      <c r="U51" s="40"/>
      <c r="V51" s="40"/>
      <c r="W51" s="40"/>
      <c r="X51" s="40"/>
      <c r="Y51" s="40"/>
      <c r="Z51" s="40"/>
    </row>
    <row r="52" ht="14.25" customHeight="1">
      <c r="A52" s="15"/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t="14.25" customHeight="1">
      <c r="A53" s="15" t="s">
        <v>85</v>
      </c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t="14.25" customHeight="1">
      <c r="A54" s="28"/>
      <c r="B54" s="28"/>
      <c r="C54" s="23" t="s">
        <v>86</v>
      </c>
      <c r="D54" s="24"/>
      <c r="E54" s="23" t="s">
        <v>87</v>
      </c>
      <c r="F54" s="24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t="14.25" customHeight="1">
      <c r="A55" s="44" t="s">
        <v>88</v>
      </c>
      <c r="B55" s="45"/>
      <c r="C55" s="23"/>
      <c r="D55" s="24"/>
      <c r="E55" s="23"/>
      <c r="F55" s="24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t="14.25" customHeight="1">
      <c r="A56" s="44" t="s">
        <v>89</v>
      </c>
      <c r="B56" s="45"/>
      <c r="C56" s="23"/>
      <c r="D56" s="24"/>
      <c r="E56" s="23"/>
      <c r="F56" s="24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t="14.25" customHeight="1">
      <c r="A57" s="44" t="s">
        <v>90</v>
      </c>
      <c r="B57" s="45"/>
      <c r="C57" s="23">
        <f>COUNTIFS(Results!$E:$E,"&gt;="&amp;$I$2,Results!$E:$E,"&lt;="&amp;$I$3)</f>
        <v>0</v>
      </c>
      <c r="D57" s="24"/>
      <c r="E57" s="23"/>
      <c r="F57" s="24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t="14.25" customHeight="1">
      <c r="A58" s="44" t="s">
        <v>91</v>
      </c>
      <c r="B58" s="45"/>
      <c r="C58" s="23">
        <f>C55+C56-C57</f>
        <v>0</v>
      </c>
      <c r="D58" s="24"/>
      <c r="E58" s="23"/>
      <c r="F58" s="24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t="14.25" customHeight="1">
      <c r="A59" s="50" t="s">
        <v>92</v>
      </c>
      <c r="B59" s="50"/>
      <c r="C59" s="50">
        <f>COUNTIFS(Results!$E:$E,"&gt;="&amp;$I$2,Results!$E:$E,"&lt;="&amp;$I$3,Results!$F:$F,"Error")+COUNTIFS(Results!$E:$E,"&gt;="&amp;$I$2,Results!$E:$E,"&lt;="&amp;$I$3,Results!$F:$F,"Invalid")</f>
        <v>0</v>
      </c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t="14.25" customHeight="1">
      <c r="A60" s="50" t="s">
        <v>93</v>
      </c>
      <c r="B60" s="15"/>
      <c r="C60" s="50">
        <f>COUNTIFS(Results!$E:$E,"&gt;="&amp;$I$2,Results!$E:$E,"&lt;="&amp;$I$3,Results!$F:$F,"No Result")</f>
        <v>0</v>
      </c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t="14.25" customHeight="1">
      <c r="A61" s="15"/>
      <c r="B61" s="15"/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t="14.25" customHeight="1">
      <c r="A62" s="15"/>
      <c r="B62" s="15"/>
      <c r="C62" s="15"/>
      <c r="D62" s="15"/>
      <c r="E62" s="15" t="s">
        <v>94</v>
      </c>
      <c r="F62" s="51"/>
      <c r="G62" s="51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t="14.25" customHeight="1">
      <c r="A63" s="15"/>
      <c r="B63" s="15"/>
      <c r="C63" s="15"/>
      <c r="D63" s="15"/>
      <c r="E63" s="15" t="s">
        <v>95</v>
      </c>
      <c r="F63" s="52"/>
      <c r="G63" s="52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t="14.25" customHeight="1">
      <c r="A64" s="15"/>
      <c r="B64" s="15"/>
      <c r="C64" s="15"/>
      <c r="D64" s="15"/>
      <c r="E64" s="15" t="s">
        <v>96</v>
      </c>
      <c r="F64" s="52"/>
      <c r="G64" s="52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t="14.25" customHeight="1">
      <c r="A65" s="15"/>
      <c r="B65" s="15"/>
      <c r="C65" s="15"/>
      <c r="D65" s="15"/>
      <c r="E65" s="15" t="s">
        <v>97</v>
      </c>
      <c r="F65" s="52"/>
      <c r="G65" s="52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t="14.25" customHeight="1">
      <c r="A66" s="15"/>
      <c r="B66" s="15"/>
      <c r="C66" s="15"/>
      <c r="D66" s="15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t="14.25" customHeight="1">
      <c r="A67" s="15"/>
      <c r="B67" s="15"/>
      <c r="C67" s="15"/>
      <c r="D67" s="15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t="14.25" customHeight="1">
      <c r="A68" s="15"/>
      <c r="B68" s="15"/>
      <c r="C68" s="15"/>
      <c r="D68" s="15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t="14.25" customHeight="1">
      <c r="A69" s="15"/>
      <c r="B69" s="15"/>
      <c r="C69" s="15"/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t="14.25" customHeight="1">
      <c r="A70" s="15"/>
      <c r="B70" s="15"/>
      <c r="C70" s="15"/>
      <c r="D70" s="15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t="14.25" customHeight="1">
      <c r="A71" s="15"/>
      <c r="B71" s="15"/>
      <c r="C71" s="15"/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t="14.25" customHeight="1">
      <c r="A72" s="15"/>
      <c r="B72" s="15"/>
      <c r="C72" s="15"/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t="14.25" customHeight="1">
      <c r="A73" s="15"/>
      <c r="B73" s="15"/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t="14.25" customHeight="1">
      <c r="A74" s="15"/>
      <c r="B74" s="15"/>
      <c r="C74" s="15"/>
      <c r="D74" s="15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t="14.25" customHeight="1">
      <c r="A75" s="15"/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t="14.25" customHeight="1">
      <c r="A76" s="15"/>
      <c r="B76" s="15"/>
      <c r="C76" s="15"/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t="14.25" customHeight="1">
      <c r="A77" s="15"/>
      <c r="B77" s="15"/>
      <c r="C77" s="15"/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t="14.25" customHeight="1">
      <c r="A78" s="15"/>
      <c r="B78" s="15"/>
      <c r="C78" s="15"/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t="14.25" customHeight="1">
      <c r="A79" s="15"/>
      <c r="B79" s="15"/>
      <c r="C79" s="15"/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t="14.25" customHeight="1">
      <c r="A80" s="15"/>
      <c r="B80" s="15"/>
      <c r="C80" s="15"/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t="14.25" customHeight="1">
      <c r="A81" s="15"/>
      <c r="B81" s="15"/>
      <c r="C81" s="15"/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t="14.25" customHeight="1">
      <c r="A82" s="15"/>
      <c r="B82" s="15"/>
      <c r="C82" s="15"/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t="14.25" customHeight="1">
      <c r="A83" s="15"/>
      <c r="B83" s="15"/>
      <c r="C83" s="15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t="14.25" customHeight="1">
      <c r="A84" s="15"/>
      <c r="B84" s="15"/>
      <c r="C84" s="15"/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t="14.25" customHeight="1">
      <c r="A85" s="15"/>
      <c r="B85" s="15"/>
      <c r="C85" s="15"/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t="14.25" customHeight="1">
      <c r="A86" s="15"/>
      <c r="B86" s="15"/>
      <c r="C86" s="15"/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t="14.25" customHeight="1">
      <c r="A87" s="15"/>
      <c r="B87" s="15"/>
      <c r="C87" s="15"/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t="14.25" customHeight="1">
      <c r="A88" s="15"/>
      <c r="B88" s="15"/>
      <c r="C88" s="15"/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t="14.25" customHeight="1">
      <c r="A89" s="15"/>
      <c r="B89" s="15"/>
      <c r="C89" s="15"/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t="14.25" customHeight="1">
      <c r="A90" s="15"/>
      <c r="B90" s="15"/>
      <c r="C90" s="15"/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t="14.25" customHeight="1">
      <c r="A91" s="15"/>
      <c r="B91" s="15"/>
      <c r="C91" s="15"/>
      <c r="D91" s="15"/>
      <c r="E91" s="15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t="14.25" customHeight="1">
      <c r="A92" s="15"/>
      <c r="B92" s="15"/>
      <c r="C92" s="15"/>
      <c r="D92" s="15"/>
      <c r="E92" s="15"/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t="14.25" customHeight="1">
      <c r="A93" s="15"/>
      <c r="B93" s="15"/>
      <c r="C93" s="15"/>
      <c r="D93" s="15"/>
      <c r="E93" s="15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t="14.25" customHeight="1">
      <c r="A94" s="15"/>
      <c r="B94" s="15"/>
      <c r="C94" s="15"/>
      <c r="D94" s="15"/>
      <c r="E94" s="15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t="14.25" customHeight="1">
      <c r="A95" s="15"/>
      <c r="B95" s="15"/>
      <c r="C95" s="15"/>
      <c r="D95" s="15"/>
      <c r="E95" s="15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t="14.25" customHeight="1">
      <c r="A96" s="15"/>
      <c r="B96" s="15"/>
      <c r="C96" s="15"/>
      <c r="D96" s="15"/>
      <c r="E96" s="15"/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t="14.25" customHeight="1">
      <c r="A97" s="15"/>
      <c r="B97" s="15"/>
      <c r="C97" s="15"/>
      <c r="D97" s="15"/>
      <c r="E97" s="15"/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t="14.25" customHeight="1">
      <c r="A98" s="15"/>
      <c r="B98" s="15"/>
      <c r="C98" s="15"/>
      <c r="D98" s="15"/>
      <c r="E98" s="15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t="14.25" customHeight="1">
      <c r="A99" s="15"/>
      <c r="B99" s="15"/>
      <c r="C99" s="15"/>
      <c r="D99" s="15"/>
      <c r="E99" s="15"/>
      <c r="F99" s="15"/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t="14.25" customHeight="1">
      <c r="A100" s="15"/>
      <c r="B100" s="15"/>
      <c r="C100" s="15"/>
      <c r="D100" s="15"/>
      <c r="E100" s="15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t="14.25" customHeight="1">
      <c r="A101" s="15"/>
      <c r="B101" s="15"/>
      <c r="C101" s="15"/>
      <c r="D101" s="15"/>
      <c r="E101" s="15"/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t="14.25" customHeight="1">
      <c r="A102" s="15"/>
      <c r="B102" s="15"/>
      <c r="C102" s="15"/>
      <c r="D102" s="15"/>
      <c r="E102" s="15"/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t="14.25" customHeight="1">
      <c r="A103" s="15"/>
      <c r="B103" s="15"/>
      <c r="C103" s="15"/>
      <c r="D103" s="15"/>
      <c r="E103" s="15"/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t="14.25" customHeight="1">
      <c r="A104" s="15"/>
      <c r="B104" s="15"/>
      <c r="C104" s="15"/>
      <c r="D104" s="15"/>
      <c r="E104" s="15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t="14.25" customHeight="1">
      <c r="A105" s="15"/>
      <c r="B105" s="15"/>
      <c r="C105" s="15"/>
      <c r="D105" s="15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t="14.25" customHeight="1">
      <c r="A106" s="15"/>
      <c r="B106" s="15"/>
      <c r="C106" s="15"/>
      <c r="D106" s="15"/>
      <c r="E106" s="15"/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t="14.25" customHeight="1">
      <c r="A107" s="15"/>
      <c r="B107" s="15"/>
      <c r="C107" s="15"/>
      <c r="D107" s="15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t="14.25" customHeight="1">
      <c r="A108" s="15"/>
      <c r="B108" s="15"/>
      <c r="C108" s="15"/>
      <c r="D108" s="15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t="14.25" customHeight="1">
      <c r="A109" s="15"/>
      <c r="B109" s="15"/>
      <c r="C109" s="15"/>
      <c r="D109" s="15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t="14.25" customHeight="1">
      <c r="A110" s="15"/>
      <c r="B110" s="15"/>
      <c r="C110" s="15"/>
      <c r="D110" s="15"/>
      <c r="E110" s="15"/>
      <c r="F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t="14.25" customHeight="1">
      <c r="A111" s="15"/>
      <c r="B111" s="15"/>
      <c r="C111" s="15"/>
      <c r="D111" s="15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t="14.25" customHeight="1">
      <c r="A112" s="15"/>
      <c r="B112" s="15"/>
      <c r="C112" s="15"/>
      <c r="D112" s="15"/>
      <c r="E112" s="15"/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t="14.25" customHeight="1">
      <c r="A113" s="15"/>
      <c r="B113" s="15"/>
      <c r="C113" s="15"/>
      <c r="D113" s="15"/>
      <c r="E113" s="15"/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t="14.25" customHeight="1">
      <c r="A114" s="15"/>
      <c r="B114" s="15"/>
      <c r="C114" s="15"/>
      <c r="D114" s="15"/>
      <c r="E114" s="15"/>
      <c r="F114" s="15"/>
      <c r="G114" s="15"/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t="14.25" customHeight="1">
      <c r="A115" s="15"/>
      <c r="B115" s="15"/>
      <c r="C115" s="15"/>
      <c r="D115" s="15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t="14.25" customHeight="1">
      <c r="A116" s="15"/>
      <c r="B116" s="15"/>
      <c r="C116" s="15"/>
      <c r="D116" s="15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t="14.25" customHeight="1">
      <c r="A117" s="15"/>
      <c r="B117" s="15"/>
      <c r="C117" s="15"/>
      <c r="D117" s="15"/>
      <c r="E117" s="15"/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t="14.25" customHeight="1">
      <c r="A118" s="15"/>
      <c r="B118" s="15"/>
      <c r="C118" s="15"/>
      <c r="D118" s="15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t="14.25" customHeight="1">
      <c r="A119" s="15"/>
      <c r="B119" s="15"/>
      <c r="C119" s="15"/>
      <c r="D119" s="15"/>
      <c r="E119" s="15"/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t="14.25" customHeight="1">
      <c r="A120" s="15"/>
      <c r="B120" s="15"/>
      <c r="C120" s="15"/>
      <c r="D120" s="15"/>
      <c r="E120" s="15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t="14.25" customHeight="1">
      <c r="A121" s="15"/>
      <c r="B121" s="15"/>
      <c r="C121" s="15"/>
      <c r="D121" s="15"/>
      <c r="E121" s="15"/>
      <c r="F121" s="15"/>
      <c r="G121" s="15"/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t="14.25" customHeight="1">
      <c r="A122" s="15"/>
      <c r="B122" s="15"/>
      <c r="C122" s="15"/>
      <c r="D122" s="15"/>
      <c r="E122" s="15"/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t="14.25" customHeight="1">
      <c r="A123" s="15"/>
      <c r="B123" s="15"/>
      <c r="C123" s="15"/>
      <c r="D123" s="15"/>
      <c r="E123" s="15"/>
      <c r="F123" s="15"/>
      <c r="G123" s="15"/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t="14.25" customHeight="1">
      <c r="A124" s="15"/>
      <c r="B124" s="15"/>
      <c r="C124" s="15"/>
      <c r="D124" s="15"/>
      <c r="E124" s="15"/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t="14.25" customHeight="1">
      <c r="A125" s="15"/>
      <c r="B125" s="15"/>
      <c r="C125" s="15"/>
      <c r="D125" s="15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t="14.25" customHeight="1">
      <c r="A126" s="15"/>
      <c r="B126" s="15"/>
      <c r="C126" s="15"/>
      <c r="D126" s="15"/>
      <c r="E126" s="15"/>
      <c r="F126" s="15"/>
      <c r="G126" s="15"/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t="14.25" customHeight="1">
      <c r="A127" s="15"/>
      <c r="B127" s="15"/>
      <c r="C127" s="15"/>
      <c r="D127" s="15"/>
      <c r="E127" s="15"/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t="14.25" customHeight="1">
      <c r="A128" s="15"/>
      <c r="B128" s="15"/>
      <c r="C128" s="15"/>
      <c r="D128" s="15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t="14.25" customHeight="1">
      <c r="A129" s="15"/>
      <c r="B129" s="15"/>
      <c r="C129" s="15"/>
      <c r="D129" s="15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t="14.25" customHeight="1">
      <c r="A130" s="15"/>
      <c r="B130" s="15"/>
      <c r="C130" s="15"/>
      <c r="D130" s="15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t="14.25" customHeight="1">
      <c r="A131" s="15"/>
      <c r="B131" s="15"/>
      <c r="C131" s="15"/>
      <c r="D131" s="15"/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t="14.25" customHeight="1">
      <c r="A132" s="15"/>
      <c r="B132" s="15"/>
      <c r="C132" s="15"/>
      <c r="D132" s="15"/>
      <c r="E132" s="15"/>
      <c r="F132" s="15"/>
      <c r="G132" s="15"/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t="14.25" customHeight="1">
      <c r="A133" s="15"/>
      <c r="B133" s="15"/>
      <c r="C133" s="15"/>
      <c r="D133" s="15"/>
      <c r="E133" s="15"/>
      <c r="F133" s="15"/>
      <c r="G133" s="15"/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t="14.25" customHeight="1">
      <c r="A134" s="15"/>
      <c r="B134" s="15"/>
      <c r="C134" s="15"/>
      <c r="D134" s="15"/>
      <c r="E134" s="15"/>
      <c r="F134" s="15"/>
      <c r="G134" s="15"/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t="14.25" customHeight="1">
      <c r="A135" s="15"/>
      <c r="B135" s="15"/>
      <c r="C135" s="15"/>
      <c r="D135" s="15"/>
      <c r="E135" s="15"/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t="14.25" customHeight="1">
      <c r="A136" s="15"/>
      <c r="B136" s="15"/>
      <c r="C136" s="15"/>
      <c r="D136" s="15"/>
      <c r="E136" s="15"/>
      <c r="F136" s="15"/>
      <c r="G136" s="15"/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t="14.25" customHeight="1">
      <c r="A137" s="15"/>
      <c r="B137" s="15"/>
      <c r="C137" s="15"/>
      <c r="D137" s="15"/>
      <c r="E137" s="15"/>
      <c r="F137" s="15"/>
      <c r="G137" s="15"/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t="14.25" customHeight="1">
      <c r="A138" s="15"/>
      <c r="B138" s="15"/>
      <c r="C138" s="15"/>
      <c r="D138" s="15"/>
      <c r="E138" s="15"/>
      <c r="F138" s="15"/>
      <c r="G138" s="15"/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t="14.25" customHeight="1">
      <c r="A139" s="15"/>
      <c r="B139" s="15"/>
      <c r="C139" s="15"/>
      <c r="D139" s="15"/>
      <c r="E139" s="15"/>
      <c r="F139" s="15"/>
      <c r="G139" s="15"/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t="14.25" customHeight="1">
      <c r="A140" s="15"/>
      <c r="B140" s="15"/>
      <c r="C140" s="15"/>
      <c r="D140" s="15"/>
      <c r="E140" s="15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t="14.25" customHeight="1">
      <c r="A141" s="15"/>
      <c r="B141" s="15"/>
      <c r="C141" s="15"/>
      <c r="D141" s="15"/>
      <c r="E141" s="15"/>
      <c r="F141" s="15"/>
      <c r="G141" s="15"/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t="14.25" customHeight="1">
      <c r="A142" s="15"/>
      <c r="B142" s="15"/>
      <c r="C142" s="15"/>
      <c r="D142" s="15"/>
      <c r="E142" s="15"/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t="14.25" customHeight="1">
      <c r="A143" s="15"/>
      <c r="B143" s="15"/>
      <c r="C143" s="15"/>
      <c r="D143" s="15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t="14.25" customHeight="1">
      <c r="A144" s="15"/>
      <c r="B144" s="15"/>
      <c r="C144" s="15"/>
      <c r="D144" s="15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t="14.25" customHeight="1">
      <c r="A145" s="15"/>
      <c r="B145" s="15"/>
      <c r="C145" s="15"/>
      <c r="D145" s="15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t="14.25" customHeight="1">
      <c r="A146" s="15"/>
      <c r="B146" s="15"/>
      <c r="C146" s="15"/>
      <c r="D146" s="15"/>
      <c r="E146" s="15"/>
      <c r="F146" s="15"/>
      <c r="G146" s="15"/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t="14.25" customHeight="1">
      <c r="A147" s="15"/>
      <c r="B147" s="15"/>
      <c r="C147" s="15"/>
      <c r="D147" s="15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t="14.25" customHeight="1">
      <c r="A148" s="15"/>
      <c r="B148" s="15"/>
      <c r="C148" s="15"/>
      <c r="D148" s="15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t="14.25" customHeight="1">
      <c r="A149" s="15"/>
      <c r="B149" s="15"/>
      <c r="C149" s="15"/>
      <c r="D149" s="15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t="14.25" customHeight="1">
      <c r="A150" s="15"/>
      <c r="B150" s="15"/>
      <c r="C150" s="15"/>
      <c r="D150" s="15"/>
      <c r="E150" s="15"/>
      <c r="F150" s="15"/>
      <c r="G150" s="15"/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t="14.25" customHeight="1">
      <c r="A151" s="15"/>
      <c r="B151" s="15"/>
      <c r="C151" s="15"/>
      <c r="D151" s="15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t="14.25" customHeight="1">
      <c r="A152" s="15"/>
      <c r="B152" s="15"/>
      <c r="C152" s="15"/>
      <c r="D152" s="15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t="14.25" customHeight="1">
      <c r="A153" s="15"/>
      <c r="B153" s="15"/>
      <c r="C153" s="15"/>
      <c r="D153" s="15"/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t="14.25" customHeight="1">
      <c r="A154" s="15"/>
      <c r="B154" s="15"/>
      <c r="C154" s="15"/>
      <c r="D154" s="15"/>
      <c r="E154" s="15"/>
      <c r="F154" s="15"/>
      <c r="G154" s="15"/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t="14.25" customHeight="1">
      <c r="A155" s="15"/>
      <c r="B155" s="15"/>
      <c r="C155" s="15"/>
      <c r="D155" s="15"/>
      <c r="E155" s="15"/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t="14.25" customHeight="1">
      <c r="A156" s="15"/>
      <c r="B156" s="15"/>
      <c r="C156" s="15"/>
      <c r="D156" s="15"/>
      <c r="E156" s="15"/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t="14.25" customHeight="1">
      <c r="A157" s="15"/>
      <c r="B157" s="15"/>
      <c r="C157" s="15"/>
      <c r="D157" s="15"/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t="14.25" customHeight="1">
      <c r="A158" s="15"/>
      <c r="B158" s="15"/>
      <c r="C158" s="15"/>
      <c r="D158" s="15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t="14.25" customHeight="1">
      <c r="A159" s="15"/>
      <c r="B159" s="15"/>
      <c r="C159" s="15"/>
      <c r="D159" s="15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t="14.25" customHeight="1">
      <c r="A160" s="15"/>
      <c r="B160" s="15"/>
      <c r="C160" s="15"/>
      <c r="D160" s="15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t="14.25" customHeight="1">
      <c r="A161" s="15"/>
      <c r="B161" s="15"/>
      <c r="C161" s="15"/>
      <c r="D161" s="15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t="14.25" customHeight="1">
      <c r="A162" s="15"/>
      <c r="B162" s="15"/>
      <c r="C162" s="15"/>
      <c r="D162" s="15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t="14.25" customHeight="1">
      <c r="A163" s="15"/>
      <c r="B163" s="15"/>
      <c r="C163" s="15"/>
      <c r="D163" s="15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t="14.25" customHeight="1">
      <c r="A164" s="15"/>
      <c r="B164" s="15"/>
      <c r="C164" s="15"/>
      <c r="D164" s="15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t="14.25" customHeight="1">
      <c r="A165" s="15"/>
      <c r="B165" s="15"/>
      <c r="C165" s="15"/>
      <c r="D165" s="15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t="14.25" customHeight="1">
      <c r="A166" s="15"/>
      <c r="B166" s="15"/>
      <c r="C166" s="15"/>
      <c r="D166" s="15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t="14.25" customHeight="1">
      <c r="A167" s="15"/>
      <c r="B167" s="15"/>
      <c r="C167" s="15"/>
      <c r="D167" s="15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t="14.25" customHeight="1">
      <c r="A168" s="15"/>
      <c r="B168" s="15"/>
      <c r="C168" s="15"/>
      <c r="D168" s="15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t="14.25" customHeight="1">
      <c r="A169" s="15"/>
      <c r="B169" s="15"/>
      <c r="C169" s="15"/>
      <c r="D169" s="15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t="14.25" customHeight="1">
      <c r="A170" s="15"/>
      <c r="B170" s="15"/>
      <c r="C170" s="15"/>
      <c r="D170" s="15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t="14.25" customHeight="1">
      <c r="A171" s="15"/>
      <c r="B171" s="15"/>
      <c r="C171" s="15"/>
      <c r="D171" s="15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t="14.25" customHeight="1">
      <c r="A172" s="15"/>
      <c r="B172" s="15"/>
      <c r="C172" s="15"/>
      <c r="D172" s="15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t="14.25" customHeight="1">
      <c r="A173" s="15"/>
      <c r="B173" s="15"/>
      <c r="C173" s="15"/>
      <c r="D173" s="15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t="14.25" customHeight="1">
      <c r="A174" s="15"/>
      <c r="B174" s="15"/>
      <c r="C174" s="15"/>
      <c r="D174" s="15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t="14.25" customHeight="1">
      <c r="A175" s="15"/>
      <c r="B175" s="15"/>
      <c r="C175" s="15"/>
      <c r="D175" s="15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t="14.25" customHeight="1">
      <c r="A176" s="15"/>
      <c r="B176" s="15"/>
      <c r="C176" s="15"/>
      <c r="D176" s="15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t="14.25" customHeight="1">
      <c r="A177" s="15"/>
      <c r="B177" s="15"/>
      <c r="C177" s="15"/>
      <c r="D177" s="15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t="14.25" customHeight="1">
      <c r="A178" s="15"/>
      <c r="B178" s="15"/>
      <c r="C178" s="15"/>
      <c r="D178" s="15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t="14.25" customHeight="1">
      <c r="A179" s="15"/>
      <c r="B179" s="15"/>
      <c r="C179" s="15"/>
      <c r="D179" s="15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t="14.25" customHeight="1">
      <c r="A180" s="15"/>
      <c r="B180" s="15"/>
      <c r="C180" s="15"/>
      <c r="D180" s="15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t="14.25" customHeight="1">
      <c r="A181" s="15"/>
      <c r="B181" s="15"/>
      <c r="C181" s="15"/>
      <c r="D181" s="15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t="14.25" customHeight="1">
      <c r="A182" s="15"/>
      <c r="B182" s="15"/>
      <c r="C182" s="15"/>
      <c r="D182" s="15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t="14.25" customHeight="1">
      <c r="A183" s="15"/>
      <c r="B183" s="15"/>
      <c r="C183" s="15"/>
      <c r="D183" s="15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t="14.25" customHeight="1">
      <c r="A184" s="15"/>
      <c r="B184" s="15"/>
      <c r="C184" s="15"/>
      <c r="D184" s="15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t="14.25" customHeight="1">
      <c r="A185" s="15"/>
      <c r="B185" s="15"/>
      <c r="C185" s="15"/>
      <c r="D185" s="15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t="14.25" customHeight="1">
      <c r="A186" s="15"/>
      <c r="B186" s="15"/>
      <c r="C186" s="15"/>
      <c r="D186" s="15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t="14.25" customHeight="1">
      <c r="A187" s="15"/>
      <c r="B187" s="15"/>
      <c r="C187" s="15"/>
      <c r="D187" s="15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t="14.25" customHeight="1">
      <c r="A188" s="15"/>
      <c r="B188" s="15"/>
      <c r="C188" s="15"/>
      <c r="D188" s="15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t="14.25" customHeight="1">
      <c r="A189" s="15"/>
      <c r="B189" s="15"/>
      <c r="C189" s="15"/>
      <c r="D189" s="15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t="14.25" customHeight="1">
      <c r="A190" s="15"/>
      <c r="B190" s="15"/>
      <c r="C190" s="15"/>
      <c r="D190" s="15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t="14.25" customHeight="1">
      <c r="A191" s="15"/>
      <c r="B191" s="15"/>
      <c r="C191" s="15"/>
      <c r="D191" s="15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t="14.25" customHeight="1">
      <c r="A192" s="15"/>
      <c r="B192" s="15"/>
      <c r="C192" s="15"/>
      <c r="D192" s="15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t="14.25" customHeight="1">
      <c r="A193" s="15"/>
      <c r="B193" s="15"/>
      <c r="C193" s="15"/>
      <c r="D193" s="15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t="14.25" customHeight="1">
      <c r="A194" s="15"/>
      <c r="B194" s="15"/>
      <c r="C194" s="15"/>
      <c r="D194" s="15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t="14.25" customHeight="1">
      <c r="A195" s="15"/>
      <c r="B195" s="15"/>
      <c r="C195" s="15"/>
      <c r="D195" s="15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t="14.25" customHeight="1">
      <c r="A196" s="15"/>
      <c r="B196" s="15"/>
      <c r="C196" s="15"/>
      <c r="D196" s="15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t="14.25" customHeight="1">
      <c r="A197" s="15"/>
      <c r="B197" s="15"/>
      <c r="C197" s="15"/>
      <c r="D197" s="15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t="14.25" customHeight="1">
      <c r="A198" s="15"/>
      <c r="B198" s="15"/>
      <c r="C198" s="15"/>
      <c r="D198" s="15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t="14.25" customHeight="1">
      <c r="A199" s="15"/>
      <c r="B199" s="15"/>
      <c r="C199" s="15"/>
      <c r="D199" s="15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t="14.25" customHeight="1">
      <c r="A200" s="15"/>
      <c r="B200" s="15"/>
      <c r="C200" s="15"/>
      <c r="D200" s="15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t="14.25" customHeight="1">
      <c r="A201" s="15"/>
      <c r="B201" s="15"/>
      <c r="C201" s="15"/>
      <c r="D201" s="15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t="14.25" customHeight="1">
      <c r="A202" s="15"/>
      <c r="B202" s="15"/>
      <c r="C202" s="15"/>
      <c r="D202" s="15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t="14.25" customHeight="1">
      <c r="A203" s="15"/>
      <c r="B203" s="15"/>
      <c r="C203" s="15"/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t="14.25" customHeight="1">
      <c r="A204" s="15"/>
      <c r="B204" s="15"/>
      <c r="C204" s="15"/>
      <c r="D204" s="15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t="14.25" customHeight="1">
      <c r="A205" s="15"/>
      <c r="B205" s="15"/>
      <c r="C205" s="15"/>
      <c r="D205" s="15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t="14.25" customHeight="1">
      <c r="A206" s="15"/>
      <c r="B206" s="15"/>
      <c r="C206" s="15"/>
      <c r="D206" s="15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t="14.25" customHeight="1">
      <c r="A207" s="15"/>
      <c r="B207" s="15"/>
      <c r="C207" s="15"/>
      <c r="D207" s="15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t="14.25" customHeight="1">
      <c r="A208" s="15"/>
      <c r="B208" s="15"/>
      <c r="C208" s="15"/>
      <c r="D208" s="15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t="14.25" customHeight="1">
      <c r="A209" s="15"/>
      <c r="B209" s="15"/>
      <c r="C209" s="15"/>
      <c r="D209" s="15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t="14.25" customHeight="1">
      <c r="A210" s="15"/>
      <c r="B210" s="15"/>
      <c r="C210" s="15"/>
      <c r="D210" s="15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t="14.25" customHeight="1">
      <c r="A211" s="15"/>
      <c r="B211" s="15"/>
      <c r="C211" s="15"/>
      <c r="D211" s="15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t="14.25" customHeight="1">
      <c r="A212" s="15"/>
      <c r="B212" s="15"/>
      <c r="C212" s="15"/>
      <c r="D212" s="15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t="14.25" customHeight="1">
      <c r="A213" s="15"/>
      <c r="B213" s="15"/>
      <c r="C213" s="15"/>
      <c r="D213" s="15"/>
      <c r="E213" s="15"/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t="14.25" customHeight="1">
      <c r="A214" s="15"/>
      <c r="B214" s="15"/>
      <c r="C214" s="15"/>
      <c r="D214" s="15"/>
      <c r="E214" s="15"/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t="14.25" customHeight="1">
      <c r="A215" s="15"/>
      <c r="B215" s="15"/>
      <c r="C215" s="15"/>
      <c r="D215" s="15"/>
      <c r="E215" s="15"/>
      <c r="F215" s="15"/>
      <c r="G215" s="15"/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t="14.25" customHeight="1">
      <c r="A216" s="15"/>
      <c r="B216" s="15"/>
      <c r="C216" s="15"/>
      <c r="D216" s="15"/>
      <c r="E216" s="15"/>
      <c r="F216" s="15"/>
      <c r="G216" s="15"/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t="14.25" customHeight="1">
      <c r="A217" s="15"/>
      <c r="B217" s="15"/>
      <c r="C217" s="15"/>
      <c r="D217" s="15"/>
      <c r="E217" s="15"/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t="14.25" customHeight="1">
      <c r="A218" s="15"/>
      <c r="B218" s="15"/>
      <c r="C218" s="15"/>
      <c r="D218" s="15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t="14.25" customHeight="1">
      <c r="A219" s="15"/>
      <c r="B219" s="15"/>
      <c r="C219" s="15"/>
      <c r="D219" s="15"/>
      <c r="E219" s="15"/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t="14.25" customHeight="1">
      <c r="A220" s="15"/>
      <c r="B220" s="15"/>
      <c r="C220" s="15"/>
      <c r="D220" s="15"/>
      <c r="E220" s="15"/>
      <c r="F220" s="15"/>
      <c r="G220" s="15"/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t="14.25" customHeight="1">
      <c r="A221" s="15"/>
      <c r="B221" s="15"/>
      <c r="C221" s="15"/>
      <c r="D221" s="15"/>
      <c r="E221" s="15"/>
      <c r="F221" s="15"/>
      <c r="G221" s="15"/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t="14.25" customHeight="1">
      <c r="A222" s="15"/>
      <c r="B222" s="15"/>
      <c r="C222" s="15"/>
      <c r="D222" s="15"/>
      <c r="E222" s="15"/>
      <c r="F222" s="15"/>
      <c r="G222" s="15"/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t="14.25" customHeight="1">
      <c r="A223" s="15"/>
      <c r="B223" s="15"/>
      <c r="C223" s="15"/>
      <c r="D223" s="15"/>
      <c r="E223" s="15"/>
      <c r="F223" s="15"/>
      <c r="G223" s="15"/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t="14.25" customHeight="1">
      <c r="A224" s="15"/>
      <c r="B224" s="15"/>
      <c r="C224" s="15"/>
      <c r="D224" s="15"/>
      <c r="E224" s="15"/>
      <c r="F224" s="15"/>
      <c r="G224" s="15"/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t="14.25" customHeight="1">
      <c r="A225" s="15"/>
      <c r="B225" s="15"/>
      <c r="C225" s="15"/>
      <c r="D225" s="15"/>
      <c r="E225" s="15"/>
      <c r="F225" s="15"/>
      <c r="G225" s="15"/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t="14.25" customHeight="1">
      <c r="A226" s="15"/>
      <c r="B226" s="15"/>
      <c r="C226" s="15"/>
      <c r="D226" s="15"/>
      <c r="E226" s="15"/>
      <c r="F226" s="15"/>
      <c r="G226" s="15"/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t="14.25" customHeight="1">
      <c r="A227" s="15"/>
      <c r="B227" s="15"/>
      <c r="C227" s="15"/>
      <c r="D227" s="15"/>
      <c r="E227" s="15"/>
      <c r="F227" s="15"/>
      <c r="G227" s="15"/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t="14.25" customHeight="1">
      <c r="A228" s="15"/>
      <c r="B228" s="15"/>
      <c r="C228" s="15"/>
      <c r="D228" s="15"/>
      <c r="E228" s="15"/>
      <c r="F228" s="15"/>
      <c r="G228" s="15"/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t="14.25" customHeight="1">
      <c r="A229" s="15"/>
      <c r="B229" s="15"/>
      <c r="C229" s="15"/>
      <c r="D229" s="15"/>
      <c r="E229" s="15"/>
      <c r="F229" s="15"/>
      <c r="G229" s="15"/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t="14.25" customHeight="1">
      <c r="A230" s="15"/>
      <c r="B230" s="15"/>
      <c r="C230" s="15"/>
      <c r="D230" s="15"/>
      <c r="E230" s="15"/>
      <c r="F230" s="15"/>
      <c r="G230" s="15"/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t="14.25" customHeight="1">
      <c r="A231" s="15"/>
      <c r="B231" s="15"/>
      <c r="C231" s="15"/>
      <c r="D231" s="15"/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t="14.25" customHeight="1">
      <c r="A232" s="15"/>
      <c r="B232" s="15"/>
      <c r="C232" s="15"/>
      <c r="D232" s="15"/>
      <c r="E232" s="15"/>
      <c r="F232" s="15"/>
      <c r="G232" s="15"/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t="14.25" customHeight="1">
      <c r="A233" s="15"/>
      <c r="B233" s="15"/>
      <c r="C233" s="15"/>
      <c r="D233" s="15"/>
      <c r="E233" s="15"/>
      <c r="F233" s="15"/>
      <c r="G233" s="15"/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t="14.25" customHeight="1">
      <c r="A234" s="15"/>
      <c r="B234" s="15"/>
      <c r="C234" s="15"/>
      <c r="D234" s="15"/>
      <c r="E234" s="15"/>
      <c r="F234" s="15"/>
      <c r="G234" s="15"/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t="14.25" customHeight="1">
      <c r="A235" s="15"/>
      <c r="B235" s="15"/>
      <c r="C235" s="15"/>
      <c r="D235" s="15"/>
      <c r="E235" s="15"/>
      <c r="F235" s="15"/>
      <c r="G235" s="15"/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t="14.25" customHeight="1">
      <c r="A236" s="15"/>
      <c r="B236" s="15"/>
      <c r="C236" s="15"/>
      <c r="D236" s="15"/>
      <c r="E236" s="15"/>
      <c r="F236" s="15"/>
      <c r="G236" s="15"/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t="14.25" customHeight="1">
      <c r="A237" s="15"/>
      <c r="B237" s="15"/>
      <c r="C237" s="15"/>
      <c r="D237" s="15"/>
      <c r="E237" s="15"/>
      <c r="F237" s="15"/>
      <c r="G237" s="15"/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t="14.25" customHeight="1">
      <c r="A238" s="15"/>
      <c r="B238" s="15"/>
      <c r="C238" s="15"/>
      <c r="D238" s="15"/>
      <c r="E238" s="15"/>
      <c r="F238" s="15"/>
      <c r="G238" s="15"/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t="14.25" customHeight="1">
      <c r="A239" s="15"/>
      <c r="B239" s="15"/>
      <c r="C239" s="15"/>
      <c r="D239" s="15"/>
      <c r="E239" s="15"/>
      <c r="F239" s="15"/>
      <c r="G239" s="15"/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t="14.25" customHeight="1">
      <c r="A240" s="15"/>
      <c r="B240" s="15"/>
      <c r="C240" s="15"/>
      <c r="D240" s="15"/>
      <c r="E240" s="15"/>
      <c r="F240" s="15"/>
      <c r="G240" s="15"/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t="14.25" customHeight="1">
      <c r="A241" s="15"/>
      <c r="B241" s="15"/>
      <c r="C241" s="15"/>
      <c r="D241" s="15"/>
      <c r="E241" s="15"/>
      <c r="F241" s="15"/>
      <c r="G241" s="15"/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t="14.25" customHeight="1">
      <c r="A242" s="15"/>
      <c r="B242" s="15"/>
      <c r="C242" s="15"/>
      <c r="D242" s="15"/>
      <c r="E242" s="15"/>
      <c r="F242" s="15"/>
      <c r="G242" s="15"/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t="14.25" customHeight="1">
      <c r="A243" s="15"/>
      <c r="B243" s="15"/>
      <c r="C243" s="15"/>
      <c r="D243" s="15"/>
      <c r="E243" s="15"/>
      <c r="F243" s="15"/>
      <c r="G243" s="15"/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t="14.25" customHeight="1">
      <c r="A244" s="15"/>
      <c r="B244" s="15"/>
      <c r="C244" s="15"/>
      <c r="D244" s="15"/>
      <c r="E244" s="15"/>
      <c r="F244" s="15"/>
      <c r="G244" s="15"/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t="14.25" customHeight="1">
      <c r="A245" s="15"/>
      <c r="B245" s="15"/>
      <c r="C245" s="15"/>
      <c r="D245" s="15"/>
      <c r="E245" s="15"/>
      <c r="F245" s="15"/>
      <c r="G245" s="15"/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t="14.25" customHeight="1">
      <c r="A246" s="15"/>
      <c r="B246" s="15"/>
      <c r="C246" s="15"/>
      <c r="D246" s="15"/>
      <c r="E246" s="15"/>
      <c r="F246" s="15"/>
      <c r="G246" s="15"/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t="14.25" customHeight="1">
      <c r="A247" s="15"/>
      <c r="B247" s="15"/>
      <c r="C247" s="15"/>
      <c r="D247" s="15"/>
      <c r="E247" s="15"/>
      <c r="F247" s="15"/>
      <c r="G247" s="15"/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t="14.25" customHeight="1">
      <c r="A248" s="15"/>
      <c r="B248" s="15"/>
      <c r="C248" s="15"/>
      <c r="D248" s="15"/>
      <c r="E248" s="15"/>
      <c r="F248" s="15"/>
      <c r="G248" s="15"/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t="14.25" customHeight="1">
      <c r="A249" s="15"/>
      <c r="B249" s="15"/>
      <c r="C249" s="15"/>
      <c r="D249" s="15"/>
      <c r="E249" s="15"/>
      <c r="F249" s="15"/>
      <c r="G249" s="15"/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t="14.25" customHeight="1">
      <c r="A250" s="15"/>
      <c r="B250" s="15"/>
      <c r="C250" s="15"/>
      <c r="D250" s="15"/>
      <c r="E250" s="15"/>
      <c r="F250" s="15"/>
      <c r="G250" s="15"/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t="14.25" customHeight="1">
      <c r="A251" s="15"/>
      <c r="B251" s="15"/>
      <c r="C251" s="15"/>
      <c r="D251" s="15"/>
      <c r="E251" s="15"/>
      <c r="F251" s="15"/>
      <c r="G251" s="15"/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t="14.25" customHeight="1">
      <c r="A252" s="15"/>
      <c r="B252" s="15"/>
      <c r="C252" s="15"/>
      <c r="D252" s="15"/>
      <c r="E252" s="15"/>
      <c r="F252" s="15"/>
      <c r="G252" s="15"/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t="14.25" customHeight="1">
      <c r="A253" s="15"/>
      <c r="B253" s="15"/>
      <c r="C253" s="15"/>
      <c r="D253" s="15"/>
      <c r="E253" s="15"/>
      <c r="F253" s="15"/>
      <c r="G253" s="15"/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t="14.25" customHeight="1">
      <c r="A254" s="15"/>
      <c r="B254" s="15"/>
      <c r="C254" s="15"/>
      <c r="D254" s="15"/>
      <c r="E254" s="15"/>
      <c r="F254" s="15"/>
      <c r="G254" s="15"/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t="14.25" customHeight="1">
      <c r="A255" s="15"/>
      <c r="B255" s="15"/>
      <c r="C255" s="15"/>
      <c r="D255" s="15"/>
      <c r="E255" s="15"/>
      <c r="F255" s="15"/>
      <c r="G255" s="15"/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t="14.25" customHeight="1">
      <c r="A256" s="15"/>
      <c r="B256" s="15"/>
      <c r="C256" s="15"/>
      <c r="D256" s="15"/>
      <c r="E256" s="15"/>
      <c r="F256" s="15"/>
      <c r="G256" s="15"/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t="14.25" customHeight="1">
      <c r="A257" s="15"/>
      <c r="B257" s="15"/>
      <c r="C257" s="15"/>
      <c r="D257" s="15"/>
      <c r="E257" s="15"/>
      <c r="F257" s="15"/>
      <c r="G257" s="15"/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t="14.25" customHeight="1">
      <c r="A258" s="15"/>
      <c r="B258" s="15"/>
      <c r="C258" s="15"/>
      <c r="D258" s="15"/>
      <c r="E258" s="15"/>
      <c r="F258" s="15"/>
      <c r="G258" s="15"/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t="14.25" customHeight="1">
      <c r="A259" s="15"/>
      <c r="B259" s="15"/>
      <c r="C259" s="15"/>
      <c r="D259" s="15"/>
      <c r="E259" s="15"/>
      <c r="F259" s="15"/>
      <c r="G259" s="15"/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t="14.25" customHeight="1">
      <c r="A260" s="15"/>
      <c r="B260" s="15"/>
      <c r="C260" s="15"/>
      <c r="D260" s="15"/>
      <c r="E260" s="15"/>
      <c r="F260" s="15"/>
      <c r="G260" s="15"/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t="14.25" customHeight="1">
      <c r="A261" s="15"/>
      <c r="B261" s="15"/>
      <c r="C261" s="15"/>
      <c r="D261" s="15"/>
      <c r="E261" s="15"/>
      <c r="F261" s="15"/>
      <c r="G261" s="15"/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t="14.25" customHeight="1">
      <c r="A262" s="15"/>
      <c r="B262" s="15"/>
      <c r="C262" s="15"/>
      <c r="D262" s="15"/>
      <c r="E262" s="15"/>
      <c r="F262" s="15"/>
      <c r="G262" s="15"/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t="14.25" customHeight="1">
      <c r="A263" s="15"/>
      <c r="B263" s="15"/>
      <c r="C263" s="15"/>
      <c r="D263" s="15"/>
      <c r="E263" s="15"/>
      <c r="F263" s="15"/>
      <c r="G263" s="15"/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t="14.25" customHeight="1">
      <c r="A264" s="15"/>
      <c r="B264" s="15"/>
      <c r="C264" s="15"/>
      <c r="D264" s="15"/>
      <c r="E264" s="15"/>
      <c r="F264" s="15"/>
      <c r="G264" s="15"/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t="14.25" customHeight="1">
      <c r="A265" s="15"/>
      <c r="B265" s="15"/>
      <c r="C265" s="15"/>
      <c r="D265" s="15"/>
      <c r="E265" s="15"/>
      <c r="F265" s="15"/>
      <c r="G265" s="15"/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1">
    <mergeCell ref="G13:H15"/>
    <mergeCell ref="G16:H20"/>
    <mergeCell ref="G24:H26"/>
    <mergeCell ref="G27:H31"/>
    <mergeCell ref="A1:F1"/>
    <mergeCell ref="A7:A8"/>
    <mergeCell ref="B7:C7"/>
    <mergeCell ref="D7:E7"/>
    <mergeCell ref="F7:F8"/>
    <mergeCell ref="A13:A15"/>
    <mergeCell ref="A16:A20"/>
    <mergeCell ref="A24:A26"/>
    <mergeCell ref="A27:A31"/>
    <mergeCell ref="C41:D41"/>
    <mergeCell ref="E41:F41"/>
    <mergeCell ref="C42:D42"/>
    <mergeCell ref="E42:F42"/>
    <mergeCell ref="A35:A39"/>
    <mergeCell ref="C45:D45"/>
    <mergeCell ref="E45:F45"/>
    <mergeCell ref="C46:D46"/>
    <mergeCell ref="E46:F46"/>
    <mergeCell ref="H46:I48"/>
    <mergeCell ref="C47:D47"/>
    <mergeCell ref="E47:F47"/>
    <mergeCell ref="C54:D54"/>
    <mergeCell ref="C55:D55"/>
    <mergeCell ref="C56:D56"/>
    <mergeCell ref="C57:D57"/>
    <mergeCell ref="C58:D58"/>
    <mergeCell ref="E55:F55"/>
    <mergeCell ref="E56:F56"/>
    <mergeCell ref="E57:F57"/>
    <mergeCell ref="E58:F58"/>
    <mergeCell ref="C48:D48"/>
    <mergeCell ref="E48:F48"/>
    <mergeCell ref="E54:F54"/>
    <mergeCell ref="C50:D50"/>
    <mergeCell ref="E50:F50"/>
    <mergeCell ref="C51:D51"/>
    <mergeCell ref="E51:F51"/>
  </mergeCells>
  <conditionalFormatting sqref="G9">
    <cfRule type="notContainsBlanks" dxfId="0" priority="1">
      <formula>LEN(TRIM(G9))&gt;0</formula>
    </cfRule>
  </conditionalFormatting>
  <conditionalFormatting sqref="G13">
    <cfRule type="notContainsBlanks" dxfId="1" priority="2">
      <formula>LEN(TRIM(G13))&gt;0</formula>
    </cfRule>
  </conditionalFormatting>
  <conditionalFormatting sqref="G16">
    <cfRule type="notContainsBlanks" dxfId="1" priority="3">
      <formula>LEN(TRIM(G16))&gt;0</formula>
    </cfRule>
  </conditionalFormatting>
  <conditionalFormatting sqref="G24">
    <cfRule type="notContainsBlanks" dxfId="1" priority="4">
      <formula>LEN(TRIM(G24))&gt;0</formula>
    </cfRule>
  </conditionalFormatting>
  <conditionalFormatting sqref="G27">
    <cfRule type="notContainsBlanks" dxfId="1" priority="5">
      <formula>LEN(TRIM(G27))&gt;0</formula>
    </cfRule>
  </conditionalFormatting>
  <conditionalFormatting sqref="H46">
    <cfRule type="notContainsBlanks" dxfId="1" priority="6">
      <formula>LEN(TRIM(H46))&gt;0</formula>
    </cfRule>
  </conditionalFormatting>
  <conditionalFormatting sqref="I13:I20">
    <cfRule type="notContainsBlanks" dxfId="0" priority="7">
      <formula>LEN(TRIM(I13))&gt;0</formula>
    </cfRule>
  </conditionalFormatting>
  <conditionalFormatting sqref="I24:I31">
    <cfRule type="notContainsBlanks" dxfId="0" priority="8">
      <formula>LEN(TRIM(I24))&gt;0</formula>
    </cfRule>
  </conditionalFormatting>
  <conditionalFormatting sqref="J46:J48">
    <cfRule type="notContainsBlanks" dxfId="0" priority="9">
      <formula>LEN(TRIM(J46))&gt;0</formula>
    </cfRule>
  </conditionalFormatting>
  <printOptions/>
  <pageMargins bottom="0.75" footer="0.0" header="0.0" left="0.7" right="0.7" top="0.75"/>
  <pageSetup orientation="portrait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13.78"/>
    <col customWidth="1" min="2" max="2" width="25.0"/>
    <col customWidth="1" min="3" max="3" width="8.0"/>
    <col customWidth="1" min="4" max="4" width="11.33"/>
    <col customWidth="1" min="5" max="5" width="9.33"/>
    <col customWidth="1" min="6" max="6" width="6.0"/>
    <col customWidth="1" min="7" max="7" width="9.44"/>
    <col customWidth="1" min="8" max="8" width="20.33"/>
    <col customWidth="1" min="9" max="9" width="20.44"/>
    <col customWidth="1" min="10" max="10" width="11.0"/>
    <col customWidth="1" min="11" max="12" width="10.78"/>
    <col customWidth="1" min="13" max="26" width="11.0"/>
  </cols>
  <sheetData>
    <row r="1" ht="14.25" customHeight="1">
      <c r="A1" s="14" t="s">
        <v>38</v>
      </c>
      <c r="G1" s="15"/>
      <c r="H1" s="15"/>
      <c r="I1" s="16" t="s">
        <v>39</v>
      </c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14.25" customHeight="1">
      <c r="A2" s="15"/>
      <c r="B2" s="15"/>
      <c r="C2" s="15"/>
      <c r="D2" s="15"/>
      <c r="E2" s="15"/>
      <c r="F2" s="15"/>
      <c r="G2" s="15"/>
      <c r="H2" s="17" t="s">
        <v>40</v>
      </c>
      <c r="I2" s="18" t="str">
        <f>DATE(F3, 8, 1)</f>
        <v>#VALUE!</v>
      </c>
      <c r="J2" s="15"/>
      <c r="K2" s="19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t="14.25" customHeight="1">
      <c r="A3" s="15" t="s">
        <v>41</v>
      </c>
      <c r="B3" s="15"/>
      <c r="C3" s="20" t="s">
        <v>107</v>
      </c>
      <c r="D3" s="15"/>
      <c r="E3" s="15" t="s">
        <v>43</v>
      </c>
      <c r="F3" s="20" t="str">
        <f>YEAR(Results!E3)</f>
        <v>#VALUE!</v>
      </c>
      <c r="G3" s="15"/>
      <c r="H3" s="17" t="s">
        <v>44</v>
      </c>
      <c r="I3" s="18" t="str">
        <f>EOMONTH(I2,0)</f>
        <v>#VALUE!</v>
      </c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t="14.25" customHeight="1">
      <c r="A4" s="15" t="s">
        <v>45</v>
      </c>
      <c r="B4" s="15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t="14.25" customHeight="1">
      <c r="A5" s="15"/>
      <c r="B5" s="15"/>
      <c r="C5" s="15"/>
      <c r="D5" s="15"/>
      <c r="E5" s="15"/>
      <c r="F5" s="15"/>
      <c r="G5" s="15"/>
      <c r="H5" s="15"/>
      <c r="I5" s="15"/>
      <c r="J5" s="15"/>
      <c r="K5" s="15"/>
      <c r="L5" s="15"/>
      <c r="M5" s="15"/>
      <c r="N5" s="15"/>
      <c r="O5" s="21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t="14.25" customHeight="1">
      <c r="A6" s="15" t="s">
        <v>46</v>
      </c>
      <c r="B6" s="15"/>
      <c r="C6" s="15"/>
      <c r="D6" s="15"/>
      <c r="E6" s="15"/>
      <c r="F6" s="15"/>
      <c r="G6" s="15"/>
      <c r="H6" s="15"/>
      <c r="I6" s="20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t="14.25" customHeight="1">
      <c r="A7" s="22"/>
      <c r="B7" s="23" t="s">
        <v>47</v>
      </c>
      <c r="C7" s="24"/>
      <c r="D7" s="23" t="s">
        <v>48</v>
      </c>
      <c r="E7" s="24"/>
      <c r="F7" s="25" t="s">
        <v>49</v>
      </c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t="14.25" customHeight="1">
      <c r="A8" s="26"/>
      <c r="B8" s="27" t="s">
        <v>50</v>
      </c>
      <c r="C8" s="27" t="s">
        <v>51</v>
      </c>
      <c r="D8" s="27" t="s">
        <v>50</v>
      </c>
      <c r="E8" s="27" t="s">
        <v>51</v>
      </c>
      <c r="F8" s="26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t="14.25" customHeight="1">
      <c r="A9" s="28"/>
      <c r="B9" s="28">
        <f>COUNTIFS(Results!$E:$E,"&gt;="&amp;$I$2,Results!$E:$E,"&lt;="&amp;$I$3,Results!$I:$I,"Male",Results!$J:$J,"&lt;15", Results!$F:$F,"*tive")</f>
        <v>0</v>
      </c>
      <c r="C9" s="28">
        <f>COUNTIFS(Results!$E:$E,"&gt;="&amp;$I$2,Results!$E:$E,"&lt;="&amp;$I$3,Results!$I:$I,"Male",Results!$J:$J,"&gt;=15", Results!$F:$F,"*tive")</f>
        <v>0</v>
      </c>
      <c r="D9" s="28">
        <f>COUNTIFS(Results!$E:$E,"&gt;="&amp;$I$2,Results!$E:$E,"&lt;="&amp;$I$3,Results!$I:$I,"Female",Results!$J:$J,"&lt;15", Results!$F:$F,"*tive")</f>
        <v>0</v>
      </c>
      <c r="E9" s="28">
        <f>COUNTIFS(Results!$E:$E,"&gt;="&amp;$I$2,Results!$E:$E,"&lt;="&amp;$I$3,Results!$I:$I,"Female",Results!$J:$J,"&gt;=15", Results!$F:$F,"*tive")</f>
        <v>0</v>
      </c>
      <c r="F9" s="28">
        <f>COUNTIFS(Results!$E:$E,"&gt;="&amp;$I$2,Results!$E:$E,"&lt;="&amp;$I$3, Results!$F:$F,"*tive", Results!$J:$J,"&lt;&gt;Not on Form", Results!$J:$J,"&lt;&gt;N/A", Results!$I:$I,"&lt;&gt;Not on Form", Results!$I:$I,"&lt;&gt;N/A")</f>
        <v>0</v>
      </c>
      <c r="G9" s="15" t="str">
        <f>IF(SUM(B9:E9)=F9,"","Check Total Value &amp; Category")</f>
        <v/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t="14.25" customHeight="1">
      <c r="A10" s="15"/>
      <c r="B10" s="15"/>
      <c r="C10" s="15"/>
      <c r="D10" s="15"/>
      <c r="E10" s="15"/>
      <c r="F10" s="15"/>
      <c r="G10" s="15"/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t="14.25" customHeight="1">
      <c r="A11" s="15" t="s">
        <v>52</v>
      </c>
      <c r="B11" s="15"/>
      <c r="C11" s="15"/>
      <c r="D11" s="15"/>
      <c r="E11" s="15"/>
      <c r="F11" s="15"/>
      <c r="G11" s="15"/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t="14.25" customHeight="1">
      <c r="A12" s="28"/>
      <c r="B12" s="28"/>
      <c r="C12" s="29" t="s">
        <v>53</v>
      </c>
      <c r="D12" s="29" t="s">
        <v>54</v>
      </c>
      <c r="E12" s="29" t="s">
        <v>55</v>
      </c>
      <c r="F12" s="29" t="s">
        <v>49</v>
      </c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t="15.75" customHeight="1">
      <c r="A13" s="30" t="s">
        <v>56</v>
      </c>
      <c r="B13" s="28" t="s">
        <v>57</v>
      </c>
      <c r="C13" s="28">
        <f>COUNTIFS(Results!$E:$E,"&gt;="&amp;$I$2,Results!$E:$E,"&lt;="&amp;$I$3,Results!$L:$L,"Positive",Results!$K:$K,"No", Results!$F:$F,"*tive") + COUNTIFS(Results!$E:$E,"&gt;="&amp;$I$2,Results!$E:$E,"&lt;="&amp;$I$3,Results!$L:$L,"Positive",Results!$K:$K,"On Treatment", Results!$F:$F,"*tive")</f>
        <v>0</v>
      </c>
      <c r="D13" s="28">
        <f>COUNTIFS(Results!$E:$E,"&gt;="&amp;$I$2,Results!$E:$E,"&lt;="&amp;$I$3,Results!$L:$L,"Positive",Results!$K:$K,"Yes", Results!$F:$F,"*tive")</f>
        <v>0</v>
      </c>
      <c r="E13" s="28">
        <f>COUNTIFS(Results!$E:$E,"&gt;="&amp;$I$2,Results!$E:$E,"&lt;="&amp;$I$3,Results!$L:$L,"Positive",Results!$K:$K,"Unknown", Results!$F:$F,"*tive")</f>
        <v>0</v>
      </c>
      <c r="F13" s="28">
        <f>COUNTIFS(Results!$E:$E,"&gt;="&amp;$I$2,Results!$E:$E,"&lt;="&amp;$I$3,Results!$L:$L,"Positive", Results!$F:$F,"*tive", Results!$K:$K,"&lt;&gt;Not on Form", Results!$K:$K,"&lt;&gt;N/A", Results!$L:$L,"&lt;&gt;Not on Form", Results!$L:$L,"&lt;&gt;N/A")</f>
        <v>0</v>
      </c>
      <c r="G13" s="31" t="str">
        <f>IF($F$9=SUM(F13:F15),"","Error! Microscopy result does NOT match, cross check: Missing information in Microscopy Result")</f>
        <v/>
      </c>
      <c r="I13" s="15" t="str">
        <f t="shared" ref="I13:I18" si="1">IF(SUM(C13:E13)=F13,"","Check Total Value &amp; Category")</f>
        <v/>
      </c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t="14.25" customHeight="1">
      <c r="A14" s="32"/>
      <c r="B14" s="28" t="s">
        <v>58</v>
      </c>
      <c r="C14" s="28">
        <f>COUNTIFS(Results!$E:$E,"&gt;="&amp;$I$2,Results!$E:$E,"&lt;="&amp;$I$3,Results!$L:$L,"Negative",Results!$K:$K,"No", Results!$F:$F,"*tive") + COUNTIFS(Results!$E:$E,"&gt;="&amp;$I$2,Results!$E:$E,"&lt;="&amp;$I$3,Results!$L:$L,"Negative",Results!$K:$K,"On Treatment", Results!$F:$F,"*tive")</f>
        <v>0</v>
      </c>
      <c r="D14" s="28">
        <f>COUNTIFS(Results!$E:$E,"&gt;="&amp;$I$2,Results!$E:$E,"&lt;="&amp;$I$3,Results!$L:$L,"Negative",Results!$K:$K,"Yes", Results!$F:$F,"*tive")</f>
        <v>0</v>
      </c>
      <c r="E14" s="28">
        <f>COUNTIFS(Results!$E:$E,"&gt;="&amp;$I$2,Results!$E:$E,"&lt;="&amp;$I$3,Results!$L:$L,"Negative",Results!$K:$K,"Unknown", Results!$F:$F,"*tive")</f>
        <v>0</v>
      </c>
      <c r="F14" s="28">
        <f>COUNTIFS(Results!$E:$E,"&gt;="&amp;$I$2,Results!$E:$E,"&lt;="&amp;$I$3,Results!$L:$L,"Negative", Results!$F:$F,"*tive",Results!$K:$K,"&lt;&gt;Not on Form", Results!$K:$K,"&lt;&gt;N/A", Results!$L:$L,"&lt;&gt;Not on Form", Results!$L:$L,"&lt;&gt;N/A")</f>
        <v>0</v>
      </c>
      <c r="G14" s="33"/>
      <c r="I14" s="15" t="str">
        <f t="shared" si="1"/>
        <v/>
      </c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t="14.25" customHeight="1">
      <c r="A15" s="26"/>
      <c r="B15" s="28" t="s">
        <v>59</v>
      </c>
      <c r="C15" s="28">
        <f>COUNTIFS(Results!$E:$E,"&gt;="&amp;$I$2,Results!$E:$E,"&lt;="&amp;$I$3,Results!$L:$L,"Not Done",Results!$K:$K,"No", Results!$F:$F,"*tive") + COUNTIFS(Results!$E:$E,"&gt;="&amp;$I$2,Results!$E:$E,"&lt;="&amp;$I$3,Results!$L:$L,"Not Done",Results!$K:$K,"On Treatment", Results!$F:$F,"*tive")</f>
        <v>0</v>
      </c>
      <c r="D15" s="28">
        <f>COUNTIFS(Results!$E:$E,"&gt;="&amp;$I$2,Results!$E:$E,"&lt;="&amp;$I$3,Results!$L:$L,"Not Done",Results!$K:$K,"Yes", Results!$F:$F,"*tive")</f>
        <v>0</v>
      </c>
      <c r="E15" s="28">
        <f>COUNTIFS(Results!$E:$E,"&gt;="&amp;$I$2,Results!$E:$E,"&lt;="&amp;$I$3,Results!$L:$L,"Not Done",Results!$K:$K,"Unknown", Results!$F:$F,"*tive")</f>
        <v>0</v>
      </c>
      <c r="F15" s="28">
        <f>COUNTIFS(Results!$E:$E,"&gt;="&amp;$I$2,Results!$E:$E,"&lt;="&amp;$I$3,Results!$L:$L,"Not Done", Results!$F:$F,"*tive", Results!$K:$K,"&lt;&gt;Not on Form", Results!$K:$K,"&lt;&gt;N/A", Results!$L:$L,"&lt;&gt;Not on Form", Results!$L:$L,"&lt;&gt;N/A")</f>
        <v>0</v>
      </c>
      <c r="G15" s="33"/>
      <c r="I15" s="15" t="str">
        <f t="shared" si="1"/>
        <v/>
      </c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t="14.25" customHeight="1">
      <c r="A16" s="25" t="s">
        <v>60</v>
      </c>
      <c r="B16" s="28" t="s">
        <v>61</v>
      </c>
      <c r="C16" s="28">
        <f>COUNTIFS(Results!$E:$E,"&gt;="&amp;$I$2,Results!$E:$E,"&lt;="&amp;$I$3,Results!$F:$F,"Negative",Results!$K:$K,"No") + COUNTIFS(Results!$E:$E,"&gt;="&amp;$I$2,Results!$E:$E,"&lt;="&amp;$I$3,Results!$F:$F,"Negative",Results!$K:$K,"On Treatment")</f>
        <v>0</v>
      </c>
      <c r="D16" s="28">
        <f>COUNTIFS(Results!$E:$E,"&gt;="&amp;$I$2,Results!$E:$E,"&lt;="&amp;$I$3,Results!$F:$F,"Negative",Results!$K:$K,"Yes")</f>
        <v>0</v>
      </c>
      <c r="E16" s="28">
        <f>COUNTIFS(Results!$E:$E,"&gt;="&amp;$I$2,Results!$E:$E,"&lt;="&amp;$I$3,Results!$F:$F,"Negative",Results!$K:$K,"Unknown")</f>
        <v>0</v>
      </c>
      <c r="F16" s="28">
        <f>COUNTIFS(Results!$E:$E,"&gt;="&amp;$I$2,Results!$E:$E,"&lt;="&amp;$I$3,Results!$F:$F,"Negative", Results!$K:$K,"&lt;&gt;Not on Form", Results!$K:$K,"&lt;&gt;N/A")</f>
        <v>0</v>
      </c>
      <c r="G16" s="31" t="str">
        <f>IF($F$9=SUM(F16:F20),"","Error! Cross information between Xpert result and treatment category are not match; possibly there will be Erorr or missing information on MTB result OR RIF result")</f>
        <v/>
      </c>
      <c r="I16" s="15" t="str">
        <f t="shared" si="1"/>
        <v/>
      </c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t="14.25" customHeight="1">
      <c r="A17" s="32"/>
      <c r="B17" s="28" t="s">
        <v>62</v>
      </c>
      <c r="C17" s="28">
        <f>COUNTIFS(Results!$E:$E,"&gt;="&amp;$I$2,Results!$E:$E,"&lt;="&amp;$I$3,Results!$F:$F,"Positive",Results!$G:$G,"Negative",Results!$K:$K,"No") + COUNTIFS(Results!$E:$E,"&gt;="&amp;$I$2,Results!$E:$E,"&lt;="&amp;$I$3,Results!$F:$F,"Positive",Results!$G:$G,"Negative",Results!$K:$K,"On Treatment")</f>
        <v>0</v>
      </c>
      <c r="D17" s="28">
        <f>COUNTIFS(Results!$E:$E,"&gt;="&amp;$I$2,Results!$E:$E,"&lt;="&amp;$I$3,Results!$F:$F,"Positive",Results!$G:$G,"Negative",Results!$K:$K,"Yes")</f>
        <v>0</v>
      </c>
      <c r="E17" s="28">
        <f>COUNTIFS(Results!$E:$E,"&gt;="&amp;$I$2,Results!$E:$E,"&lt;="&amp;$I$3,Results!$F:$F,"Positive",Results!$G:$G,"Negative",Results!$K:$K,"Unknown")</f>
        <v>0</v>
      </c>
      <c r="F17" s="28">
        <f>COUNTIFS(Results!$E:$E,"&gt;="&amp;$I$2,Results!$E:$E,"&lt;="&amp;$I$3,Results!$F:$F,"Positive",Results!$G:$G,"Negative", Results!$K:$K,"&lt;&gt;Not on Form", Results!$K:$K,"&lt;&gt;N/A")</f>
        <v>0</v>
      </c>
      <c r="G17" s="33"/>
      <c r="I17" s="15" t="str">
        <f t="shared" si="1"/>
        <v/>
      </c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t="14.25" customHeight="1">
      <c r="A18" s="32"/>
      <c r="B18" s="28" t="s">
        <v>63</v>
      </c>
      <c r="C18" s="28">
        <f>COUNTIFS(Results!$E:$E,"&gt;="&amp;$I$2,Results!$E:$E,"&lt;="&amp;$I$3,Results!$F:$F,"Positive",Results!$G:$G,"Positive",Results!$K:$K,"No") + COUNTIFS(Results!$E:$E,"&gt;="&amp;$I$2,Results!$E:$E,"&lt;="&amp;$I$3,Results!$F:$F,"Positive",Results!$G:$G,"Positive",Results!$K:$K,"On Treatment")</f>
        <v>0</v>
      </c>
      <c r="D18" s="28">
        <f>COUNTIFS(Results!$E:$E,"&gt;="&amp;$I$2,Results!$E:$E,"&lt;="&amp;$I$3,Results!$F:$F,"Positive",Results!$G:$G,"Positive",Results!$K:$K,"Yes")</f>
        <v>0</v>
      </c>
      <c r="E18" s="28">
        <f>COUNTIFS(Results!$E:$E,"&gt;="&amp;$I$2,Results!$E:$E,"&lt;="&amp;$I$3,Results!$F:$F,"Positive",Results!$G:$G,"Positive",Results!$K:$K,"Unknown")</f>
        <v>0</v>
      </c>
      <c r="F18" s="28">
        <f>COUNTIFS(Results!$E:$E,"&gt;="&amp;$I$2,Results!$E:$E,"&lt;="&amp;$I$3,Results!$F:$F,"Positive",Results!$G:$G,"Positive", Results!$K:$K,"&lt;&gt;Not on Form", Results!$K:$K,"&lt;&gt;N/A")</f>
        <v>0</v>
      </c>
      <c r="G18" s="33"/>
      <c r="I18" s="15" t="str">
        <f t="shared" si="1"/>
        <v/>
      </c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t="14.25" customHeight="1">
      <c r="A19" s="32"/>
      <c r="B19" s="28" t="s">
        <v>64</v>
      </c>
      <c r="C19" s="28">
        <f>COUNTIFS(Results!$E:$E,"&gt;="&amp;$I$2,Results!$E:$E,"&lt;="&amp;$I$3,Results!$F:$F,"Positive",Results!$G:$G,"Indeterminate",Results!$K:$K,"No") + COUNTIFS(Results!$E:$E,"&gt;="&amp;$I$2,Results!$E:$E,"&lt;="&amp;$I$3,Results!$F:$F,"Positive",Results!$G:$G,"Indeterminate",Results!$K:$K,"On Treatment")</f>
        <v>0</v>
      </c>
      <c r="D19" s="28">
        <f>COUNTIFS(Results!$E:$E,"&gt;="&amp;$I$2,Results!$E:$E,"&lt;="&amp;$I$3,Results!$F:$F,"Positive",Results!$G:$G,"Indeterminate",Results!$K:$K,"Yes")</f>
        <v>0</v>
      </c>
      <c r="E19" s="28">
        <f>COUNTIFS(Results!$E:$E,"&gt;="&amp;$I$2,Results!$E:$E,"&lt;="&amp;$I$3,Results!$F:$F,"Positive",Results!$G:$G,"Indeterminate",Results!$K:$K,"Unknown")</f>
        <v>0</v>
      </c>
      <c r="F19" s="28">
        <f>COUNTIFS(Results!$E:$E,"&gt;="&amp;$I$2,Results!$E:$E,"&lt;="&amp;$I$3,Results!$F:$F,"Positive",Results!$G:$G,"Indeterminate", Results!$K:$K,"&lt;&gt;Not on Form", Results!$K:$K,"&lt;&gt;N/A")</f>
        <v>0</v>
      </c>
      <c r="G19" s="33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t="14.25" customHeight="1">
      <c r="A20" s="26"/>
      <c r="B20" s="28" t="s">
        <v>65</v>
      </c>
      <c r="C20" s="28">
        <f>COUNTIFS(Results!$E:$E,"&gt;="&amp;$I$2,Results!$E:$E,"&lt;="&amp;$I$3,Results!$F:$F,"Trace",Results!$G:$G,"Indeterminate",Results!$K:$K,"No") + COUNTIFS(Results!$E:$E,"&gt;="&amp;$I$2,Results!$E:$E,"&lt;="&amp;$I$3,Results!$F:$F,"Trace",Results!$G:$G,"Indeterminate",Results!$K:$K,"On Treatment")</f>
        <v>0</v>
      </c>
      <c r="D20" s="28">
        <f>COUNTIFS(Results!$E:$E,"&gt;="&amp;$I$2,Results!$E:$E,"&lt;="&amp;$I$3,Results!$F:$F,"Trace",Results!$G:$G,"Indeterminate",Results!$K:$K,"Yes")</f>
        <v>0</v>
      </c>
      <c r="E20" s="28">
        <f>COUNTIFS(Results!$E:$E,"&gt;="&amp;$I$2,Results!$E:$E,"&lt;="&amp;$I$3,Results!$F:$F,"Trace",Results!$G:$G,"Indeterminate",Results!$K:$K,"Unknown")</f>
        <v>0</v>
      </c>
      <c r="F20" s="28">
        <f>COUNTIFS(Results!$E:$E,"&gt;="&amp;$I$2,Results!$E:$E,"&lt;="&amp;$I$3,Results!$F:$F,"Trace",Results!$G:$G,"Indeterminate", Results!$K:$K,"&lt;&gt;Not on Form", Results!$K:$K,"&lt;&gt;N/A")</f>
        <v>0</v>
      </c>
      <c r="G20" s="33"/>
      <c r="I20" s="15" t="str">
        <f>IF(SUM(C20:E20)=F20,"","Check Total Value &amp; Category")</f>
        <v/>
      </c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t="14.25" customHeight="1">
      <c r="A21" s="15"/>
      <c r="B21" s="15"/>
      <c r="C21" s="15"/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t="14.25" customHeight="1">
      <c r="A22" s="15" t="s">
        <v>66</v>
      </c>
      <c r="B22" s="15"/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t="14.25" customHeight="1">
      <c r="A23" s="28"/>
      <c r="B23" s="28"/>
      <c r="C23" s="34" t="s">
        <v>67</v>
      </c>
      <c r="D23" s="34" t="s">
        <v>68</v>
      </c>
      <c r="E23" s="27" t="s">
        <v>55</v>
      </c>
      <c r="F23" s="27" t="s">
        <v>49</v>
      </c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t="15.75" hidden="1" customHeight="1">
      <c r="A24" s="30" t="s">
        <v>56</v>
      </c>
      <c r="B24" s="28" t="s">
        <v>57</v>
      </c>
      <c r="C24" s="28">
        <f>COUNTIFS(Results!$E:$E,"&gt;="&amp;$I$2,Results!$E:$E,"&lt;="&amp;$I$3,Results!$L:$L,"Positive",Results!$H:$H,"Positive", Results!$F:$F,"*tive")</f>
        <v>0</v>
      </c>
      <c r="D24" s="28">
        <f>COUNTIFS(Results!$E:$E,"&gt;="&amp;$I$2,Results!$E:$E,"&lt;="&amp;$I$3,Results!$L:$L,"Positive",Results!$H:$H,"Negative", Results!$F:$F,"*tive")</f>
        <v>0</v>
      </c>
      <c r="E24" s="28">
        <f>COUNTIFS(Results!$E:$E,"&gt;="&amp;$I$2,Results!$E:$E,"&lt;="&amp;$I$3,Results!$L:$L,"Positive",Results!$H:$H,"Unknown", Results!$F:$F,"*tive")</f>
        <v>0</v>
      </c>
      <c r="F24" s="28">
        <f>COUNTIFS(Results!$E:$E,"&gt;="&amp;$I$2,Results!$E:$E,"&lt;="&amp;$I$3,Results!$L:$L,"Positive", Results!$F:$F,"*tive", Results!$H:$H,"&lt;&gt;Not on Form", Results!$H:$H,"&lt;&gt;N/A", Results!$L:$L,"&lt;&gt;Not on Form", Results!$L:$L,"&lt;&gt;N/A")</f>
        <v>0</v>
      </c>
      <c r="G24" s="31" t="str">
        <f>IF($F$9=SUM(F24:F26),"","Error! Microscope Result and HIV Status do NOT match; Crosscheck for missing information in Microscope Result OR HIV Status")</f>
        <v/>
      </c>
      <c r="I24" s="15" t="str">
        <f t="shared" ref="I24:I29" si="2">IF(SUM(C24:E24)=F24,"","Check Total Value &amp; Category")</f>
        <v/>
      </c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t="14.25" hidden="1" customHeight="1">
      <c r="A25" s="32"/>
      <c r="B25" s="28" t="s">
        <v>58</v>
      </c>
      <c r="C25" s="28">
        <f>COUNTIFS(Results!$E:$E,"&gt;="&amp;$I$2,Results!$E:$E,"&lt;="&amp;$I$3,Results!$L:$L,"Negative",Results!$H:$H,"Positive", Results!$F:$F,"*tive")</f>
        <v>0</v>
      </c>
      <c r="D25" s="28">
        <f>COUNTIFS(Results!$E:$E,"&gt;="&amp;$I$2,Results!$E:$E,"&lt;="&amp;$I$3,Results!$L:$L,"Negative",Results!$H:$H,"Negative", Results!$F:$F,"*tive")</f>
        <v>0</v>
      </c>
      <c r="E25" s="28">
        <f>COUNTIFS(Results!$E:$E,"&gt;="&amp;$I$2,Results!$E:$E,"&lt;="&amp;$I$3,Results!$L:$L,"Negative",Results!$H:$H,"Unknown", Results!$F:$F,"*tive")</f>
        <v>0</v>
      </c>
      <c r="F25" s="28">
        <f>COUNTIFS(Results!$E:$E,"&gt;="&amp;$I$2,Results!$E:$E,"&lt;="&amp;$I$3,Results!$L:$L,"Negative", Results!$F:$F,"*tive",  Results!$H:$H,"&lt;&gt;Not on Form", Results!$H:$H,"&lt;&gt;N/A", Results!$L:$L,"&lt;&gt;Not on Form", Results!$L:$L,"&lt;&gt;N/A")</f>
        <v>0</v>
      </c>
      <c r="G25" s="33"/>
      <c r="I25" s="15" t="str">
        <f t="shared" si="2"/>
        <v/>
      </c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t="14.25" hidden="1" customHeight="1">
      <c r="A26" s="26"/>
      <c r="B26" s="28" t="s">
        <v>59</v>
      </c>
      <c r="C26" s="28">
        <f>COUNTIFS(Results!$E:$E,"&gt;="&amp;$I$2,Results!$E:$E,"&lt;="&amp;$I$3,Results!$L:$L,"Not Done",Results!$H:$H,"Positive", Results!$F:$F,"*tive")</f>
        <v>0</v>
      </c>
      <c r="D26" s="28">
        <f>COUNTIFS(Results!$E:$E,"&gt;="&amp;$I$2,Results!$E:$E,"&lt;="&amp;$I$3,Results!$L:$L,"Not Done",Results!$H:$H,"Negative", Results!$F:$F,"*tive")</f>
        <v>0</v>
      </c>
      <c r="E26" s="28">
        <f>COUNTIFS(Results!$E:$E,"&gt;="&amp;$I$2,Results!$E:$E,"&lt;="&amp;$I$3,Results!$L:$L,"Not Done",Results!$H:$H,"Unknown", Results!$F:$F,"*tive")</f>
        <v>0</v>
      </c>
      <c r="F26" s="28">
        <f>COUNTIFS(Results!$E:$E,"&gt;="&amp;$I$2,Results!$E:$E,"&lt;="&amp;$I$3,Results!$L:$L,"Not Done",Results!$F:$F,"*tive",  Results!$H:$H,"&lt;&gt;Not on Form", Results!$H:$H,"&lt;&gt;N/A", Results!$L:$L,"&lt;&gt;Not on Form", Results!$L:$L,"&lt;&gt;N/A")</f>
        <v>0</v>
      </c>
      <c r="G26" s="33"/>
      <c r="I26" s="15" t="str">
        <f t="shared" si="2"/>
        <v/>
      </c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t="14.25" customHeight="1">
      <c r="A27" s="25" t="s">
        <v>60</v>
      </c>
      <c r="B27" s="28" t="s">
        <v>61</v>
      </c>
      <c r="C27" s="28">
        <f>COUNTIFS(Results!$E:$E,"&gt;="&amp;$I$2,Results!$E:$E,"&lt;="&amp;$I$3,Results!$F:$F,"Negative",Results!$H:$H,"Positive")</f>
        <v>0</v>
      </c>
      <c r="D27" s="28">
        <f>COUNTIFS(Results!$E:$E,"&gt;="&amp;$I$2,Results!$E:$E,"&lt;="&amp;$I$3,Results!$F:$F,"Negative",Results!$H:$H,"Negative")</f>
        <v>0</v>
      </c>
      <c r="E27" s="28">
        <f>COUNTIFS(Results!$E:$E,"&gt;="&amp;$I$2,Results!$E:$E,"&lt;="&amp;$I$3,Results!$F:$F,"Negative",Results!$H:$H,"Unknown")</f>
        <v>0</v>
      </c>
      <c r="F27" s="28">
        <f>COUNTIFS(Results!$E:$E,"&gt;="&amp;$I$2,Results!$E:$E,"&lt;="&amp;$I$3,Results!$F:$F,"Negative", Results!$H:$H,"&lt;&gt;Not on Form", Results!$H:$H,"&lt;&gt;N/A")</f>
        <v>0</v>
      </c>
      <c r="G27" s="31" t="str">
        <f>IF($F$9=SUM(F27:F31),"","Error! Cross information between Xpert result and HIV Status are not match; possibly there will be Erorr or missing information on MTB result OR HIV Status")</f>
        <v/>
      </c>
      <c r="I27" s="15" t="str">
        <f t="shared" si="2"/>
        <v/>
      </c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t="14.25" customHeight="1">
      <c r="A28" s="32"/>
      <c r="B28" s="28" t="s">
        <v>62</v>
      </c>
      <c r="C28" s="28">
        <f>COUNTIFS(Results!$E:$E,"&gt;="&amp;$I$2,Results!$E:$E,"&lt;="&amp;$I$3,Results!$F:$F,"Positive",Results!$G:$G,"Negative",Results!$H:$H,"Positive")</f>
        <v>0</v>
      </c>
      <c r="D28" s="28">
        <f>COUNTIFS(Results!$E:$E,"&gt;="&amp;$I$2,Results!$E:$E,"&lt;="&amp;$I$3,Results!$F:$F,"Positive",Results!$G:$G,"Negative",Results!$H:$H,"Negative")</f>
        <v>0</v>
      </c>
      <c r="E28" s="28">
        <f>COUNTIFS(Results!$E:$E,"&gt;="&amp;$I$2,Results!$E:$E,"&lt;="&amp;$I$3,Results!$F:$F,"Positive",Results!$G:$G,"Negative",Results!$H:$H,"Unknown")</f>
        <v>0</v>
      </c>
      <c r="F28" s="28">
        <f>COUNTIFS(Results!$E:$E,"&gt;="&amp;$I$2,Results!$E:$E,"&lt;="&amp;$I$3,Results!$F:$F,"Positive",Results!$G:$G,"Negative", Results!$H:$H,"&lt;&gt;Not on Form", Results!$H:$H,"&lt;&gt;N/A")</f>
        <v>0</v>
      </c>
      <c r="G28" s="33"/>
      <c r="I28" s="15" t="str">
        <f t="shared" si="2"/>
        <v/>
      </c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t="14.25" customHeight="1">
      <c r="A29" s="32"/>
      <c r="B29" s="28" t="s">
        <v>63</v>
      </c>
      <c r="C29" s="28">
        <f>COUNTIFS(Results!$E:$E,"&gt;="&amp;$I$2,Results!$E:$E,"&lt;="&amp;$I$3,Results!$F:$F,"Positive",Results!$G:$G,"Positive",Results!$H:$H,"Positive")</f>
        <v>0</v>
      </c>
      <c r="D29" s="28">
        <f>COUNTIFS(Results!$E:$E,"&gt;="&amp;$I$2,Results!$E:$E,"&lt;="&amp;$I$3,Results!$F:$F,"Positive",Results!$G:$G,"Positive",Results!$H:$H,"Negative")</f>
        <v>0</v>
      </c>
      <c r="E29" s="28">
        <f>COUNTIFS(Results!$E:$E,"&gt;="&amp;$I$2,Results!$E:$E,"&lt;="&amp;$I$3,Results!$F:$F,"Positive",Results!$G:$G,"Positive",Results!$H:$H,"Unknown")</f>
        <v>0</v>
      </c>
      <c r="F29" s="28">
        <f>COUNTIFS(Results!$E:$E,"&gt;="&amp;$I$2,Results!$E:$E,"&lt;="&amp;$I$3,Results!$F:$F,"Positive",Results!$G:$G,"Positive", Results!$H:$H,"&lt;&gt;Not on Form", Results!$H:$H,"&lt;&gt;N/A")</f>
        <v>0</v>
      </c>
      <c r="G29" s="33"/>
      <c r="I29" s="15" t="str">
        <f t="shared" si="2"/>
        <v/>
      </c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t="14.25" customHeight="1">
      <c r="A30" s="32"/>
      <c r="B30" s="28" t="s">
        <v>64</v>
      </c>
      <c r="C30" s="28">
        <f>COUNTIFS(Results!$E:$E,"&gt;="&amp;$I$2,Results!$E:$E,"&lt;="&amp;$I$3,Results!$F:$F,"Positive",Results!$G:$G,"Indeterminate",Results!$H:$H,"Positive")</f>
        <v>0</v>
      </c>
      <c r="D30" s="28">
        <f>COUNTIFS(Results!$E:$E,"&gt;="&amp;$I$2,Results!$E:$E,"&lt;="&amp;$I$3,Results!$F:$F,"Positive",Results!$G:$G,"Indeterminate",Results!$H:$H,"Negative")</f>
        <v>0</v>
      </c>
      <c r="E30" s="28">
        <f>COUNTIFS(Results!$E:$E,"&gt;="&amp;$I$2,Results!$E:$E,"&lt;="&amp;$I$3,Results!$F:$F,"Positive",Results!$G:$G,"Indeterminate",Results!$H:$H,"Unknown")</f>
        <v>0</v>
      </c>
      <c r="F30" s="28">
        <f>COUNTIFS(Results!$E:$E,"&gt;="&amp;$I$2,Results!$E:$E,"&lt;="&amp;$I$3,Results!$F:$F,"Positive",Results!$G:$G,"Indeterminate", Results!$H:$H,"&lt;&gt;Not on Form", Results!$H:$H,"&lt;&gt;N/A")</f>
        <v>0</v>
      </c>
      <c r="G30" s="33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t="14.25" customHeight="1">
      <c r="A31" s="26"/>
      <c r="B31" s="28" t="s">
        <v>65</v>
      </c>
      <c r="C31" s="28">
        <f>COUNTIFS(Results!$E:$E,"&gt;="&amp;$I$2,Results!$E:$E,"&lt;="&amp;$I$3,Results!$F:$F,"Trace",Results!$G:$G,"Indeterminate",Results!$H:$H,"Positive")</f>
        <v>0</v>
      </c>
      <c r="D31" s="28">
        <f>COUNTIFS(Results!$E:$E,"&gt;="&amp;$I$2,Results!$E:$E,"&lt;="&amp;$I$3,Results!$F:$F,"Trace",Results!$G:$G,"Indeterminate",Results!$H:$H,"Negative")</f>
        <v>0</v>
      </c>
      <c r="E31" s="28">
        <f>COUNTIFS(Results!$E:$E,"&gt;="&amp;$I$2,Results!$E:$E,"&lt;="&amp;$I$3,Results!$F:$F,"Trace",Results!$G:$G,"Indeterminate",Results!$H:$H,"Unknown")</f>
        <v>0</v>
      </c>
      <c r="F31" s="28">
        <f>COUNTIFS(Results!$E:$E,"&gt;="&amp;$I$2,Results!$E:$E,"&lt;="&amp;$I$3,Results!$F:$F,"Trace",Results!$G:$G,"Indeterminate", Results!$H:$H,"&lt;&gt;Not on Form", Results!$H:$H,"&lt;&gt;N/A")</f>
        <v>0</v>
      </c>
      <c r="G31" s="33"/>
      <c r="I31" s="15" t="str">
        <f>IF(SUM(C31:E31)=F31,"","Check Total Value &amp; Category")</f>
        <v/>
      </c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t="14.25" customHeight="1">
      <c r="A32" s="15"/>
      <c r="B32" s="15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t="14.25" customHeight="1">
      <c r="A33" s="35" t="s">
        <v>69</v>
      </c>
      <c r="B33" s="36"/>
      <c r="C33" s="36"/>
      <c r="D33" s="36"/>
      <c r="E33" s="36"/>
      <c r="F33" s="36"/>
      <c r="G33" s="36"/>
      <c r="H33" s="36"/>
      <c r="I33" s="36"/>
      <c r="J33" s="36"/>
      <c r="K33" s="36"/>
      <c r="L33" s="36"/>
      <c r="M33" s="36"/>
      <c r="N33" s="36"/>
      <c r="O33" s="36"/>
      <c r="P33" s="36"/>
      <c r="Q33" s="36"/>
      <c r="R33" s="36"/>
      <c r="S33" s="36"/>
      <c r="T33" s="36"/>
      <c r="U33" s="36"/>
      <c r="V33" s="36"/>
      <c r="W33" s="36"/>
      <c r="X33" s="36"/>
      <c r="Y33" s="36"/>
      <c r="Z33" s="36"/>
    </row>
    <row r="34" ht="14.25" customHeight="1">
      <c r="A34" s="37"/>
      <c r="B34" s="37"/>
      <c r="C34" s="38" t="s">
        <v>70</v>
      </c>
      <c r="D34" s="38" t="s">
        <v>71</v>
      </c>
      <c r="E34" s="38" t="s">
        <v>72</v>
      </c>
      <c r="F34" s="38" t="s">
        <v>73</v>
      </c>
      <c r="G34" s="38" t="s">
        <v>74</v>
      </c>
      <c r="H34" s="39" t="s">
        <v>49</v>
      </c>
      <c r="I34" s="40"/>
      <c r="J34" s="40"/>
      <c r="K34" s="40"/>
      <c r="L34" s="40"/>
      <c r="M34" s="40"/>
      <c r="N34" s="40"/>
      <c r="O34" s="40"/>
      <c r="P34" s="40"/>
      <c r="Q34" s="40"/>
      <c r="R34" s="40"/>
      <c r="S34" s="40"/>
      <c r="T34" s="40"/>
      <c r="U34" s="40"/>
      <c r="V34" s="40"/>
      <c r="W34" s="40"/>
      <c r="X34" s="40"/>
      <c r="Y34" s="40"/>
      <c r="Z34" s="40"/>
    </row>
    <row r="35" ht="14.25" customHeight="1">
      <c r="A35" s="41" t="s">
        <v>60</v>
      </c>
      <c r="B35" s="42" t="s">
        <v>61</v>
      </c>
      <c r="C35" s="43">
        <f>COUNTIFS(Results!$E:$E,"&gt;="&amp;$I$2,Results!$E:$E,"&lt;="&amp;$I$3,Results!$F:$F,"Negative",Results!$S:$S,"*DX*")</f>
        <v>0</v>
      </c>
      <c r="D35" s="43">
        <f>COUNTIFS(Results!$E:$E,"&gt;="&amp;$I$2,Results!$E:$E,"&lt;="&amp;$I$3,Results!$F:$F,"Negative",Results!$S:$S,"*fu*")</f>
        <v>0</v>
      </c>
      <c r="E35" s="43">
        <f>COUNTIFS(Results!$E:$E,"&gt;="&amp;$I$2,Results!$E:$E,"&lt;="&amp;$I$3,Results!$F:$F,"Negative",Results!$S:$S,"*mdr*")</f>
        <v>0</v>
      </c>
      <c r="F35" s="43">
        <f>COUNTIFS(Results!$E:$E,"&gt;="&amp;$I$2,Results!$E:$E,"&lt;="&amp;$I$3,Results!$F:$F,"Negative",Results!$S:$S,"*dm*")</f>
        <v>0</v>
      </c>
      <c r="G35" s="43">
        <f>COUNTIFS(Results!$E:$E,"&gt;="&amp;$I$2,Results!$E:$E,"&lt;="&amp;$I$3,Results!$F:$F,"Negative",Results!$S:$S,"*na*")</f>
        <v>0</v>
      </c>
      <c r="H35" s="43">
        <f>COUNTIFS(Results!$E:$E,"&gt;="&amp;$I$2,Results!$E:$E,"&lt;="&amp;$I$3,Results!$F:$F,"Negative", Results!$O:$O,"&lt;&gt;Not on Form", Results!$O:$O,"&lt;&gt;N/A")</f>
        <v>0</v>
      </c>
      <c r="I35" s="40"/>
      <c r="J35" s="40"/>
      <c r="K35" s="40"/>
      <c r="L35" s="40"/>
      <c r="M35" s="40"/>
      <c r="N35" s="40"/>
      <c r="O35" s="40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</row>
    <row r="36" ht="14.25" customHeight="1">
      <c r="A36" s="32"/>
      <c r="B36" s="42" t="s">
        <v>62</v>
      </c>
      <c r="C36" s="43">
        <f>COUNTIFS(Results!$E:$E,"&gt;="&amp;$I$2,Results!$E:$E,"&lt;="&amp;$I$3,Results!$F:$F,"Positive",Results!$G:$G,"Negative",Results!$S:$S,"*DX*")</f>
        <v>0</v>
      </c>
      <c r="D36" s="43">
        <f>COUNTIFS(Results!$E:$E,"&gt;="&amp;$I$2,Results!$E:$E,"&lt;="&amp;$I$3,Results!$F:$F,"Positive",Results!$G:$G,"Negative",Results!$S:$S,"*fu*")</f>
        <v>0</v>
      </c>
      <c r="E36" s="43">
        <f>COUNTIFS(Results!$E:$E,"&gt;="&amp;$I$2,Results!$E:$E,"&lt;="&amp;$I$3,Results!$F:$F,"Positive",Results!$G:$G,"Negative",Results!$S:$S,"*mdr*")</f>
        <v>0</v>
      </c>
      <c r="F36" s="43">
        <f>COUNTIFS(Results!$E:$E,"&gt;="&amp;$I$2,Results!$E:$E,"&lt;="&amp;$I$3,Results!$F:$F,"Positive",Results!$G:$G,"Negative",Results!$S:$S,"*Dm*")</f>
        <v>0</v>
      </c>
      <c r="G36" s="43">
        <f>COUNTIFS(Results!$E:$E,"&gt;="&amp;$I$2,Results!$E:$E,"&lt;="&amp;$I$3,Results!$F:$F,"Positive",Results!$G:$G,"Negative",Results!$S:$S,"*na*")</f>
        <v>0</v>
      </c>
      <c r="H36" s="43">
        <f>COUNTIFS(Results!$E:$E,"&gt;="&amp;$I$2,Results!$E:$E,"&lt;="&amp;$I$3,Results!$F:$F,"Positive",Results!$G:$G,"Negative", Results!$O:$O,"&lt;&gt;Not on Form", Results!$O:$O,"&lt;&gt;N/A")</f>
        <v>0</v>
      </c>
      <c r="I36" s="40"/>
      <c r="J36" s="40"/>
      <c r="K36" s="40"/>
      <c r="L36" s="40"/>
      <c r="M36" s="40"/>
      <c r="N36" s="40"/>
      <c r="O36" s="40"/>
      <c r="P36" s="40"/>
      <c r="Q36" s="40"/>
      <c r="R36" s="40"/>
      <c r="S36" s="40"/>
      <c r="T36" s="40"/>
      <c r="U36" s="40"/>
      <c r="V36" s="40"/>
      <c r="W36" s="40"/>
      <c r="X36" s="40"/>
      <c r="Y36" s="40"/>
      <c r="Z36" s="40"/>
    </row>
    <row r="37" ht="14.25" customHeight="1">
      <c r="A37" s="32"/>
      <c r="B37" s="42" t="s">
        <v>63</v>
      </c>
      <c r="C37" s="43">
        <f>COUNTIFS(Results!$E:$E,"&gt;="&amp;$I$2,Results!$E:$E,"&lt;="&amp;$I$3,Results!$F:$F,"Positive",Results!$G:$G,"Positive",Results!$S:$S,"*DX*")</f>
        <v>0</v>
      </c>
      <c r="D37" s="43">
        <f>COUNTIFS(Results!$E:$E,"&gt;="&amp;$I$2,Results!$E:$E,"&lt;="&amp;$I$3,Results!$F:$F,"Positive",Results!$G:$G,"Positive",Results!$S:$S,"*fu*")</f>
        <v>0</v>
      </c>
      <c r="E37" s="43">
        <f>COUNTIFS(Results!$E:$E,"&gt;="&amp;$I$2,Results!$E:$E,"&lt;="&amp;$I$3,Results!$F:$F,"Positive",Results!$G:$G,"Positive",Results!$S:$S,"*mdr*")</f>
        <v>0</v>
      </c>
      <c r="F37" s="43">
        <f>COUNTIFS(Results!$E:$E,"&gt;="&amp;$I$2,Results!$E:$E,"&lt;="&amp;$I$3,Results!$F:$F,"Positive",Results!$G:$G,"Positive",Results!$S:$S,"*dm*")</f>
        <v>0</v>
      </c>
      <c r="G37" s="43">
        <f>COUNTIFS(Results!$E:$E,"&gt;="&amp;$I$2,Results!$E:$E,"&lt;="&amp;$I$3,Results!$F:$F,"Positive",Results!$G:$G,"Positive",Results!$S:$S,"*na*")</f>
        <v>0</v>
      </c>
      <c r="H37" s="43">
        <f>COUNTIFS(Results!$E:$E,"&gt;="&amp;$I$2,Results!$E:$E,"&lt;="&amp;$I$3,Results!$F:$F,"Positive",Results!$G:$G,"Positive", Results!$O:$O,"&lt;&gt;Not on Form", Results!$O:$O,"&lt;&gt;N/A")</f>
        <v>0</v>
      </c>
      <c r="I37" s="40"/>
      <c r="J37" s="40"/>
      <c r="K37" s="40"/>
      <c r="L37" s="40"/>
      <c r="M37" s="40"/>
      <c r="N37" s="40"/>
      <c r="O37" s="40"/>
      <c r="P37" s="40"/>
      <c r="Q37" s="40"/>
      <c r="R37" s="40"/>
      <c r="S37" s="40"/>
      <c r="T37" s="40"/>
      <c r="U37" s="40"/>
      <c r="V37" s="40"/>
      <c r="W37" s="40"/>
      <c r="X37" s="40"/>
      <c r="Y37" s="40"/>
      <c r="Z37" s="40"/>
    </row>
    <row r="38" ht="14.25" customHeight="1">
      <c r="A38" s="32"/>
      <c r="B38" s="42" t="s">
        <v>64</v>
      </c>
      <c r="C38" s="43">
        <f>COUNTIFS(Results!$E:$E,"&gt;="&amp;$I$2,Results!$E:$E,"&lt;="&amp;$I$3,Results!$F:$F,"Positive",Results!$G:$G,"Indeterminate",Results!$S:$S,"*DX*")</f>
        <v>0</v>
      </c>
      <c r="D38" s="43">
        <f>COUNTIFS(Results!$E:$E,"&gt;="&amp;$I$2,Results!$E:$E,"&lt;="&amp;$I$3,Results!$F:$F,"Positive",Results!$G:$G,"Indeterminate",Results!$S:$S,"*fu*")</f>
        <v>0</v>
      </c>
      <c r="E38" s="43">
        <f>COUNTIFS(Results!$E:$E,"&gt;="&amp;$I$2,Results!$E:$E,"&lt;="&amp;$I$3,Results!$F:$F,"Positive",Results!$G:$G,"Indeterminate",Results!$S:$S,"*mdr*")</f>
        <v>0</v>
      </c>
      <c r="F38" s="43">
        <f>COUNTIFS(Results!$E:$E,"&gt;="&amp;$I$2,Results!$E:$E,"&lt;="&amp;$I$3,Results!$F:$F,"Positive",Results!$G:$G,"Indeterminate",Results!$S:$S,"*dm*")</f>
        <v>0</v>
      </c>
      <c r="G38" s="43">
        <f>COUNTIFS(Results!$E:$E,"&gt;="&amp;$I$2,Results!$E:$E,"&lt;="&amp;$I$3,Results!$F:$F,"Positive",Results!$G:$G,"Indeterminate",Results!$S:$S,"*na*")</f>
        <v>0</v>
      </c>
      <c r="H38" s="43">
        <f>COUNTIFS(Results!$E:$E,"&gt;="&amp;$I$2,Results!$E:$E,"&lt;="&amp;$I$3,Results!$F:$F,"Positive",Results!$G:$G,"Indeterminate", Results!$O:$O,"&lt;&gt;Not on Form", Results!$O:$O,"&lt;&gt;N/A")</f>
        <v>0</v>
      </c>
      <c r="I38" s="40"/>
      <c r="J38" s="40"/>
      <c r="K38" s="40"/>
      <c r="L38" s="40"/>
      <c r="M38" s="40"/>
      <c r="N38" s="40"/>
      <c r="O38" s="40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</row>
    <row r="39" ht="14.25" customHeight="1">
      <c r="A39" s="26"/>
      <c r="B39" s="42" t="s">
        <v>75</v>
      </c>
      <c r="C39" s="43">
        <f>COUNTIFS(Results!$E:$E,"&gt;="&amp;$I$2,Results!$E:$E,"&lt;="&amp;$I$3,Results!$F:$F,"Trace",Results!$G:$G,"Indeterminate",Results!$S:$S,"*DX*")</f>
        <v>0</v>
      </c>
      <c r="D39" s="43">
        <f>COUNTIFS(Results!$E:$E,"&gt;="&amp;$I$2,Results!$E:$E,"&lt;="&amp;$I$3,Results!$F:$F,"Trace",Results!$G:$G,"Indeterminate",Results!$S:$S,"*fu*")</f>
        <v>0</v>
      </c>
      <c r="E39" s="43">
        <f>COUNTIFS(Results!$E:$E,"&gt;="&amp;$I$2,Results!$E:$E,"&lt;="&amp;$I$3,Results!$F:$F,"Trace",Results!$G:$G,"Indeterminate",Results!$S:$S,"*mdr*")</f>
        <v>0</v>
      </c>
      <c r="F39" s="43">
        <f>COUNTIFS(Results!$E:$E,"&gt;="&amp;$I$2,Results!$E:$E,"&lt;="&amp;$I$3,Results!$F:$F,"Trace",Results!$G:$G,"Indeterminate",Results!$S:$S,"*dm*")</f>
        <v>0</v>
      </c>
      <c r="G39" s="43">
        <f>COUNTIFS(Results!$E:$E,"&gt;="&amp;$I$2,Results!$E:$E,"&lt;="&amp;$I$3,Results!$F:$F,"Trace",Results!$G:$G,"Indeterminate",Results!$S:$S,"*na*")</f>
        <v>0</v>
      </c>
      <c r="H39" s="43">
        <f>COUNTIFS(Results!$E:$E,"&gt;="&amp;$I$2,Results!$E:$E,"&lt;="&amp;$I$3,Results!$F:$F,"Trace",Results!$G:$G,"Indeterminate", Results!$O:$O,"&lt;&gt;Not on Form", Results!$O:$O,"&lt;&gt;N/A")</f>
        <v>0</v>
      </c>
      <c r="I39" s="40"/>
      <c r="J39" s="40"/>
      <c r="K39" s="40"/>
      <c r="L39" s="40"/>
      <c r="M39" s="40"/>
      <c r="N39" s="40"/>
      <c r="O39" s="40"/>
      <c r="P39" s="40"/>
      <c r="Q39" s="40"/>
      <c r="R39" s="40"/>
      <c r="S39" s="40"/>
      <c r="T39" s="40"/>
      <c r="U39" s="40"/>
      <c r="V39" s="40"/>
      <c r="W39" s="40"/>
      <c r="X39" s="40"/>
      <c r="Y39" s="40"/>
      <c r="Z39" s="40"/>
    </row>
    <row r="40" ht="14.25" customHeight="1">
      <c r="A40" s="15"/>
      <c r="B40" s="15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t="14.25" customHeight="1">
      <c r="A41" s="15"/>
      <c r="B41" s="15"/>
      <c r="C41" s="23" t="s">
        <v>47</v>
      </c>
      <c r="D41" s="24"/>
      <c r="E41" s="23" t="s">
        <v>48</v>
      </c>
      <c r="F41" s="24"/>
      <c r="G41" s="22" t="s">
        <v>49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t="14.25" customHeight="1">
      <c r="A42" s="28" t="s">
        <v>76</v>
      </c>
      <c r="B42" s="28"/>
      <c r="C42" s="23">
        <f>COUNTIFS(Results!$E:$E,"&gt;="&amp;$I$2,Results!$E:$E,"&lt;="&amp;$I$3,Results!$I:$I,"Male",Results!$F:$F,"Positive",Results!$G:$G,"Positive")</f>
        <v>0</v>
      </c>
      <c r="D42" s="24"/>
      <c r="E42" s="23">
        <f>COUNTIFS(Results!$E:$E,"&gt;="&amp;$I$2,Results!$E:$E,"&lt;="&amp;$I$3,Results!$I:$I,"Female",Results!$F:$F,"Positive",Results!$G:$G,"Positive")</f>
        <v>0</v>
      </c>
      <c r="F42" s="24"/>
      <c r="G42" s="28">
        <f>COUNTIFS(Results!$E:$E,"&gt;="&amp;$I$2,Results!$E:$E,"&lt;="&amp;$I$3,Results!$F:$F,"Positive",Results!$G:$G,"Positive", Results!$I:$I,"&lt;&gt;Not on Form", Results!$I:$I,"&lt;&gt;N/A")</f>
        <v>0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t="14.25" customHeight="1">
      <c r="A43" s="15"/>
      <c r="B43" s="15"/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t="14.25" customHeight="1">
      <c r="A44" s="15" t="s">
        <v>77</v>
      </c>
      <c r="B44" s="15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t="14.25" customHeight="1">
      <c r="A45" s="28"/>
      <c r="B45" s="28"/>
      <c r="C45" s="23" t="s">
        <v>78</v>
      </c>
      <c r="D45" s="24"/>
      <c r="E45" s="23" t="s">
        <v>79</v>
      </c>
      <c r="F45" s="24"/>
      <c r="G45" s="28" t="s">
        <v>49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t="14.25" customHeight="1">
      <c r="A46" s="44" t="s">
        <v>80</v>
      </c>
      <c r="B46" s="45"/>
      <c r="C46" s="23">
        <f>COUNTIFS(Results!$E:$E,"&gt;="&amp;$I$2,Results!$E:$E,"&lt;="&amp;$I$3,Results!$F:$F,"Positive",Results!$L:$L,"Positive")</f>
        <v>0</v>
      </c>
      <c r="D46" s="24"/>
      <c r="E46" s="23">
        <f>COUNTIFS(Results!$E:$E,"&gt;="&amp;$I$2,Results!$E:$E,"&lt;="&amp;$I$3,Results!$F:$F,"Negative",Results!$L:$L,"Positive")</f>
        <v>0</v>
      </c>
      <c r="F46" s="24"/>
      <c r="G46" s="28">
        <f>COUNTIFS(Results!$E:$E,"&gt;="&amp;$I$2,Results!$E:$E,"&lt;="&amp;$I$3,Results!$L:$L,"Positive", Results!$F:$F,"*tive", Results!$L:$L,"&lt;&gt;Not on Form", Results!$L:$L,"&lt;&gt;N/A")</f>
        <v>0</v>
      </c>
      <c r="H46" s="31" t="s">
        <v>81</v>
      </c>
      <c r="J46" s="15" t="str">
        <f t="shared" ref="J46:J48" si="3">IF(SUM(C46:F46)=G46,"","Check Total Value &amp; Category")</f>
        <v/>
      </c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t="14.25" customHeight="1">
      <c r="A47" s="44" t="s">
        <v>82</v>
      </c>
      <c r="B47" s="45"/>
      <c r="C47" s="23">
        <f>COUNTIFS(Results!$E:$E,"&gt;="&amp;$I$2,Results!$E:$E,"&lt;="&amp;$I$3,Results!$F:$F,"Positive",Results!$L:$L,"Negative")</f>
        <v>0</v>
      </c>
      <c r="D47" s="24"/>
      <c r="E47" s="23">
        <f>COUNTIFS(Results!$E:$E,"&gt;="&amp;$I$2,Results!$E:$E,"&lt;="&amp;$I$3,Results!$F:$F,"Negative",Results!$L:$L,"Negative")</f>
        <v>0</v>
      </c>
      <c r="F47" s="24"/>
      <c r="G47" s="28">
        <f>COUNTIFS(Results!$E:$E,"&gt;="&amp;$I$2,Results!$E:$E,"&lt;="&amp;$I$3,Results!$L:$L,"Negative", Results!$F:$F,"*tive", Results!$F:$F,"*tive", Results!$L:$L,"&lt;&gt;Not on Form", Results!$L:$L,"&lt;&gt;N/A")</f>
        <v>0</v>
      </c>
      <c r="H47" s="33"/>
      <c r="J47" s="15" t="str">
        <f t="shared" si="3"/>
        <v/>
      </c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t="14.25" customHeight="1">
      <c r="A48" s="44" t="s">
        <v>83</v>
      </c>
      <c r="B48" s="45"/>
      <c r="C48" s="23">
        <f>COUNTIFS(Results!$E:$E,"&gt;="&amp;$I$2,Results!$E:$E,"&lt;="&amp;$I$3,Results!$F:$F,"Positive",Results!$L:$L,"Not Done")</f>
        <v>0</v>
      </c>
      <c r="D48" s="24"/>
      <c r="E48" s="23">
        <f>COUNTIFS(Results!$E:$E,"&gt;="&amp;$I$2,Results!$E:$E,"&lt;="&amp;$I$3,Results!$F:$F,"Negative",Results!$L:$L,"Not Done")</f>
        <v>0</v>
      </c>
      <c r="F48" s="24"/>
      <c r="G48" s="28">
        <f>COUNTIFS(Results!$E:$E,"&gt;="&amp;$I$2,Results!$E:$E,"&lt;="&amp;$I$3,Results!$L:$L,"Not Done", Results!$F:$F,"*tive", Results!$F:$F,"*tive", Results!$L:$L,"&lt;&gt;Not on Form", Results!$L:$L,"&lt;&gt;N/A")</f>
        <v>0</v>
      </c>
      <c r="H48" s="33"/>
      <c r="J48" s="15" t="str">
        <f t="shared" si="3"/>
        <v/>
      </c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t="14.25" customHeight="1">
      <c r="A49" s="15"/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t="14.25" customHeight="1">
      <c r="A50" s="36"/>
      <c r="B50" s="36"/>
      <c r="C50" s="46" t="s">
        <v>78</v>
      </c>
      <c r="D50" s="24"/>
      <c r="E50" s="46" t="s">
        <v>79</v>
      </c>
      <c r="F50" s="24"/>
      <c r="G50" s="47" t="s">
        <v>49</v>
      </c>
      <c r="H50" s="36"/>
      <c r="I50" s="36"/>
      <c r="J50" s="36"/>
      <c r="K50" s="36"/>
      <c r="L50" s="36"/>
      <c r="M50" s="36"/>
      <c r="N50" s="36"/>
      <c r="O50" s="36"/>
      <c r="P50" s="36"/>
      <c r="Q50" s="36"/>
      <c r="R50" s="36"/>
      <c r="S50" s="36"/>
      <c r="T50" s="36"/>
      <c r="U50" s="36"/>
      <c r="V50" s="36"/>
      <c r="W50" s="36"/>
      <c r="X50" s="36"/>
      <c r="Y50" s="36"/>
      <c r="Z50" s="36"/>
    </row>
    <row r="51" ht="14.25" customHeight="1">
      <c r="A51" s="42" t="s">
        <v>84</v>
      </c>
      <c r="B51" s="37"/>
      <c r="C51" s="48">
        <f>COUNTIFS(Results!$E:$E,"&gt;="&amp;$I$2,Results!$E:$E,"&lt;="&amp;$I$3,Results!$F:$F,"Positive",Results!$P:$P,"CXR")</f>
        <v>0</v>
      </c>
      <c r="D51" s="24"/>
      <c r="E51" s="48">
        <f>COUNTIFS(Results!$E:$E,"&gt;="&amp;$I$2,Results!$E:$E,"&lt;="&amp;$I$3,Results!$F:$F,"Negative",Results!$P:$P,"CXR")</f>
        <v>0</v>
      </c>
      <c r="F51" s="24"/>
      <c r="G51" s="49">
        <f>COUNTIFS(Results!$E:$E,"&gt;="&amp;$I$2,Results!$E:$E,"&lt;="&amp;$I$3,Results!$F:$F,"Negative",Results!$P:$P,"CXR")</f>
        <v>0</v>
      </c>
      <c r="H51" s="40"/>
      <c r="I51" s="40"/>
      <c r="J51" s="40"/>
      <c r="K51" s="40"/>
      <c r="L51" s="40"/>
      <c r="M51" s="40"/>
      <c r="N51" s="40"/>
      <c r="O51" s="40"/>
      <c r="P51" s="40"/>
      <c r="Q51" s="40"/>
      <c r="R51" s="40"/>
      <c r="S51" s="40"/>
      <c r="T51" s="40"/>
      <c r="U51" s="40"/>
      <c r="V51" s="40"/>
      <c r="W51" s="40"/>
      <c r="X51" s="40"/>
      <c r="Y51" s="40"/>
      <c r="Z51" s="40"/>
    </row>
    <row r="52" ht="14.25" customHeight="1">
      <c r="A52" s="15"/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t="14.25" customHeight="1">
      <c r="A53" s="15" t="s">
        <v>85</v>
      </c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t="14.25" customHeight="1">
      <c r="A54" s="28"/>
      <c r="B54" s="28"/>
      <c r="C54" s="23" t="s">
        <v>86</v>
      </c>
      <c r="D54" s="24"/>
      <c r="E54" s="23" t="s">
        <v>87</v>
      </c>
      <c r="F54" s="24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t="14.25" customHeight="1">
      <c r="A55" s="44" t="s">
        <v>88</v>
      </c>
      <c r="B55" s="45"/>
      <c r="C55" s="23"/>
      <c r="D55" s="24"/>
      <c r="E55" s="23"/>
      <c r="F55" s="24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t="14.25" customHeight="1">
      <c r="A56" s="44" t="s">
        <v>89</v>
      </c>
      <c r="B56" s="45"/>
      <c r="C56" s="23"/>
      <c r="D56" s="24"/>
      <c r="E56" s="23"/>
      <c r="F56" s="24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t="14.25" customHeight="1">
      <c r="A57" s="44" t="s">
        <v>90</v>
      </c>
      <c r="B57" s="45"/>
      <c r="C57" s="23">
        <f>COUNTIFS(Results!$E:$E,"&gt;="&amp;$I$2,Results!$E:$E,"&lt;="&amp;$I$3)</f>
        <v>0</v>
      </c>
      <c r="D57" s="24"/>
      <c r="E57" s="23"/>
      <c r="F57" s="24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t="14.25" customHeight="1">
      <c r="A58" s="44" t="s">
        <v>91</v>
      </c>
      <c r="B58" s="45"/>
      <c r="C58" s="23">
        <f>C55+C56-C57</f>
        <v>0</v>
      </c>
      <c r="D58" s="24"/>
      <c r="E58" s="23"/>
      <c r="F58" s="24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t="14.25" customHeight="1">
      <c r="A59" s="50" t="s">
        <v>92</v>
      </c>
      <c r="B59" s="50"/>
      <c r="C59" s="50">
        <f>COUNTIFS(Results!$E:$E,"&gt;="&amp;$I$2,Results!$E:$E,"&lt;="&amp;$I$3,Results!$F:$F,"Error")+COUNTIFS(Results!$E:$E,"&gt;="&amp;$I$2,Results!$E:$E,"&lt;="&amp;$I$3,Results!$F:$F,"Invalid")</f>
        <v>0</v>
      </c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t="14.25" customHeight="1">
      <c r="A60" s="50" t="s">
        <v>93</v>
      </c>
      <c r="B60" s="15"/>
      <c r="C60" s="50">
        <f>COUNTIFS(Results!$E:$E,"&gt;="&amp;$I$2,Results!$E:$E,"&lt;="&amp;$I$3,Results!$F:$F,"No Result")</f>
        <v>0</v>
      </c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t="14.25" customHeight="1">
      <c r="A61" s="15"/>
      <c r="B61" s="15"/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t="14.25" customHeight="1">
      <c r="A62" s="15"/>
      <c r="B62" s="15"/>
      <c r="C62" s="15"/>
      <c r="D62" s="15"/>
      <c r="E62" s="15" t="s">
        <v>94</v>
      </c>
      <c r="F62" s="51"/>
      <c r="G62" s="51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t="14.25" customHeight="1">
      <c r="A63" s="15"/>
      <c r="B63" s="15"/>
      <c r="C63" s="15"/>
      <c r="D63" s="15"/>
      <c r="E63" s="15" t="s">
        <v>95</v>
      </c>
      <c r="F63" s="52"/>
      <c r="G63" s="52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t="14.25" customHeight="1">
      <c r="A64" s="15"/>
      <c r="B64" s="15"/>
      <c r="C64" s="15"/>
      <c r="D64" s="15"/>
      <c r="E64" s="15" t="s">
        <v>96</v>
      </c>
      <c r="F64" s="52"/>
      <c r="G64" s="52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t="14.25" customHeight="1">
      <c r="A65" s="15"/>
      <c r="B65" s="15"/>
      <c r="C65" s="15"/>
      <c r="D65" s="15"/>
      <c r="E65" s="15" t="s">
        <v>97</v>
      </c>
      <c r="F65" s="52"/>
      <c r="G65" s="52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t="14.25" customHeight="1">
      <c r="A66" s="15"/>
      <c r="B66" s="15"/>
      <c r="C66" s="15"/>
      <c r="D66" s="15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t="14.25" customHeight="1">
      <c r="A67" s="15"/>
      <c r="B67" s="15"/>
      <c r="C67" s="15"/>
      <c r="D67" s="15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t="14.25" customHeight="1">
      <c r="A68" s="15"/>
      <c r="B68" s="15"/>
      <c r="C68" s="15"/>
      <c r="D68" s="15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t="14.25" customHeight="1">
      <c r="A69" s="15"/>
      <c r="B69" s="15"/>
      <c r="C69" s="15"/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t="14.25" customHeight="1">
      <c r="A70" s="15"/>
      <c r="B70" s="15"/>
      <c r="C70" s="15"/>
      <c r="D70" s="15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t="14.25" customHeight="1">
      <c r="A71" s="15"/>
      <c r="B71" s="15"/>
      <c r="C71" s="15"/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t="14.25" customHeight="1">
      <c r="A72" s="15"/>
      <c r="B72" s="15"/>
      <c r="C72" s="15"/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t="14.25" customHeight="1">
      <c r="A73" s="15"/>
      <c r="B73" s="15"/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t="14.25" customHeight="1">
      <c r="A74" s="15"/>
      <c r="B74" s="15"/>
      <c r="C74" s="15"/>
      <c r="D74" s="15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t="14.25" customHeight="1">
      <c r="A75" s="15"/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t="14.25" customHeight="1">
      <c r="A76" s="15"/>
      <c r="B76" s="15"/>
      <c r="C76" s="15"/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t="14.25" customHeight="1">
      <c r="A77" s="15"/>
      <c r="B77" s="15"/>
      <c r="C77" s="15"/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t="14.25" customHeight="1">
      <c r="A78" s="15"/>
      <c r="B78" s="15"/>
      <c r="C78" s="15"/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t="14.25" customHeight="1">
      <c r="A79" s="15"/>
      <c r="B79" s="15"/>
      <c r="C79" s="15"/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t="14.25" customHeight="1">
      <c r="A80" s="15"/>
      <c r="B80" s="15"/>
      <c r="C80" s="15"/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t="14.25" customHeight="1">
      <c r="A81" s="15"/>
      <c r="B81" s="15"/>
      <c r="C81" s="15"/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t="14.25" customHeight="1">
      <c r="A82" s="15"/>
      <c r="B82" s="15"/>
      <c r="C82" s="15"/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t="14.25" customHeight="1">
      <c r="A83" s="15"/>
      <c r="B83" s="15"/>
      <c r="C83" s="15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t="14.25" customHeight="1">
      <c r="A84" s="15"/>
      <c r="B84" s="15"/>
      <c r="C84" s="15"/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t="14.25" customHeight="1">
      <c r="A85" s="15"/>
      <c r="B85" s="15"/>
      <c r="C85" s="15"/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t="14.25" customHeight="1">
      <c r="A86" s="15"/>
      <c r="B86" s="15"/>
      <c r="C86" s="15"/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t="14.25" customHeight="1">
      <c r="A87" s="15"/>
      <c r="B87" s="15"/>
      <c r="C87" s="15"/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t="14.25" customHeight="1">
      <c r="A88" s="15"/>
      <c r="B88" s="15"/>
      <c r="C88" s="15"/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t="14.25" customHeight="1">
      <c r="A89" s="15"/>
      <c r="B89" s="15"/>
      <c r="C89" s="15"/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t="14.25" customHeight="1">
      <c r="A90" s="15"/>
      <c r="B90" s="15"/>
      <c r="C90" s="15"/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t="14.25" customHeight="1">
      <c r="A91" s="15"/>
      <c r="B91" s="15"/>
      <c r="C91" s="15"/>
      <c r="D91" s="15"/>
      <c r="E91" s="15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t="14.25" customHeight="1">
      <c r="A92" s="15"/>
      <c r="B92" s="15"/>
      <c r="C92" s="15"/>
      <c r="D92" s="15"/>
      <c r="E92" s="15"/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t="14.25" customHeight="1">
      <c r="A93" s="15"/>
      <c r="B93" s="15"/>
      <c r="C93" s="15"/>
      <c r="D93" s="15"/>
      <c r="E93" s="15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t="14.25" customHeight="1">
      <c r="A94" s="15"/>
      <c r="B94" s="15"/>
      <c r="C94" s="15"/>
      <c r="D94" s="15"/>
      <c r="E94" s="15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t="14.25" customHeight="1">
      <c r="A95" s="15"/>
      <c r="B95" s="15"/>
      <c r="C95" s="15"/>
      <c r="D95" s="15"/>
      <c r="E95" s="15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t="14.25" customHeight="1">
      <c r="A96" s="15"/>
      <c r="B96" s="15"/>
      <c r="C96" s="15"/>
      <c r="D96" s="15"/>
      <c r="E96" s="15"/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t="14.25" customHeight="1">
      <c r="A97" s="15"/>
      <c r="B97" s="15"/>
      <c r="C97" s="15"/>
      <c r="D97" s="15"/>
      <c r="E97" s="15"/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t="14.25" customHeight="1">
      <c r="A98" s="15"/>
      <c r="B98" s="15"/>
      <c r="C98" s="15"/>
      <c r="D98" s="15"/>
      <c r="E98" s="15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t="14.25" customHeight="1">
      <c r="A99" s="15"/>
      <c r="B99" s="15"/>
      <c r="C99" s="15"/>
      <c r="D99" s="15"/>
      <c r="E99" s="15"/>
      <c r="F99" s="15"/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t="14.25" customHeight="1">
      <c r="A100" s="15"/>
      <c r="B100" s="15"/>
      <c r="C100" s="15"/>
      <c r="D100" s="15"/>
      <c r="E100" s="15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t="14.25" customHeight="1">
      <c r="A101" s="15"/>
      <c r="B101" s="15"/>
      <c r="C101" s="15"/>
      <c r="D101" s="15"/>
      <c r="E101" s="15"/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t="14.25" customHeight="1">
      <c r="A102" s="15"/>
      <c r="B102" s="15"/>
      <c r="C102" s="15"/>
      <c r="D102" s="15"/>
      <c r="E102" s="15"/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t="14.25" customHeight="1">
      <c r="A103" s="15"/>
      <c r="B103" s="15"/>
      <c r="C103" s="15"/>
      <c r="D103" s="15"/>
      <c r="E103" s="15"/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t="14.25" customHeight="1">
      <c r="A104" s="15"/>
      <c r="B104" s="15"/>
      <c r="C104" s="15"/>
      <c r="D104" s="15"/>
      <c r="E104" s="15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t="14.25" customHeight="1">
      <c r="A105" s="15"/>
      <c r="B105" s="15"/>
      <c r="C105" s="15"/>
      <c r="D105" s="15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t="14.25" customHeight="1">
      <c r="A106" s="15"/>
      <c r="B106" s="15"/>
      <c r="C106" s="15"/>
      <c r="D106" s="15"/>
      <c r="E106" s="15"/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t="14.25" customHeight="1">
      <c r="A107" s="15"/>
      <c r="B107" s="15"/>
      <c r="C107" s="15"/>
      <c r="D107" s="15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t="14.25" customHeight="1">
      <c r="A108" s="15"/>
      <c r="B108" s="15"/>
      <c r="C108" s="15"/>
      <c r="D108" s="15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t="14.25" customHeight="1">
      <c r="A109" s="15"/>
      <c r="B109" s="15"/>
      <c r="C109" s="15"/>
      <c r="D109" s="15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t="14.25" customHeight="1">
      <c r="A110" s="15"/>
      <c r="B110" s="15"/>
      <c r="C110" s="15"/>
      <c r="D110" s="15"/>
      <c r="E110" s="15"/>
      <c r="F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t="14.25" customHeight="1">
      <c r="A111" s="15"/>
      <c r="B111" s="15"/>
      <c r="C111" s="15"/>
      <c r="D111" s="15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t="14.25" customHeight="1">
      <c r="A112" s="15"/>
      <c r="B112" s="15"/>
      <c r="C112" s="15"/>
      <c r="D112" s="15"/>
      <c r="E112" s="15"/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t="14.25" customHeight="1">
      <c r="A113" s="15"/>
      <c r="B113" s="15"/>
      <c r="C113" s="15"/>
      <c r="D113" s="15"/>
      <c r="E113" s="15"/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t="14.25" customHeight="1">
      <c r="A114" s="15"/>
      <c r="B114" s="15"/>
      <c r="C114" s="15"/>
      <c r="D114" s="15"/>
      <c r="E114" s="15"/>
      <c r="F114" s="15"/>
      <c r="G114" s="15"/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t="14.25" customHeight="1">
      <c r="A115" s="15"/>
      <c r="B115" s="15"/>
      <c r="C115" s="15"/>
      <c r="D115" s="15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t="14.25" customHeight="1">
      <c r="A116" s="15"/>
      <c r="B116" s="15"/>
      <c r="C116" s="15"/>
      <c r="D116" s="15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t="14.25" customHeight="1">
      <c r="A117" s="15"/>
      <c r="B117" s="15"/>
      <c r="C117" s="15"/>
      <c r="D117" s="15"/>
      <c r="E117" s="15"/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t="14.25" customHeight="1">
      <c r="A118" s="15"/>
      <c r="B118" s="15"/>
      <c r="C118" s="15"/>
      <c r="D118" s="15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t="14.25" customHeight="1">
      <c r="A119" s="15"/>
      <c r="B119" s="15"/>
      <c r="C119" s="15"/>
      <c r="D119" s="15"/>
      <c r="E119" s="15"/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t="14.25" customHeight="1">
      <c r="A120" s="15"/>
      <c r="B120" s="15"/>
      <c r="C120" s="15"/>
      <c r="D120" s="15"/>
      <c r="E120" s="15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t="14.25" customHeight="1">
      <c r="A121" s="15"/>
      <c r="B121" s="15"/>
      <c r="C121" s="15"/>
      <c r="D121" s="15"/>
      <c r="E121" s="15"/>
      <c r="F121" s="15"/>
      <c r="G121" s="15"/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t="14.25" customHeight="1">
      <c r="A122" s="15"/>
      <c r="B122" s="15"/>
      <c r="C122" s="15"/>
      <c r="D122" s="15"/>
      <c r="E122" s="15"/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t="14.25" customHeight="1">
      <c r="A123" s="15"/>
      <c r="B123" s="15"/>
      <c r="C123" s="15"/>
      <c r="D123" s="15"/>
      <c r="E123" s="15"/>
      <c r="F123" s="15"/>
      <c r="G123" s="15"/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t="14.25" customHeight="1">
      <c r="A124" s="15"/>
      <c r="B124" s="15"/>
      <c r="C124" s="15"/>
      <c r="D124" s="15"/>
      <c r="E124" s="15"/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t="14.25" customHeight="1">
      <c r="A125" s="15"/>
      <c r="B125" s="15"/>
      <c r="C125" s="15"/>
      <c r="D125" s="15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t="14.25" customHeight="1">
      <c r="A126" s="15"/>
      <c r="B126" s="15"/>
      <c r="C126" s="15"/>
      <c r="D126" s="15"/>
      <c r="E126" s="15"/>
      <c r="F126" s="15"/>
      <c r="G126" s="15"/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t="14.25" customHeight="1">
      <c r="A127" s="15"/>
      <c r="B127" s="15"/>
      <c r="C127" s="15"/>
      <c r="D127" s="15"/>
      <c r="E127" s="15"/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t="14.25" customHeight="1">
      <c r="A128" s="15"/>
      <c r="B128" s="15"/>
      <c r="C128" s="15"/>
      <c r="D128" s="15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t="14.25" customHeight="1">
      <c r="A129" s="15"/>
      <c r="B129" s="15"/>
      <c r="C129" s="15"/>
      <c r="D129" s="15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t="14.25" customHeight="1">
      <c r="A130" s="15"/>
      <c r="B130" s="15"/>
      <c r="C130" s="15"/>
      <c r="D130" s="15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t="14.25" customHeight="1">
      <c r="A131" s="15"/>
      <c r="B131" s="15"/>
      <c r="C131" s="15"/>
      <c r="D131" s="15"/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t="14.25" customHeight="1">
      <c r="A132" s="15"/>
      <c r="B132" s="15"/>
      <c r="C132" s="15"/>
      <c r="D132" s="15"/>
      <c r="E132" s="15"/>
      <c r="F132" s="15"/>
      <c r="G132" s="15"/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t="14.25" customHeight="1">
      <c r="A133" s="15"/>
      <c r="B133" s="15"/>
      <c r="C133" s="15"/>
      <c r="D133" s="15"/>
      <c r="E133" s="15"/>
      <c r="F133" s="15"/>
      <c r="G133" s="15"/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t="14.25" customHeight="1">
      <c r="A134" s="15"/>
      <c r="B134" s="15"/>
      <c r="C134" s="15"/>
      <c r="D134" s="15"/>
      <c r="E134" s="15"/>
      <c r="F134" s="15"/>
      <c r="G134" s="15"/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t="14.25" customHeight="1">
      <c r="A135" s="15"/>
      <c r="B135" s="15"/>
      <c r="C135" s="15"/>
      <c r="D135" s="15"/>
      <c r="E135" s="15"/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t="14.25" customHeight="1">
      <c r="A136" s="15"/>
      <c r="B136" s="15"/>
      <c r="C136" s="15"/>
      <c r="D136" s="15"/>
      <c r="E136" s="15"/>
      <c r="F136" s="15"/>
      <c r="G136" s="15"/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t="14.25" customHeight="1">
      <c r="A137" s="15"/>
      <c r="B137" s="15"/>
      <c r="C137" s="15"/>
      <c r="D137" s="15"/>
      <c r="E137" s="15"/>
      <c r="F137" s="15"/>
      <c r="G137" s="15"/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t="14.25" customHeight="1">
      <c r="A138" s="15"/>
      <c r="B138" s="15"/>
      <c r="C138" s="15"/>
      <c r="D138" s="15"/>
      <c r="E138" s="15"/>
      <c r="F138" s="15"/>
      <c r="G138" s="15"/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t="14.25" customHeight="1">
      <c r="A139" s="15"/>
      <c r="B139" s="15"/>
      <c r="C139" s="15"/>
      <c r="D139" s="15"/>
      <c r="E139" s="15"/>
      <c r="F139" s="15"/>
      <c r="G139" s="15"/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t="14.25" customHeight="1">
      <c r="A140" s="15"/>
      <c r="B140" s="15"/>
      <c r="C140" s="15"/>
      <c r="D140" s="15"/>
      <c r="E140" s="15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t="14.25" customHeight="1">
      <c r="A141" s="15"/>
      <c r="B141" s="15"/>
      <c r="C141" s="15"/>
      <c r="D141" s="15"/>
      <c r="E141" s="15"/>
      <c r="F141" s="15"/>
      <c r="G141" s="15"/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t="14.25" customHeight="1">
      <c r="A142" s="15"/>
      <c r="B142" s="15"/>
      <c r="C142" s="15"/>
      <c r="D142" s="15"/>
      <c r="E142" s="15"/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t="14.25" customHeight="1">
      <c r="A143" s="15"/>
      <c r="B143" s="15"/>
      <c r="C143" s="15"/>
      <c r="D143" s="15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t="14.25" customHeight="1">
      <c r="A144" s="15"/>
      <c r="B144" s="15"/>
      <c r="C144" s="15"/>
      <c r="D144" s="15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t="14.25" customHeight="1">
      <c r="A145" s="15"/>
      <c r="B145" s="15"/>
      <c r="C145" s="15"/>
      <c r="D145" s="15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t="14.25" customHeight="1">
      <c r="A146" s="15"/>
      <c r="B146" s="15"/>
      <c r="C146" s="15"/>
      <c r="D146" s="15"/>
      <c r="E146" s="15"/>
      <c r="F146" s="15"/>
      <c r="G146" s="15"/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t="14.25" customHeight="1">
      <c r="A147" s="15"/>
      <c r="B147" s="15"/>
      <c r="C147" s="15"/>
      <c r="D147" s="15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t="14.25" customHeight="1">
      <c r="A148" s="15"/>
      <c r="B148" s="15"/>
      <c r="C148" s="15"/>
      <c r="D148" s="15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t="14.25" customHeight="1">
      <c r="A149" s="15"/>
      <c r="B149" s="15"/>
      <c r="C149" s="15"/>
      <c r="D149" s="15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t="14.25" customHeight="1">
      <c r="A150" s="15"/>
      <c r="B150" s="15"/>
      <c r="C150" s="15"/>
      <c r="D150" s="15"/>
      <c r="E150" s="15"/>
      <c r="F150" s="15"/>
      <c r="G150" s="15"/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t="14.25" customHeight="1">
      <c r="A151" s="15"/>
      <c r="B151" s="15"/>
      <c r="C151" s="15"/>
      <c r="D151" s="15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t="14.25" customHeight="1">
      <c r="A152" s="15"/>
      <c r="B152" s="15"/>
      <c r="C152" s="15"/>
      <c r="D152" s="15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t="14.25" customHeight="1">
      <c r="A153" s="15"/>
      <c r="B153" s="15"/>
      <c r="C153" s="15"/>
      <c r="D153" s="15"/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t="14.25" customHeight="1">
      <c r="A154" s="15"/>
      <c r="B154" s="15"/>
      <c r="C154" s="15"/>
      <c r="D154" s="15"/>
      <c r="E154" s="15"/>
      <c r="F154" s="15"/>
      <c r="G154" s="15"/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t="14.25" customHeight="1">
      <c r="A155" s="15"/>
      <c r="B155" s="15"/>
      <c r="C155" s="15"/>
      <c r="D155" s="15"/>
      <c r="E155" s="15"/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t="14.25" customHeight="1">
      <c r="A156" s="15"/>
      <c r="B156" s="15"/>
      <c r="C156" s="15"/>
      <c r="D156" s="15"/>
      <c r="E156" s="15"/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t="14.25" customHeight="1">
      <c r="A157" s="15"/>
      <c r="B157" s="15"/>
      <c r="C157" s="15"/>
      <c r="D157" s="15"/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t="14.25" customHeight="1">
      <c r="A158" s="15"/>
      <c r="B158" s="15"/>
      <c r="C158" s="15"/>
      <c r="D158" s="15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t="14.25" customHeight="1">
      <c r="A159" s="15"/>
      <c r="B159" s="15"/>
      <c r="C159" s="15"/>
      <c r="D159" s="15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t="14.25" customHeight="1">
      <c r="A160" s="15"/>
      <c r="B160" s="15"/>
      <c r="C160" s="15"/>
      <c r="D160" s="15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t="14.25" customHeight="1">
      <c r="A161" s="15"/>
      <c r="B161" s="15"/>
      <c r="C161" s="15"/>
      <c r="D161" s="15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t="14.25" customHeight="1">
      <c r="A162" s="15"/>
      <c r="B162" s="15"/>
      <c r="C162" s="15"/>
      <c r="D162" s="15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t="14.25" customHeight="1">
      <c r="A163" s="15"/>
      <c r="B163" s="15"/>
      <c r="C163" s="15"/>
      <c r="D163" s="15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t="14.25" customHeight="1">
      <c r="A164" s="15"/>
      <c r="B164" s="15"/>
      <c r="C164" s="15"/>
      <c r="D164" s="15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t="14.25" customHeight="1">
      <c r="A165" s="15"/>
      <c r="B165" s="15"/>
      <c r="C165" s="15"/>
      <c r="D165" s="15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t="14.25" customHeight="1">
      <c r="A166" s="15"/>
      <c r="B166" s="15"/>
      <c r="C166" s="15"/>
      <c r="D166" s="15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t="14.25" customHeight="1">
      <c r="A167" s="15"/>
      <c r="B167" s="15"/>
      <c r="C167" s="15"/>
      <c r="D167" s="15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t="14.25" customHeight="1">
      <c r="A168" s="15"/>
      <c r="B168" s="15"/>
      <c r="C168" s="15"/>
      <c r="D168" s="15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t="14.25" customHeight="1">
      <c r="A169" s="15"/>
      <c r="B169" s="15"/>
      <c r="C169" s="15"/>
      <c r="D169" s="15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t="14.25" customHeight="1">
      <c r="A170" s="15"/>
      <c r="B170" s="15"/>
      <c r="C170" s="15"/>
      <c r="D170" s="15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t="14.25" customHeight="1">
      <c r="A171" s="15"/>
      <c r="B171" s="15"/>
      <c r="C171" s="15"/>
      <c r="D171" s="15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t="14.25" customHeight="1">
      <c r="A172" s="15"/>
      <c r="B172" s="15"/>
      <c r="C172" s="15"/>
      <c r="D172" s="15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t="14.25" customHeight="1">
      <c r="A173" s="15"/>
      <c r="B173" s="15"/>
      <c r="C173" s="15"/>
      <c r="D173" s="15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t="14.25" customHeight="1">
      <c r="A174" s="15"/>
      <c r="B174" s="15"/>
      <c r="C174" s="15"/>
      <c r="D174" s="15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t="14.25" customHeight="1">
      <c r="A175" s="15"/>
      <c r="B175" s="15"/>
      <c r="C175" s="15"/>
      <c r="D175" s="15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t="14.25" customHeight="1">
      <c r="A176" s="15"/>
      <c r="B176" s="15"/>
      <c r="C176" s="15"/>
      <c r="D176" s="15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t="14.25" customHeight="1">
      <c r="A177" s="15"/>
      <c r="B177" s="15"/>
      <c r="C177" s="15"/>
      <c r="D177" s="15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t="14.25" customHeight="1">
      <c r="A178" s="15"/>
      <c r="B178" s="15"/>
      <c r="C178" s="15"/>
      <c r="D178" s="15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t="14.25" customHeight="1">
      <c r="A179" s="15"/>
      <c r="B179" s="15"/>
      <c r="C179" s="15"/>
      <c r="D179" s="15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t="14.25" customHeight="1">
      <c r="A180" s="15"/>
      <c r="B180" s="15"/>
      <c r="C180" s="15"/>
      <c r="D180" s="15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t="14.25" customHeight="1">
      <c r="A181" s="15"/>
      <c r="B181" s="15"/>
      <c r="C181" s="15"/>
      <c r="D181" s="15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t="14.25" customHeight="1">
      <c r="A182" s="15"/>
      <c r="B182" s="15"/>
      <c r="C182" s="15"/>
      <c r="D182" s="15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t="14.25" customHeight="1">
      <c r="A183" s="15"/>
      <c r="B183" s="15"/>
      <c r="C183" s="15"/>
      <c r="D183" s="15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t="14.25" customHeight="1">
      <c r="A184" s="15"/>
      <c r="B184" s="15"/>
      <c r="C184" s="15"/>
      <c r="D184" s="15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t="14.25" customHeight="1">
      <c r="A185" s="15"/>
      <c r="B185" s="15"/>
      <c r="C185" s="15"/>
      <c r="D185" s="15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t="14.25" customHeight="1">
      <c r="A186" s="15"/>
      <c r="B186" s="15"/>
      <c r="C186" s="15"/>
      <c r="D186" s="15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t="14.25" customHeight="1">
      <c r="A187" s="15"/>
      <c r="B187" s="15"/>
      <c r="C187" s="15"/>
      <c r="D187" s="15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t="14.25" customHeight="1">
      <c r="A188" s="15"/>
      <c r="B188" s="15"/>
      <c r="C188" s="15"/>
      <c r="D188" s="15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t="14.25" customHeight="1">
      <c r="A189" s="15"/>
      <c r="B189" s="15"/>
      <c r="C189" s="15"/>
      <c r="D189" s="15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t="14.25" customHeight="1">
      <c r="A190" s="15"/>
      <c r="B190" s="15"/>
      <c r="C190" s="15"/>
      <c r="D190" s="15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t="14.25" customHeight="1">
      <c r="A191" s="15"/>
      <c r="B191" s="15"/>
      <c r="C191" s="15"/>
      <c r="D191" s="15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t="14.25" customHeight="1">
      <c r="A192" s="15"/>
      <c r="B192" s="15"/>
      <c r="C192" s="15"/>
      <c r="D192" s="15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t="14.25" customHeight="1">
      <c r="A193" s="15"/>
      <c r="B193" s="15"/>
      <c r="C193" s="15"/>
      <c r="D193" s="15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t="14.25" customHeight="1">
      <c r="A194" s="15"/>
      <c r="B194" s="15"/>
      <c r="C194" s="15"/>
      <c r="D194" s="15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t="14.25" customHeight="1">
      <c r="A195" s="15"/>
      <c r="B195" s="15"/>
      <c r="C195" s="15"/>
      <c r="D195" s="15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t="14.25" customHeight="1">
      <c r="A196" s="15"/>
      <c r="B196" s="15"/>
      <c r="C196" s="15"/>
      <c r="D196" s="15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t="14.25" customHeight="1">
      <c r="A197" s="15"/>
      <c r="B197" s="15"/>
      <c r="C197" s="15"/>
      <c r="D197" s="15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t="14.25" customHeight="1">
      <c r="A198" s="15"/>
      <c r="B198" s="15"/>
      <c r="C198" s="15"/>
      <c r="D198" s="15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t="14.25" customHeight="1">
      <c r="A199" s="15"/>
      <c r="B199" s="15"/>
      <c r="C199" s="15"/>
      <c r="D199" s="15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t="14.25" customHeight="1">
      <c r="A200" s="15"/>
      <c r="B200" s="15"/>
      <c r="C200" s="15"/>
      <c r="D200" s="15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t="14.25" customHeight="1">
      <c r="A201" s="15"/>
      <c r="B201" s="15"/>
      <c r="C201" s="15"/>
      <c r="D201" s="15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t="14.25" customHeight="1">
      <c r="A202" s="15"/>
      <c r="B202" s="15"/>
      <c r="C202" s="15"/>
      <c r="D202" s="15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t="14.25" customHeight="1">
      <c r="A203" s="15"/>
      <c r="B203" s="15"/>
      <c r="C203" s="15"/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t="14.25" customHeight="1">
      <c r="A204" s="15"/>
      <c r="B204" s="15"/>
      <c r="C204" s="15"/>
      <c r="D204" s="15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t="14.25" customHeight="1">
      <c r="A205" s="15"/>
      <c r="B205" s="15"/>
      <c r="C205" s="15"/>
      <c r="D205" s="15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t="14.25" customHeight="1">
      <c r="A206" s="15"/>
      <c r="B206" s="15"/>
      <c r="C206" s="15"/>
      <c r="D206" s="15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t="14.25" customHeight="1">
      <c r="A207" s="15"/>
      <c r="B207" s="15"/>
      <c r="C207" s="15"/>
      <c r="D207" s="15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t="14.25" customHeight="1">
      <c r="A208" s="15"/>
      <c r="B208" s="15"/>
      <c r="C208" s="15"/>
      <c r="D208" s="15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t="14.25" customHeight="1">
      <c r="A209" s="15"/>
      <c r="B209" s="15"/>
      <c r="C209" s="15"/>
      <c r="D209" s="15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t="14.25" customHeight="1">
      <c r="A210" s="15"/>
      <c r="B210" s="15"/>
      <c r="C210" s="15"/>
      <c r="D210" s="15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t="14.25" customHeight="1">
      <c r="A211" s="15"/>
      <c r="B211" s="15"/>
      <c r="C211" s="15"/>
      <c r="D211" s="15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t="14.25" customHeight="1">
      <c r="A212" s="15"/>
      <c r="B212" s="15"/>
      <c r="C212" s="15"/>
      <c r="D212" s="15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t="14.25" customHeight="1">
      <c r="A213" s="15"/>
      <c r="B213" s="15"/>
      <c r="C213" s="15"/>
      <c r="D213" s="15"/>
      <c r="E213" s="15"/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t="14.25" customHeight="1">
      <c r="A214" s="15"/>
      <c r="B214" s="15"/>
      <c r="C214" s="15"/>
      <c r="D214" s="15"/>
      <c r="E214" s="15"/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t="14.25" customHeight="1">
      <c r="A215" s="15"/>
      <c r="B215" s="15"/>
      <c r="C215" s="15"/>
      <c r="D215" s="15"/>
      <c r="E215" s="15"/>
      <c r="F215" s="15"/>
      <c r="G215" s="15"/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t="14.25" customHeight="1">
      <c r="A216" s="15"/>
      <c r="B216" s="15"/>
      <c r="C216" s="15"/>
      <c r="D216" s="15"/>
      <c r="E216" s="15"/>
      <c r="F216" s="15"/>
      <c r="G216" s="15"/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t="14.25" customHeight="1">
      <c r="A217" s="15"/>
      <c r="B217" s="15"/>
      <c r="C217" s="15"/>
      <c r="D217" s="15"/>
      <c r="E217" s="15"/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t="14.25" customHeight="1">
      <c r="A218" s="15"/>
      <c r="B218" s="15"/>
      <c r="C218" s="15"/>
      <c r="D218" s="15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t="14.25" customHeight="1">
      <c r="A219" s="15"/>
      <c r="B219" s="15"/>
      <c r="C219" s="15"/>
      <c r="D219" s="15"/>
      <c r="E219" s="15"/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t="14.25" customHeight="1">
      <c r="A220" s="15"/>
      <c r="B220" s="15"/>
      <c r="C220" s="15"/>
      <c r="D220" s="15"/>
      <c r="E220" s="15"/>
      <c r="F220" s="15"/>
      <c r="G220" s="15"/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t="14.25" customHeight="1">
      <c r="A221" s="15"/>
      <c r="B221" s="15"/>
      <c r="C221" s="15"/>
      <c r="D221" s="15"/>
      <c r="E221" s="15"/>
      <c r="F221" s="15"/>
      <c r="G221" s="15"/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t="14.25" customHeight="1">
      <c r="A222" s="15"/>
      <c r="B222" s="15"/>
      <c r="C222" s="15"/>
      <c r="D222" s="15"/>
      <c r="E222" s="15"/>
      <c r="F222" s="15"/>
      <c r="G222" s="15"/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t="14.25" customHeight="1">
      <c r="A223" s="15"/>
      <c r="B223" s="15"/>
      <c r="C223" s="15"/>
      <c r="D223" s="15"/>
      <c r="E223" s="15"/>
      <c r="F223" s="15"/>
      <c r="G223" s="15"/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t="14.25" customHeight="1">
      <c r="A224" s="15"/>
      <c r="B224" s="15"/>
      <c r="C224" s="15"/>
      <c r="D224" s="15"/>
      <c r="E224" s="15"/>
      <c r="F224" s="15"/>
      <c r="G224" s="15"/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t="14.25" customHeight="1">
      <c r="A225" s="15"/>
      <c r="B225" s="15"/>
      <c r="C225" s="15"/>
      <c r="D225" s="15"/>
      <c r="E225" s="15"/>
      <c r="F225" s="15"/>
      <c r="G225" s="15"/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t="14.25" customHeight="1">
      <c r="A226" s="15"/>
      <c r="B226" s="15"/>
      <c r="C226" s="15"/>
      <c r="D226" s="15"/>
      <c r="E226" s="15"/>
      <c r="F226" s="15"/>
      <c r="G226" s="15"/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t="14.25" customHeight="1">
      <c r="A227" s="15"/>
      <c r="B227" s="15"/>
      <c r="C227" s="15"/>
      <c r="D227" s="15"/>
      <c r="E227" s="15"/>
      <c r="F227" s="15"/>
      <c r="G227" s="15"/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t="14.25" customHeight="1">
      <c r="A228" s="15"/>
      <c r="B228" s="15"/>
      <c r="C228" s="15"/>
      <c r="D228" s="15"/>
      <c r="E228" s="15"/>
      <c r="F228" s="15"/>
      <c r="G228" s="15"/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t="14.25" customHeight="1">
      <c r="A229" s="15"/>
      <c r="B229" s="15"/>
      <c r="C229" s="15"/>
      <c r="D229" s="15"/>
      <c r="E229" s="15"/>
      <c r="F229" s="15"/>
      <c r="G229" s="15"/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t="14.25" customHeight="1">
      <c r="A230" s="15"/>
      <c r="B230" s="15"/>
      <c r="C230" s="15"/>
      <c r="D230" s="15"/>
      <c r="E230" s="15"/>
      <c r="F230" s="15"/>
      <c r="G230" s="15"/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t="14.25" customHeight="1">
      <c r="A231" s="15"/>
      <c r="B231" s="15"/>
      <c r="C231" s="15"/>
      <c r="D231" s="15"/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t="14.25" customHeight="1">
      <c r="A232" s="15"/>
      <c r="B232" s="15"/>
      <c r="C232" s="15"/>
      <c r="D232" s="15"/>
      <c r="E232" s="15"/>
      <c r="F232" s="15"/>
      <c r="G232" s="15"/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t="14.25" customHeight="1">
      <c r="A233" s="15"/>
      <c r="B233" s="15"/>
      <c r="C233" s="15"/>
      <c r="D233" s="15"/>
      <c r="E233" s="15"/>
      <c r="F233" s="15"/>
      <c r="G233" s="15"/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t="14.25" customHeight="1">
      <c r="A234" s="15"/>
      <c r="B234" s="15"/>
      <c r="C234" s="15"/>
      <c r="D234" s="15"/>
      <c r="E234" s="15"/>
      <c r="F234" s="15"/>
      <c r="G234" s="15"/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t="14.25" customHeight="1">
      <c r="A235" s="15"/>
      <c r="B235" s="15"/>
      <c r="C235" s="15"/>
      <c r="D235" s="15"/>
      <c r="E235" s="15"/>
      <c r="F235" s="15"/>
      <c r="G235" s="15"/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t="14.25" customHeight="1">
      <c r="A236" s="15"/>
      <c r="B236" s="15"/>
      <c r="C236" s="15"/>
      <c r="D236" s="15"/>
      <c r="E236" s="15"/>
      <c r="F236" s="15"/>
      <c r="G236" s="15"/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t="14.25" customHeight="1">
      <c r="A237" s="15"/>
      <c r="B237" s="15"/>
      <c r="C237" s="15"/>
      <c r="D237" s="15"/>
      <c r="E237" s="15"/>
      <c r="F237" s="15"/>
      <c r="G237" s="15"/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t="14.25" customHeight="1">
      <c r="A238" s="15"/>
      <c r="B238" s="15"/>
      <c r="C238" s="15"/>
      <c r="D238" s="15"/>
      <c r="E238" s="15"/>
      <c r="F238" s="15"/>
      <c r="G238" s="15"/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t="14.25" customHeight="1">
      <c r="A239" s="15"/>
      <c r="B239" s="15"/>
      <c r="C239" s="15"/>
      <c r="D239" s="15"/>
      <c r="E239" s="15"/>
      <c r="F239" s="15"/>
      <c r="G239" s="15"/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t="14.25" customHeight="1">
      <c r="A240" s="15"/>
      <c r="B240" s="15"/>
      <c r="C240" s="15"/>
      <c r="D240" s="15"/>
      <c r="E240" s="15"/>
      <c r="F240" s="15"/>
      <c r="G240" s="15"/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t="14.25" customHeight="1">
      <c r="A241" s="15"/>
      <c r="B241" s="15"/>
      <c r="C241" s="15"/>
      <c r="D241" s="15"/>
      <c r="E241" s="15"/>
      <c r="F241" s="15"/>
      <c r="G241" s="15"/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t="14.25" customHeight="1">
      <c r="A242" s="15"/>
      <c r="B242" s="15"/>
      <c r="C242" s="15"/>
      <c r="D242" s="15"/>
      <c r="E242" s="15"/>
      <c r="F242" s="15"/>
      <c r="G242" s="15"/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t="14.25" customHeight="1">
      <c r="A243" s="15"/>
      <c r="B243" s="15"/>
      <c r="C243" s="15"/>
      <c r="D243" s="15"/>
      <c r="E243" s="15"/>
      <c r="F243" s="15"/>
      <c r="G243" s="15"/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t="14.25" customHeight="1">
      <c r="A244" s="15"/>
      <c r="B244" s="15"/>
      <c r="C244" s="15"/>
      <c r="D244" s="15"/>
      <c r="E244" s="15"/>
      <c r="F244" s="15"/>
      <c r="G244" s="15"/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t="14.25" customHeight="1">
      <c r="A245" s="15"/>
      <c r="B245" s="15"/>
      <c r="C245" s="15"/>
      <c r="D245" s="15"/>
      <c r="E245" s="15"/>
      <c r="F245" s="15"/>
      <c r="G245" s="15"/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t="14.25" customHeight="1">
      <c r="A246" s="15"/>
      <c r="B246" s="15"/>
      <c r="C246" s="15"/>
      <c r="D246" s="15"/>
      <c r="E246" s="15"/>
      <c r="F246" s="15"/>
      <c r="G246" s="15"/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t="14.25" customHeight="1">
      <c r="A247" s="15"/>
      <c r="B247" s="15"/>
      <c r="C247" s="15"/>
      <c r="D247" s="15"/>
      <c r="E247" s="15"/>
      <c r="F247" s="15"/>
      <c r="G247" s="15"/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t="14.25" customHeight="1">
      <c r="A248" s="15"/>
      <c r="B248" s="15"/>
      <c r="C248" s="15"/>
      <c r="D248" s="15"/>
      <c r="E248" s="15"/>
      <c r="F248" s="15"/>
      <c r="G248" s="15"/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t="14.25" customHeight="1">
      <c r="A249" s="15"/>
      <c r="B249" s="15"/>
      <c r="C249" s="15"/>
      <c r="D249" s="15"/>
      <c r="E249" s="15"/>
      <c r="F249" s="15"/>
      <c r="G249" s="15"/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t="14.25" customHeight="1">
      <c r="A250" s="15"/>
      <c r="B250" s="15"/>
      <c r="C250" s="15"/>
      <c r="D250" s="15"/>
      <c r="E250" s="15"/>
      <c r="F250" s="15"/>
      <c r="G250" s="15"/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t="14.25" customHeight="1">
      <c r="A251" s="15"/>
      <c r="B251" s="15"/>
      <c r="C251" s="15"/>
      <c r="D251" s="15"/>
      <c r="E251" s="15"/>
      <c r="F251" s="15"/>
      <c r="G251" s="15"/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t="14.25" customHeight="1">
      <c r="A252" s="15"/>
      <c r="B252" s="15"/>
      <c r="C252" s="15"/>
      <c r="D252" s="15"/>
      <c r="E252" s="15"/>
      <c r="F252" s="15"/>
      <c r="G252" s="15"/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t="14.25" customHeight="1">
      <c r="A253" s="15"/>
      <c r="B253" s="15"/>
      <c r="C253" s="15"/>
      <c r="D253" s="15"/>
      <c r="E253" s="15"/>
      <c r="F253" s="15"/>
      <c r="G253" s="15"/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t="14.25" customHeight="1">
      <c r="A254" s="15"/>
      <c r="B254" s="15"/>
      <c r="C254" s="15"/>
      <c r="D254" s="15"/>
      <c r="E254" s="15"/>
      <c r="F254" s="15"/>
      <c r="G254" s="15"/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t="14.25" customHeight="1">
      <c r="A255" s="15"/>
      <c r="B255" s="15"/>
      <c r="C255" s="15"/>
      <c r="D255" s="15"/>
      <c r="E255" s="15"/>
      <c r="F255" s="15"/>
      <c r="G255" s="15"/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t="14.25" customHeight="1">
      <c r="A256" s="15"/>
      <c r="B256" s="15"/>
      <c r="C256" s="15"/>
      <c r="D256" s="15"/>
      <c r="E256" s="15"/>
      <c r="F256" s="15"/>
      <c r="G256" s="15"/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t="14.25" customHeight="1">
      <c r="A257" s="15"/>
      <c r="B257" s="15"/>
      <c r="C257" s="15"/>
      <c r="D257" s="15"/>
      <c r="E257" s="15"/>
      <c r="F257" s="15"/>
      <c r="G257" s="15"/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t="14.25" customHeight="1">
      <c r="A258" s="15"/>
      <c r="B258" s="15"/>
      <c r="C258" s="15"/>
      <c r="D258" s="15"/>
      <c r="E258" s="15"/>
      <c r="F258" s="15"/>
      <c r="G258" s="15"/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t="14.25" customHeight="1">
      <c r="A259" s="15"/>
      <c r="B259" s="15"/>
      <c r="C259" s="15"/>
      <c r="D259" s="15"/>
      <c r="E259" s="15"/>
      <c r="F259" s="15"/>
      <c r="G259" s="15"/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t="14.25" customHeight="1">
      <c r="A260" s="15"/>
      <c r="B260" s="15"/>
      <c r="C260" s="15"/>
      <c r="D260" s="15"/>
      <c r="E260" s="15"/>
      <c r="F260" s="15"/>
      <c r="G260" s="15"/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t="14.25" customHeight="1">
      <c r="A261" s="15"/>
      <c r="B261" s="15"/>
      <c r="C261" s="15"/>
      <c r="D261" s="15"/>
      <c r="E261" s="15"/>
      <c r="F261" s="15"/>
      <c r="G261" s="15"/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t="14.25" customHeight="1">
      <c r="A262" s="15"/>
      <c r="B262" s="15"/>
      <c r="C262" s="15"/>
      <c r="D262" s="15"/>
      <c r="E262" s="15"/>
      <c r="F262" s="15"/>
      <c r="G262" s="15"/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t="14.25" customHeight="1">
      <c r="A263" s="15"/>
      <c r="B263" s="15"/>
      <c r="C263" s="15"/>
      <c r="D263" s="15"/>
      <c r="E263" s="15"/>
      <c r="F263" s="15"/>
      <c r="G263" s="15"/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t="14.25" customHeight="1">
      <c r="A264" s="15"/>
      <c r="B264" s="15"/>
      <c r="C264" s="15"/>
      <c r="D264" s="15"/>
      <c r="E264" s="15"/>
      <c r="F264" s="15"/>
      <c r="G264" s="15"/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t="14.25" customHeight="1">
      <c r="A265" s="15"/>
      <c r="B265" s="15"/>
      <c r="C265" s="15"/>
      <c r="D265" s="15"/>
      <c r="E265" s="15"/>
      <c r="F265" s="15"/>
      <c r="G265" s="15"/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1">
    <mergeCell ref="G13:H15"/>
    <mergeCell ref="G16:H20"/>
    <mergeCell ref="G24:H26"/>
    <mergeCell ref="G27:H31"/>
    <mergeCell ref="A1:F1"/>
    <mergeCell ref="A7:A8"/>
    <mergeCell ref="B7:C7"/>
    <mergeCell ref="D7:E7"/>
    <mergeCell ref="F7:F8"/>
    <mergeCell ref="A13:A15"/>
    <mergeCell ref="A16:A20"/>
    <mergeCell ref="A24:A26"/>
    <mergeCell ref="A27:A31"/>
    <mergeCell ref="C41:D41"/>
    <mergeCell ref="E41:F41"/>
    <mergeCell ref="C42:D42"/>
    <mergeCell ref="E42:F42"/>
    <mergeCell ref="A35:A39"/>
    <mergeCell ref="C45:D45"/>
    <mergeCell ref="E45:F45"/>
    <mergeCell ref="C46:D46"/>
    <mergeCell ref="E46:F46"/>
    <mergeCell ref="H46:I48"/>
    <mergeCell ref="C47:D47"/>
    <mergeCell ref="E47:F47"/>
    <mergeCell ref="C54:D54"/>
    <mergeCell ref="C55:D55"/>
    <mergeCell ref="C56:D56"/>
    <mergeCell ref="C57:D57"/>
    <mergeCell ref="C58:D58"/>
    <mergeCell ref="E55:F55"/>
    <mergeCell ref="E56:F56"/>
    <mergeCell ref="E57:F57"/>
    <mergeCell ref="E58:F58"/>
    <mergeCell ref="C48:D48"/>
    <mergeCell ref="E48:F48"/>
    <mergeCell ref="E54:F54"/>
    <mergeCell ref="C50:D50"/>
    <mergeCell ref="E50:F50"/>
    <mergeCell ref="C51:D51"/>
    <mergeCell ref="E51:F51"/>
  </mergeCells>
  <conditionalFormatting sqref="G9">
    <cfRule type="notContainsBlanks" dxfId="0" priority="1">
      <formula>LEN(TRIM(G9))&gt;0</formula>
    </cfRule>
  </conditionalFormatting>
  <conditionalFormatting sqref="G13">
    <cfRule type="notContainsBlanks" dxfId="1" priority="2">
      <formula>LEN(TRIM(G13))&gt;0</formula>
    </cfRule>
  </conditionalFormatting>
  <conditionalFormatting sqref="G16">
    <cfRule type="notContainsBlanks" dxfId="1" priority="3">
      <formula>LEN(TRIM(G16))&gt;0</formula>
    </cfRule>
  </conditionalFormatting>
  <conditionalFormatting sqref="G24">
    <cfRule type="notContainsBlanks" dxfId="1" priority="4">
      <formula>LEN(TRIM(G24))&gt;0</formula>
    </cfRule>
  </conditionalFormatting>
  <conditionalFormatting sqref="G27">
    <cfRule type="notContainsBlanks" dxfId="1" priority="5">
      <formula>LEN(TRIM(G27))&gt;0</formula>
    </cfRule>
  </conditionalFormatting>
  <conditionalFormatting sqref="H46">
    <cfRule type="notContainsBlanks" dxfId="1" priority="6">
      <formula>LEN(TRIM(H46))&gt;0</formula>
    </cfRule>
  </conditionalFormatting>
  <conditionalFormatting sqref="I13:I20">
    <cfRule type="notContainsBlanks" dxfId="0" priority="7">
      <formula>LEN(TRIM(I13))&gt;0</formula>
    </cfRule>
  </conditionalFormatting>
  <conditionalFormatting sqref="I24:I31">
    <cfRule type="notContainsBlanks" dxfId="0" priority="8">
      <formula>LEN(TRIM(I24))&gt;0</formula>
    </cfRule>
  </conditionalFormatting>
  <conditionalFormatting sqref="J46:J48">
    <cfRule type="notContainsBlanks" dxfId="0" priority="9">
      <formula>LEN(TRIM(J46))&gt;0</formula>
    </cfRule>
  </conditionalFormatting>
  <printOptions/>
  <pageMargins bottom="0.75" footer="0.0" header="0.0" left="0.7" right="0.7" top="0.75"/>
  <pageSetup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13.78"/>
    <col customWidth="1" min="2" max="2" width="25.0"/>
    <col customWidth="1" min="3" max="3" width="8.0"/>
    <col customWidth="1" min="4" max="4" width="11.33"/>
    <col customWidth="1" min="5" max="5" width="9.33"/>
    <col customWidth="1" min="6" max="6" width="6.0"/>
    <col customWidth="1" min="7" max="7" width="9.44"/>
    <col customWidth="1" min="8" max="8" width="20.33"/>
    <col customWidth="1" min="9" max="9" width="20.44"/>
    <col customWidth="1" min="10" max="10" width="11.0"/>
    <col customWidth="1" min="11" max="12" width="10.78"/>
    <col customWidth="1" min="13" max="26" width="11.0"/>
  </cols>
  <sheetData>
    <row r="1" ht="14.25" customHeight="1">
      <c r="A1" s="14" t="s">
        <v>38</v>
      </c>
      <c r="G1" s="15"/>
      <c r="H1" s="15"/>
      <c r="I1" s="16" t="s">
        <v>39</v>
      </c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14.25" customHeight="1">
      <c r="A2" s="15"/>
      <c r="B2" s="15"/>
      <c r="C2" s="15"/>
      <c r="D2" s="15"/>
      <c r="E2" s="15"/>
      <c r="F2" s="15"/>
      <c r="G2" s="15"/>
      <c r="H2" s="17" t="s">
        <v>40</v>
      </c>
      <c r="I2" s="18" t="str">
        <f>DATE(F3, 9, 1)</f>
        <v>#VALUE!</v>
      </c>
      <c r="J2" s="15"/>
      <c r="K2" s="19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t="14.25" customHeight="1">
      <c r="A3" s="15" t="s">
        <v>41</v>
      </c>
      <c r="B3" s="15"/>
      <c r="C3" s="20" t="s">
        <v>108</v>
      </c>
      <c r="D3" s="15"/>
      <c r="E3" s="15" t="s">
        <v>43</v>
      </c>
      <c r="F3" s="20" t="str">
        <f>YEAR(Results!E3)</f>
        <v>#VALUE!</v>
      </c>
      <c r="G3" s="15"/>
      <c r="H3" s="17" t="s">
        <v>44</v>
      </c>
      <c r="I3" s="18" t="str">
        <f>EOMONTH(I2,0)</f>
        <v>#VALUE!</v>
      </c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t="14.25" customHeight="1">
      <c r="A4" s="15" t="s">
        <v>45</v>
      </c>
      <c r="B4" s="15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t="14.25" customHeight="1">
      <c r="A5" s="15"/>
      <c r="B5" s="15"/>
      <c r="C5" s="15"/>
      <c r="D5" s="15"/>
      <c r="E5" s="15"/>
      <c r="F5" s="15"/>
      <c r="G5" s="15"/>
      <c r="H5" s="15"/>
      <c r="I5" s="15"/>
      <c r="J5" s="15"/>
      <c r="K5" s="15"/>
      <c r="L5" s="15"/>
      <c r="M5" s="15"/>
      <c r="N5" s="15"/>
      <c r="O5" s="21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t="14.25" customHeight="1">
      <c r="A6" s="15" t="s">
        <v>46</v>
      </c>
      <c r="B6" s="15"/>
      <c r="C6" s="15"/>
      <c r="D6" s="15"/>
      <c r="E6" s="15"/>
      <c r="F6" s="15"/>
      <c r="G6" s="15"/>
      <c r="H6" s="15"/>
      <c r="I6" s="20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t="14.25" customHeight="1">
      <c r="A7" s="22"/>
      <c r="B7" s="23" t="s">
        <v>47</v>
      </c>
      <c r="C7" s="24"/>
      <c r="D7" s="23" t="s">
        <v>48</v>
      </c>
      <c r="E7" s="24"/>
      <c r="F7" s="25" t="s">
        <v>49</v>
      </c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t="14.25" customHeight="1">
      <c r="A8" s="26"/>
      <c r="B8" s="27" t="s">
        <v>50</v>
      </c>
      <c r="C8" s="27" t="s">
        <v>51</v>
      </c>
      <c r="D8" s="27" t="s">
        <v>50</v>
      </c>
      <c r="E8" s="27" t="s">
        <v>51</v>
      </c>
      <c r="F8" s="26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t="14.25" customHeight="1">
      <c r="A9" s="28"/>
      <c r="B9" s="28">
        <f>COUNTIFS(Results!$E:$E,"&gt;="&amp;$I$2,Results!$E:$E,"&lt;="&amp;$I$3,Results!$I:$I,"Male",Results!$J:$J,"&lt;15", Results!$F:$F,"*tive")</f>
        <v>0</v>
      </c>
      <c r="C9" s="28">
        <f>COUNTIFS(Results!$E:$E,"&gt;="&amp;$I$2,Results!$E:$E,"&lt;="&amp;$I$3,Results!$I:$I,"Male",Results!$J:$J,"&gt;=15", Results!$F:$F,"*tive")</f>
        <v>0</v>
      </c>
      <c r="D9" s="28">
        <f>COUNTIFS(Results!$E:$E,"&gt;="&amp;$I$2,Results!$E:$E,"&lt;="&amp;$I$3,Results!$I:$I,"Female",Results!$J:$J,"&lt;15", Results!$F:$F,"*tive")</f>
        <v>0</v>
      </c>
      <c r="E9" s="28">
        <f>COUNTIFS(Results!$E:$E,"&gt;="&amp;$I$2,Results!$E:$E,"&lt;="&amp;$I$3,Results!$I:$I,"Female",Results!$J:$J,"&gt;=15", Results!$F:$F,"*tive")</f>
        <v>0</v>
      </c>
      <c r="F9" s="28">
        <f>COUNTIFS(Results!$E:$E,"&gt;="&amp;$I$2,Results!$E:$E,"&lt;="&amp;$I$3, Results!$F:$F,"*tive", Results!$J:$J,"&lt;&gt;Not on Form", Results!$J:$J,"&lt;&gt;N/A", Results!$I:$I,"&lt;&gt;Not on Form", Results!$I:$I,"&lt;&gt;N/A")</f>
        <v>0</v>
      </c>
      <c r="G9" s="15" t="str">
        <f>IF(SUM(B9:E9)=F9,"","Check Total Value &amp; Category")</f>
        <v/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t="14.25" customHeight="1">
      <c r="A10" s="15"/>
      <c r="B10" s="15"/>
      <c r="C10" s="15"/>
      <c r="D10" s="15"/>
      <c r="E10" s="15"/>
      <c r="F10" s="15"/>
      <c r="G10" s="15"/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t="14.25" customHeight="1">
      <c r="A11" s="15" t="s">
        <v>52</v>
      </c>
      <c r="B11" s="15"/>
      <c r="C11" s="15"/>
      <c r="D11" s="15"/>
      <c r="E11" s="15"/>
      <c r="F11" s="15"/>
      <c r="G11" s="15"/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t="14.25" customHeight="1">
      <c r="A12" s="28"/>
      <c r="B12" s="28"/>
      <c r="C12" s="29" t="s">
        <v>53</v>
      </c>
      <c r="D12" s="29" t="s">
        <v>54</v>
      </c>
      <c r="E12" s="29" t="s">
        <v>55</v>
      </c>
      <c r="F12" s="29" t="s">
        <v>49</v>
      </c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t="15.75" customHeight="1">
      <c r="A13" s="30" t="s">
        <v>56</v>
      </c>
      <c r="B13" s="28" t="s">
        <v>57</v>
      </c>
      <c r="C13" s="28">
        <f>COUNTIFS(Results!$E:$E,"&gt;="&amp;$I$2,Results!$E:$E,"&lt;="&amp;$I$3,Results!$L:$L,"Positive",Results!$K:$K,"No", Results!$F:$F,"*tive") + COUNTIFS(Results!$E:$E,"&gt;="&amp;$I$2,Results!$E:$E,"&lt;="&amp;$I$3,Results!$L:$L,"Positive",Results!$K:$K,"On Treatment", Results!$F:$F,"*tive")</f>
        <v>0</v>
      </c>
      <c r="D13" s="28">
        <f>COUNTIFS(Results!$E:$E,"&gt;="&amp;$I$2,Results!$E:$E,"&lt;="&amp;$I$3,Results!$L:$L,"Positive",Results!$K:$K,"Yes", Results!$F:$F,"*tive")</f>
        <v>0</v>
      </c>
      <c r="E13" s="28">
        <f>COUNTIFS(Results!$E:$E,"&gt;="&amp;$I$2,Results!$E:$E,"&lt;="&amp;$I$3,Results!$L:$L,"Positive",Results!$K:$K,"Unknown", Results!$F:$F,"*tive")</f>
        <v>0</v>
      </c>
      <c r="F13" s="28">
        <f>COUNTIFS(Results!$E:$E,"&gt;="&amp;$I$2,Results!$E:$E,"&lt;="&amp;$I$3,Results!$L:$L,"Positive", Results!$F:$F,"*tive", Results!$K:$K,"&lt;&gt;Not on Form", Results!$K:$K,"&lt;&gt;N/A", Results!$L:$L,"&lt;&gt;Not on Form", Results!$L:$L,"&lt;&gt;N/A")</f>
        <v>0</v>
      </c>
      <c r="G13" s="31" t="str">
        <f>IF($F$9=SUM(F13:F15),"","Error! Microscopy result does NOT match, cross check: Missing information in Microscopy Result")</f>
        <v/>
      </c>
      <c r="I13" s="15" t="str">
        <f t="shared" ref="I13:I18" si="1">IF(SUM(C13:E13)=F13,"","Check Total Value &amp; Category")</f>
        <v/>
      </c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t="14.25" customHeight="1">
      <c r="A14" s="32"/>
      <c r="B14" s="28" t="s">
        <v>58</v>
      </c>
      <c r="C14" s="28">
        <f>COUNTIFS(Results!$E:$E,"&gt;="&amp;$I$2,Results!$E:$E,"&lt;="&amp;$I$3,Results!$L:$L,"Negative",Results!$K:$K,"No", Results!$F:$F,"*tive") + COUNTIFS(Results!$E:$E,"&gt;="&amp;$I$2,Results!$E:$E,"&lt;="&amp;$I$3,Results!$L:$L,"Negative",Results!$K:$K,"On Treatment", Results!$F:$F,"*tive")</f>
        <v>0</v>
      </c>
      <c r="D14" s="28">
        <f>COUNTIFS(Results!$E:$E,"&gt;="&amp;$I$2,Results!$E:$E,"&lt;="&amp;$I$3,Results!$L:$L,"Negative",Results!$K:$K,"Yes", Results!$F:$F,"*tive")</f>
        <v>0</v>
      </c>
      <c r="E14" s="28">
        <f>COUNTIFS(Results!$E:$E,"&gt;="&amp;$I$2,Results!$E:$E,"&lt;="&amp;$I$3,Results!$L:$L,"Negative",Results!$K:$K,"Unknown", Results!$F:$F,"*tive")</f>
        <v>0</v>
      </c>
      <c r="F14" s="28">
        <f>COUNTIFS(Results!$E:$E,"&gt;="&amp;$I$2,Results!$E:$E,"&lt;="&amp;$I$3,Results!$L:$L,"Negative", Results!$F:$F,"*tive",Results!$K:$K,"&lt;&gt;Not on Form", Results!$K:$K,"&lt;&gt;N/A", Results!$L:$L,"&lt;&gt;Not on Form", Results!$L:$L,"&lt;&gt;N/A")</f>
        <v>0</v>
      </c>
      <c r="G14" s="33"/>
      <c r="I14" s="15" t="str">
        <f t="shared" si="1"/>
        <v/>
      </c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t="14.25" customHeight="1">
      <c r="A15" s="26"/>
      <c r="B15" s="28" t="s">
        <v>59</v>
      </c>
      <c r="C15" s="28">
        <f>COUNTIFS(Results!$E:$E,"&gt;="&amp;$I$2,Results!$E:$E,"&lt;="&amp;$I$3,Results!$L:$L,"Not Done",Results!$K:$K,"No", Results!$F:$F,"*tive") + COUNTIFS(Results!$E:$E,"&gt;="&amp;$I$2,Results!$E:$E,"&lt;="&amp;$I$3,Results!$L:$L,"Not Done",Results!$K:$K,"On Treatment", Results!$F:$F,"*tive")</f>
        <v>0</v>
      </c>
      <c r="D15" s="28">
        <f>COUNTIFS(Results!$E:$E,"&gt;="&amp;$I$2,Results!$E:$E,"&lt;="&amp;$I$3,Results!$L:$L,"Not Done",Results!$K:$K,"Yes", Results!$F:$F,"*tive")</f>
        <v>0</v>
      </c>
      <c r="E15" s="28">
        <f>COUNTIFS(Results!$E:$E,"&gt;="&amp;$I$2,Results!$E:$E,"&lt;="&amp;$I$3,Results!$L:$L,"Not Done",Results!$K:$K,"Unknown", Results!$F:$F,"*tive")</f>
        <v>0</v>
      </c>
      <c r="F15" s="28">
        <f>COUNTIFS(Results!$E:$E,"&gt;="&amp;$I$2,Results!$E:$E,"&lt;="&amp;$I$3,Results!$L:$L,"Not Done", Results!$F:$F,"*tive", Results!$K:$K,"&lt;&gt;Not on Form", Results!$K:$K,"&lt;&gt;N/A", Results!$L:$L,"&lt;&gt;Not on Form", Results!$L:$L,"&lt;&gt;N/A")</f>
        <v>0</v>
      </c>
      <c r="G15" s="33"/>
      <c r="I15" s="15" t="str">
        <f t="shared" si="1"/>
        <v/>
      </c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t="14.25" customHeight="1">
      <c r="A16" s="25" t="s">
        <v>60</v>
      </c>
      <c r="B16" s="28" t="s">
        <v>61</v>
      </c>
      <c r="C16" s="28">
        <f>COUNTIFS(Results!$E:$E,"&gt;="&amp;$I$2,Results!$E:$E,"&lt;="&amp;$I$3,Results!$F:$F,"Negative",Results!$K:$K,"No") + COUNTIFS(Results!$E:$E,"&gt;="&amp;$I$2,Results!$E:$E,"&lt;="&amp;$I$3,Results!$F:$F,"Negative",Results!$K:$K,"On Treatment")</f>
        <v>0</v>
      </c>
      <c r="D16" s="28">
        <f>COUNTIFS(Results!$E:$E,"&gt;="&amp;$I$2,Results!$E:$E,"&lt;="&amp;$I$3,Results!$F:$F,"Negative",Results!$K:$K,"Yes")</f>
        <v>0</v>
      </c>
      <c r="E16" s="28">
        <f>COUNTIFS(Results!$E:$E,"&gt;="&amp;$I$2,Results!$E:$E,"&lt;="&amp;$I$3,Results!$F:$F,"Negative",Results!$K:$K,"Unknown")</f>
        <v>0</v>
      </c>
      <c r="F16" s="28">
        <f>COUNTIFS(Results!$E:$E,"&gt;="&amp;$I$2,Results!$E:$E,"&lt;="&amp;$I$3,Results!$F:$F,"Negative", Results!$K:$K,"&lt;&gt;Not on Form", Results!$K:$K,"&lt;&gt;N/A")</f>
        <v>0</v>
      </c>
      <c r="G16" s="31" t="str">
        <f>IF($F$9=SUM(F16:F20),"","Error! Cross information between Xpert result and treatment category are not match; possibly there will be Erorr or missing information on MTB result OR RIF result")</f>
        <v/>
      </c>
      <c r="I16" s="15" t="str">
        <f t="shared" si="1"/>
        <v/>
      </c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t="14.25" customHeight="1">
      <c r="A17" s="32"/>
      <c r="B17" s="28" t="s">
        <v>62</v>
      </c>
      <c r="C17" s="28">
        <f>COUNTIFS(Results!$E:$E,"&gt;="&amp;$I$2,Results!$E:$E,"&lt;="&amp;$I$3,Results!$F:$F,"Positive",Results!$G:$G,"Negative",Results!$K:$K,"No") + COUNTIFS(Results!$E:$E,"&gt;="&amp;$I$2,Results!$E:$E,"&lt;="&amp;$I$3,Results!$F:$F,"Positive",Results!$G:$G,"Negative",Results!$K:$K,"On Treatment")</f>
        <v>0</v>
      </c>
      <c r="D17" s="28">
        <f>COUNTIFS(Results!$E:$E,"&gt;="&amp;$I$2,Results!$E:$E,"&lt;="&amp;$I$3,Results!$F:$F,"Positive",Results!$G:$G,"Negative",Results!$K:$K,"Yes")</f>
        <v>0</v>
      </c>
      <c r="E17" s="28">
        <f>COUNTIFS(Results!$E:$E,"&gt;="&amp;$I$2,Results!$E:$E,"&lt;="&amp;$I$3,Results!$F:$F,"Positive",Results!$G:$G,"Negative",Results!$K:$K,"Unknown")</f>
        <v>0</v>
      </c>
      <c r="F17" s="28">
        <f>COUNTIFS(Results!$E:$E,"&gt;="&amp;$I$2,Results!$E:$E,"&lt;="&amp;$I$3,Results!$F:$F,"Positive",Results!$G:$G,"Negative", Results!$K:$K,"&lt;&gt;Not on Form", Results!$K:$K,"&lt;&gt;N/A")</f>
        <v>0</v>
      </c>
      <c r="G17" s="33"/>
      <c r="I17" s="15" t="str">
        <f t="shared" si="1"/>
        <v/>
      </c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t="14.25" customHeight="1">
      <c r="A18" s="32"/>
      <c r="B18" s="28" t="s">
        <v>63</v>
      </c>
      <c r="C18" s="28">
        <f>COUNTIFS(Results!$E:$E,"&gt;="&amp;$I$2,Results!$E:$E,"&lt;="&amp;$I$3,Results!$F:$F,"Positive",Results!$G:$G,"Positive",Results!$K:$K,"No") + COUNTIFS(Results!$E:$E,"&gt;="&amp;$I$2,Results!$E:$E,"&lt;="&amp;$I$3,Results!$F:$F,"Positive",Results!$G:$G,"Positive",Results!$K:$K,"On Treatment")</f>
        <v>0</v>
      </c>
      <c r="D18" s="28">
        <f>COUNTIFS(Results!$E:$E,"&gt;="&amp;$I$2,Results!$E:$E,"&lt;="&amp;$I$3,Results!$F:$F,"Positive",Results!$G:$G,"Positive",Results!$K:$K,"Yes")</f>
        <v>0</v>
      </c>
      <c r="E18" s="28">
        <f>COUNTIFS(Results!$E:$E,"&gt;="&amp;$I$2,Results!$E:$E,"&lt;="&amp;$I$3,Results!$F:$F,"Positive",Results!$G:$G,"Positive",Results!$K:$K,"Unknown")</f>
        <v>0</v>
      </c>
      <c r="F18" s="28">
        <f>COUNTIFS(Results!$E:$E,"&gt;="&amp;$I$2,Results!$E:$E,"&lt;="&amp;$I$3,Results!$F:$F,"Positive",Results!$G:$G,"Positive", Results!$K:$K,"&lt;&gt;Not on Form", Results!$K:$K,"&lt;&gt;N/A")</f>
        <v>0</v>
      </c>
      <c r="G18" s="33"/>
      <c r="I18" s="15" t="str">
        <f t="shared" si="1"/>
        <v/>
      </c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t="14.25" customHeight="1">
      <c r="A19" s="32"/>
      <c r="B19" s="28" t="s">
        <v>64</v>
      </c>
      <c r="C19" s="28">
        <f>COUNTIFS(Results!$E:$E,"&gt;="&amp;$I$2,Results!$E:$E,"&lt;="&amp;$I$3,Results!$F:$F,"Positive",Results!$G:$G,"Indeterminate",Results!$K:$K,"No") + COUNTIFS(Results!$E:$E,"&gt;="&amp;$I$2,Results!$E:$E,"&lt;="&amp;$I$3,Results!$F:$F,"Positive",Results!$G:$G,"Indeterminate",Results!$K:$K,"On Treatment")</f>
        <v>0</v>
      </c>
      <c r="D19" s="28">
        <f>COUNTIFS(Results!$E:$E,"&gt;="&amp;$I$2,Results!$E:$E,"&lt;="&amp;$I$3,Results!$F:$F,"Positive",Results!$G:$G,"Indeterminate",Results!$K:$K,"Yes")</f>
        <v>0</v>
      </c>
      <c r="E19" s="28">
        <f>COUNTIFS(Results!$E:$E,"&gt;="&amp;$I$2,Results!$E:$E,"&lt;="&amp;$I$3,Results!$F:$F,"Positive",Results!$G:$G,"Indeterminate",Results!$K:$K,"Unknown")</f>
        <v>0</v>
      </c>
      <c r="F19" s="28">
        <f>COUNTIFS(Results!$E:$E,"&gt;="&amp;$I$2,Results!$E:$E,"&lt;="&amp;$I$3,Results!$F:$F,"Positive",Results!$G:$G,"Indeterminate", Results!$K:$K,"&lt;&gt;Not on Form", Results!$K:$K,"&lt;&gt;N/A")</f>
        <v>0</v>
      </c>
      <c r="G19" s="33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t="14.25" customHeight="1">
      <c r="A20" s="26"/>
      <c r="B20" s="28" t="s">
        <v>65</v>
      </c>
      <c r="C20" s="28">
        <f>COUNTIFS(Results!$E:$E,"&gt;="&amp;$I$2,Results!$E:$E,"&lt;="&amp;$I$3,Results!$F:$F,"Trace",Results!$G:$G,"Indeterminate",Results!$K:$K,"No") + COUNTIFS(Results!$E:$E,"&gt;="&amp;$I$2,Results!$E:$E,"&lt;="&amp;$I$3,Results!$F:$F,"Trace",Results!$G:$G,"Indeterminate",Results!$K:$K,"On Treatment")</f>
        <v>0</v>
      </c>
      <c r="D20" s="28">
        <f>COUNTIFS(Results!$E:$E,"&gt;="&amp;$I$2,Results!$E:$E,"&lt;="&amp;$I$3,Results!$F:$F,"Trace",Results!$G:$G,"Indeterminate",Results!$K:$K,"Yes")</f>
        <v>0</v>
      </c>
      <c r="E20" s="28">
        <f>COUNTIFS(Results!$E:$E,"&gt;="&amp;$I$2,Results!$E:$E,"&lt;="&amp;$I$3,Results!$F:$F,"Trace",Results!$G:$G,"Indeterminate",Results!$K:$K,"Unknown")</f>
        <v>0</v>
      </c>
      <c r="F20" s="28">
        <f>COUNTIFS(Results!$E:$E,"&gt;="&amp;$I$2,Results!$E:$E,"&lt;="&amp;$I$3,Results!$F:$F,"Trace",Results!$G:$G,"Indeterminate", Results!$K:$K,"&lt;&gt;Not on Form", Results!$K:$K,"&lt;&gt;N/A")</f>
        <v>0</v>
      </c>
      <c r="G20" s="33"/>
      <c r="I20" s="15" t="str">
        <f>IF(SUM(C20:E20)=F20,"","Check Total Value &amp; Category")</f>
        <v/>
      </c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t="14.25" customHeight="1">
      <c r="A21" s="15"/>
      <c r="B21" s="15"/>
      <c r="C21" s="15"/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t="14.25" customHeight="1">
      <c r="A22" s="15" t="s">
        <v>66</v>
      </c>
      <c r="B22" s="15"/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t="14.25" customHeight="1">
      <c r="A23" s="28"/>
      <c r="B23" s="28"/>
      <c r="C23" s="34" t="s">
        <v>67</v>
      </c>
      <c r="D23" s="34" t="s">
        <v>68</v>
      </c>
      <c r="E23" s="27" t="s">
        <v>55</v>
      </c>
      <c r="F23" s="27" t="s">
        <v>49</v>
      </c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t="15.75" hidden="1" customHeight="1">
      <c r="A24" s="30" t="s">
        <v>56</v>
      </c>
      <c r="B24" s="28" t="s">
        <v>57</v>
      </c>
      <c r="C24" s="28">
        <f>COUNTIFS(Results!$E:$E,"&gt;="&amp;$I$2,Results!$E:$E,"&lt;="&amp;$I$3,Results!$L:$L,"Positive",Results!$H:$H,"Positive", Results!$F:$F,"*tive")</f>
        <v>0</v>
      </c>
      <c r="D24" s="28">
        <f>COUNTIFS(Results!$E:$E,"&gt;="&amp;$I$2,Results!$E:$E,"&lt;="&amp;$I$3,Results!$L:$L,"Positive",Results!$H:$H,"Negative", Results!$F:$F,"*tive")</f>
        <v>0</v>
      </c>
      <c r="E24" s="28">
        <f>COUNTIFS(Results!$E:$E,"&gt;="&amp;$I$2,Results!$E:$E,"&lt;="&amp;$I$3,Results!$L:$L,"Positive",Results!$H:$H,"Unknown", Results!$F:$F,"*tive")</f>
        <v>0</v>
      </c>
      <c r="F24" s="28">
        <f>COUNTIFS(Results!$E:$E,"&gt;="&amp;$I$2,Results!$E:$E,"&lt;="&amp;$I$3,Results!$L:$L,"Positive", Results!$F:$F,"*tive", Results!$H:$H,"&lt;&gt;Not on Form", Results!$H:$H,"&lt;&gt;N/A", Results!$L:$L,"&lt;&gt;Not on Form", Results!$L:$L,"&lt;&gt;N/A")</f>
        <v>0</v>
      </c>
      <c r="G24" s="31" t="str">
        <f>IF($F$9=SUM(F24:F26),"","Error! Microscope Result and HIV Status do NOT match; Crosscheck for missing information in Microscope Result OR HIV Status")</f>
        <v/>
      </c>
      <c r="I24" s="15" t="str">
        <f t="shared" ref="I24:I29" si="2">IF(SUM(C24:E24)=F24,"","Check Total Value &amp; Category")</f>
        <v/>
      </c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t="14.25" hidden="1" customHeight="1">
      <c r="A25" s="32"/>
      <c r="B25" s="28" t="s">
        <v>58</v>
      </c>
      <c r="C25" s="28">
        <f>COUNTIFS(Results!$E:$E,"&gt;="&amp;$I$2,Results!$E:$E,"&lt;="&amp;$I$3,Results!$L:$L,"Negative",Results!$H:$H,"Positive", Results!$F:$F,"*tive")</f>
        <v>0</v>
      </c>
      <c r="D25" s="28">
        <f>COUNTIFS(Results!$E:$E,"&gt;="&amp;$I$2,Results!$E:$E,"&lt;="&amp;$I$3,Results!$L:$L,"Negative",Results!$H:$H,"Negative", Results!$F:$F,"*tive")</f>
        <v>0</v>
      </c>
      <c r="E25" s="28">
        <f>COUNTIFS(Results!$E:$E,"&gt;="&amp;$I$2,Results!$E:$E,"&lt;="&amp;$I$3,Results!$L:$L,"Negative",Results!$H:$H,"Unknown", Results!$F:$F,"*tive")</f>
        <v>0</v>
      </c>
      <c r="F25" s="28">
        <f>COUNTIFS(Results!$E:$E,"&gt;="&amp;$I$2,Results!$E:$E,"&lt;="&amp;$I$3,Results!$L:$L,"Negative", Results!$F:$F,"*tive",  Results!$H:$H,"&lt;&gt;Not on Form", Results!$H:$H,"&lt;&gt;N/A", Results!$L:$L,"&lt;&gt;Not on Form", Results!$L:$L,"&lt;&gt;N/A")</f>
        <v>0</v>
      </c>
      <c r="G25" s="33"/>
      <c r="I25" s="15" t="str">
        <f t="shared" si="2"/>
        <v/>
      </c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t="14.25" hidden="1" customHeight="1">
      <c r="A26" s="26"/>
      <c r="B26" s="28" t="s">
        <v>59</v>
      </c>
      <c r="C26" s="28">
        <f>COUNTIFS(Results!$E:$E,"&gt;="&amp;$I$2,Results!$E:$E,"&lt;="&amp;$I$3,Results!$L:$L,"Not Done",Results!$H:$H,"Positive", Results!$F:$F,"*tive")</f>
        <v>0</v>
      </c>
      <c r="D26" s="28">
        <f>COUNTIFS(Results!$E:$E,"&gt;="&amp;$I$2,Results!$E:$E,"&lt;="&amp;$I$3,Results!$L:$L,"Not Done",Results!$H:$H,"Negative", Results!$F:$F,"*tive")</f>
        <v>0</v>
      </c>
      <c r="E26" s="28">
        <f>COUNTIFS(Results!$E:$E,"&gt;="&amp;$I$2,Results!$E:$E,"&lt;="&amp;$I$3,Results!$L:$L,"Not Done",Results!$H:$H,"Unknown", Results!$F:$F,"*tive")</f>
        <v>0</v>
      </c>
      <c r="F26" s="28">
        <f>COUNTIFS(Results!$E:$E,"&gt;="&amp;$I$2,Results!$E:$E,"&lt;="&amp;$I$3,Results!$L:$L,"Not Done",Results!$F:$F,"*tive",  Results!$H:$H,"&lt;&gt;Not on Form", Results!$H:$H,"&lt;&gt;N/A", Results!$L:$L,"&lt;&gt;Not on Form", Results!$L:$L,"&lt;&gt;N/A")</f>
        <v>0</v>
      </c>
      <c r="G26" s="33"/>
      <c r="I26" s="15" t="str">
        <f t="shared" si="2"/>
        <v/>
      </c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t="14.25" customHeight="1">
      <c r="A27" s="25" t="s">
        <v>60</v>
      </c>
      <c r="B27" s="28" t="s">
        <v>61</v>
      </c>
      <c r="C27" s="28">
        <f>COUNTIFS(Results!$E:$E,"&gt;="&amp;$I$2,Results!$E:$E,"&lt;="&amp;$I$3,Results!$F:$F,"Negative",Results!$H:$H,"Positive")</f>
        <v>0</v>
      </c>
      <c r="D27" s="28">
        <f>COUNTIFS(Results!$E:$E,"&gt;="&amp;$I$2,Results!$E:$E,"&lt;="&amp;$I$3,Results!$F:$F,"Negative",Results!$H:$H,"Negative")</f>
        <v>0</v>
      </c>
      <c r="E27" s="28">
        <f>COUNTIFS(Results!$E:$E,"&gt;="&amp;$I$2,Results!$E:$E,"&lt;="&amp;$I$3,Results!$F:$F,"Negative",Results!$H:$H,"Unknown")</f>
        <v>0</v>
      </c>
      <c r="F27" s="28">
        <f>COUNTIFS(Results!$E:$E,"&gt;="&amp;$I$2,Results!$E:$E,"&lt;="&amp;$I$3,Results!$F:$F,"Negative", Results!$H:$H,"&lt;&gt;Not on Form", Results!$H:$H,"&lt;&gt;N/A")</f>
        <v>0</v>
      </c>
      <c r="G27" s="31" t="str">
        <f>IF($F$9=SUM(F27:F31),"","Error! Cross information between Xpert result and HIV Status are not match; possibly there will be Erorr or missing information on MTB result OR HIV Status")</f>
        <v/>
      </c>
      <c r="I27" s="15" t="str">
        <f t="shared" si="2"/>
        <v/>
      </c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t="14.25" customHeight="1">
      <c r="A28" s="32"/>
      <c r="B28" s="28" t="s">
        <v>62</v>
      </c>
      <c r="C28" s="28">
        <f>COUNTIFS(Results!$E:$E,"&gt;="&amp;$I$2,Results!$E:$E,"&lt;="&amp;$I$3,Results!$F:$F,"Positive",Results!$G:$G,"Negative",Results!$H:$H,"Positive")</f>
        <v>0</v>
      </c>
      <c r="D28" s="28">
        <f>COUNTIFS(Results!$E:$E,"&gt;="&amp;$I$2,Results!$E:$E,"&lt;="&amp;$I$3,Results!$F:$F,"Positive",Results!$G:$G,"Negative",Results!$H:$H,"Negative")</f>
        <v>0</v>
      </c>
      <c r="E28" s="28">
        <f>COUNTIFS(Results!$E:$E,"&gt;="&amp;$I$2,Results!$E:$E,"&lt;="&amp;$I$3,Results!$F:$F,"Positive",Results!$G:$G,"Negative",Results!$H:$H,"Unknown")</f>
        <v>0</v>
      </c>
      <c r="F28" s="28">
        <f>COUNTIFS(Results!$E:$E,"&gt;="&amp;$I$2,Results!$E:$E,"&lt;="&amp;$I$3,Results!$F:$F,"Positive",Results!$G:$G,"Negative", Results!$H:$H,"&lt;&gt;Not on Form", Results!$H:$H,"&lt;&gt;N/A")</f>
        <v>0</v>
      </c>
      <c r="G28" s="33"/>
      <c r="I28" s="15" t="str">
        <f t="shared" si="2"/>
        <v/>
      </c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t="14.25" customHeight="1">
      <c r="A29" s="32"/>
      <c r="B29" s="28" t="s">
        <v>63</v>
      </c>
      <c r="C29" s="28">
        <f>COUNTIFS(Results!$E:$E,"&gt;="&amp;$I$2,Results!$E:$E,"&lt;="&amp;$I$3,Results!$F:$F,"Positive",Results!$G:$G,"Positive",Results!$H:$H,"Positive")</f>
        <v>0</v>
      </c>
      <c r="D29" s="28">
        <f>COUNTIFS(Results!$E:$E,"&gt;="&amp;$I$2,Results!$E:$E,"&lt;="&amp;$I$3,Results!$F:$F,"Positive",Results!$G:$G,"Positive",Results!$H:$H,"Negative")</f>
        <v>0</v>
      </c>
      <c r="E29" s="28">
        <f>COUNTIFS(Results!$E:$E,"&gt;="&amp;$I$2,Results!$E:$E,"&lt;="&amp;$I$3,Results!$F:$F,"Positive",Results!$G:$G,"Positive",Results!$H:$H,"Unknown")</f>
        <v>0</v>
      </c>
      <c r="F29" s="28">
        <f>COUNTIFS(Results!$E:$E,"&gt;="&amp;$I$2,Results!$E:$E,"&lt;="&amp;$I$3,Results!$F:$F,"Positive",Results!$G:$G,"Positive", Results!$H:$H,"&lt;&gt;Not on Form", Results!$H:$H,"&lt;&gt;N/A")</f>
        <v>0</v>
      </c>
      <c r="G29" s="33"/>
      <c r="I29" s="15" t="str">
        <f t="shared" si="2"/>
        <v/>
      </c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t="14.25" customHeight="1">
      <c r="A30" s="32"/>
      <c r="B30" s="28" t="s">
        <v>64</v>
      </c>
      <c r="C30" s="28">
        <f>COUNTIFS(Results!$E:$E,"&gt;="&amp;$I$2,Results!$E:$E,"&lt;="&amp;$I$3,Results!$F:$F,"Positive",Results!$G:$G,"Indeterminate",Results!$H:$H,"Positive")</f>
        <v>0</v>
      </c>
      <c r="D30" s="28">
        <f>COUNTIFS(Results!$E:$E,"&gt;="&amp;$I$2,Results!$E:$E,"&lt;="&amp;$I$3,Results!$F:$F,"Positive",Results!$G:$G,"Indeterminate",Results!$H:$H,"Negative")</f>
        <v>0</v>
      </c>
      <c r="E30" s="28">
        <f>COUNTIFS(Results!$E:$E,"&gt;="&amp;$I$2,Results!$E:$E,"&lt;="&amp;$I$3,Results!$F:$F,"Positive",Results!$G:$G,"Indeterminate",Results!$H:$H,"Unknown")</f>
        <v>0</v>
      </c>
      <c r="F30" s="28">
        <f>COUNTIFS(Results!$E:$E,"&gt;="&amp;$I$2,Results!$E:$E,"&lt;="&amp;$I$3,Results!$F:$F,"Positive",Results!$G:$G,"Indeterminate", Results!$H:$H,"&lt;&gt;Not on Form", Results!$H:$H,"&lt;&gt;N/A")</f>
        <v>0</v>
      </c>
      <c r="G30" s="33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t="14.25" customHeight="1">
      <c r="A31" s="26"/>
      <c r="B31" s="28" t="s">
        <v>65</v>
      </c>
      <c r="C31" s="28">
        <f>COUNTIFS(Results!$E:$E,"&gt;="&amp;$I$2,Results!$E:$E,"&lt;="&amp;$I$3,Results!$F:$F,"Trace",Results!$G:$G,"Indeterminate",Results!$H:$H,"Positive")</f>
        <v>0</v>
      </c>
      <c r="D31" s="28">
        <f>COUNTIFS(Results!$E:$E,"&gt;="&amp;$I$2,Results!$E:$E,"&lt;="&amp;$I$3,Results!$F:$F,"Trace",Results!$G:$G,"Indeterminate",Results!$H:$H,"Negative")</f>
        <v>0</v>
      </c>
      <c r="E31" s="28">
        <f>COUNTIFS(Results!$E:$E,"&gt;="&amp;$I$2,Results!$E:$E,"&lt;="&amp;$I$3,Results!$F:$F,"Trace",Results!$G:$G,"Indeterminate",Results!$H:$H,"Unknown")</f>
        <v>0</v>
      </c>
      <c r="F31" s="28">
        <f>COUNTIFS(Results!$E:$E,"&gt;="&amp;$I$2,Results!$E:$E,"&lt;="&amp;$I$3,Results!$F:$F,"Trace",Results!$G:$G,"Indeterminate", Results!$H:$H,"&lt;&gt;Not on Form", Results!$H:$H,"&lt;&gt;N/A")</f>
        <v>0</v>
      </c>
      <c r="G31" s="33"/>
      <c r="I31" s="15" t="str">
        <f>IF(SUM(C31:E31)=F31,"","Check Total Value &amp; Category")</f>
        <v/>
      </c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t="14.25" customHeight="1">
      <c r="A32" s="15"/>
      <c r="B32" s="15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t="14.25" customHeight="1">
      <c r="A33" s="35" t="s">
        <v>69</v>
      </c>
      <c r="B33" s="36"/>
      <c r="C33" s="36"/>
      <c r="D33" s="36"/>
      <c r="E33" s="36"/>
      <c r="F33" s="36"/>
      <c r="G33" s="36"/>
      <c r="H33" s="36"/>
      <c r="I33" s="36"/>
      <c r="J33" s="36"/>
      <c r="K33" s="36"/>
      <c r="L33" s="36"/>
      <c r="M33" s="36"/>
      <c r="N33" s="36"/>
      <c r="O33" s="36"/>
      <c r="P33" s="36"/>
      <c r="Q33" s="36"/>
      <c r="R33" s="36"/>
      <c r="S33" s="36"/>
      <c r="T33" s="36"/>
      <c r="U33" s="36"/>
      <c r="V33" s="36"/>
      <c r="W33" s="36"/>
      <c r="X33" s="36"/>
      <c r="Y33" s="36"/>
      <c r="Z33" s="36"/>
    </row>
    <row r="34" ht="14.25" customHeight="1">
      <c r="A34" s="37"/>
      <c r="B34" s="37"/>
      <c r="C34" s="38" t="s">
        <v>70</v>
      </c>
      <c r="D34" s="38" t="s">
        <v>71</v>
      </c>
      <c r="E34" s="38" t="s">
        <v>72</v>
      </c>
      <c r="F34" s="38" t="s">
        <v>73</v>
      </c>
      <c r="G34" s="38" t="s">
        <v>74</v>
      </c>
      <c r="H34" s="39" t="s">
        <v>49</v>
      </c>
      <c r="I34" s="40"/>
      <c r="J34" s="40"/>
      <c r="K34" s="40"/>
      <c r="L34" s="40"/>
      <c r="M34" s="40"/>
      <c r="N34" s="40"/>
      <c r="O34" s="40"/>
      <c r="P34" s="40"/>
      <c r="Q34" s="40"/>
      <c r="R34" s="40"/>
      <c r="S34" s="40"/>
      <c r="T34" s="40"/>
      <c r="U34" s="40"/>
      <c r="V34" s="40"/>
      <c r="W34" s="40"/>
      <c r="X34" s="40"/>
      <c r="Y34" s="40"/>
      <c r="Z34" s="40"/>
    </row>
    <row r="35" ht="14.25" customHeight="1">
      <c r="A35" s="41" t="s">
        <v>60</v>
      </c>
      <c r="B35" s="42" t="s">
        <v>61</v>
      </c>
      <c r="C35" s="43">
        <f>COUNTIFS(Results!$E:$E,"&gt;="&amp;$I$2,Results!$E:$E,"&lt;="&amp;$I$3,Results!$F:$F,"Negative",Results!$S:$S,"*DX*")</f>
        <v>0</v>
      </c>
      <c r="D35" s="43">
        <f>COUNTIFS(Results!$E:$E,"&gt;="&amp;$I$2,Results!$E:$E,"&lt;="&amp;$I$3,Results!$F:$F,"Negative",Results!$S:$S,"*fu*")</f>
        <v>0</v>
      </c>
      <c r="E35" s="43">
        <f>COUNTIFS(Results!$E:$E,"&gt;="&amp;$I$2,Results!$E:$E,"&lt;="&amp;$I$3,Results!$F:$F,"Negative",Results!$S:$S,"*mdr*")</f>
        <v>0</v>
      </c>
      <c r="F35" s="43">
        <f>COUNTIFS(Results!$E:$E,"&gt;="&amp;$I$2,Results!$E:$E,"&lt;="&amp;$I$3,Results!$F:$F,"Negative",Results!$S:$S,"*dm*")</f>
        <v>0</v>
      </c>
      <c r="G35" s="43">
        <f>COUNTIFS(Results!$E:$E,"&gt;="&amp;$I$2,Results!$E:$E,"&lt;="&amp;$I$3,Results!$F:$F,"Negative",Results!$S:$S,"*na*")</f>
        <v>0</v>
      </c>
      <c r="H35" s="43">
        <f>COUNTIFS(Results!$E:$E,"&gt;="&amp;$I$2,Results!$E:$E,"&lt;="&amp;$I$3,Results!$F:$F,"Negative", Results!$O:$O,"&lt;&gt;Not on Form", Results!$O:$O,"&lt;&gt;N/A")</f>
        <v>0</v>
      </c>
      <c r="I35" s="40"/>
      <c r="J35" s="40"/>
      <c r="K35" s="40"/>
      <c r="L35" s="40"/>
      <c r="M35" s="40"/>
      <c r="N35" s="40"/>
      <c r="O35" s="40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</row>
    <row r="36" ht="14.25" customHeight="1">
      <c r="A36" s="32"/>
      <c r="B36" s="42" t="s">
        <v>62</v>
      </c>
      <c r="C36" s="43">
        <f>COUNTIFS(Results!$E:$E,"&gt;="&amp;$I$2,Results!$E:$E,"&lt;="&amp;$I$3,Results!$F:$F,"Positive",Results!$G:$G,"Negative",Results!$S:$S,"*DX*")</f>
        <v>0</v>
      </c>
      <c r="D36" s="43">
        <f>COUNTIFS(Results!$E:$E,"&gt;="&amp;$I$2,Results!$E:$E,"&lt;="&amp;$I$3,Results!$F:$F,"Positive",Results!$G:$G,"Negative",Results!$S:$S,"*fu*")</f>
        <v>0</v>
      </c>
      <c r="E36" s="43">
        <f>COUNTIFS(Results!$E:$E,"&gt;="&amp;$I$2,Results!$E:$E,"&lt;="&amp;$I$3,Results!$F:$F,"Positive",Results!$G:$G,"Negative",Results!$S:$S,"*mdr*")</f>
        <v>0</v>
      </c>
      <c r="F36" s="43">
        <f>COUNTIFS(Results!$E:$E,"&gt;="&amp;$I$2,Results!$E:$E,"&lt;="&amp;$I$3,Results!$F:$F,"Positive",Results!$G:$G,"Negative",Results!$S:$S,"*Dm*")</f>
        <v>0</v>
      </c>
      <c r="G36" s="43">
        <f>COUNTIFS(Results!$E:$E,"&gt;="&amp;$I$2,Results!$E:$E,"&lt;="&amp;$I$3,Results!$F:$F,"Positive",Results!$G:$G,"Negative",Results!$S:$S,"*na*")</f>
        <v>0</v>
      </c>
      <c r="H36" s="43">
        <f>COUNTIFS(Results!$E:$E,"&gt;="&amp;$I$2,Results!$E:$E,"&lt;="&amp;$I$3,Results!$F:$F,"Positive",Results!$G:$G,"Negative", Results!$O:$O,"&lt;&gt;Not on Form", Results!$O:$O,"&lt;&gt;N/A")</f>
        <v>0</v>
      </c>
      <c r="I36" s="40"/>
      <c r="J36" s="40"/>
      <c r="K36" s="40"/>
      <c r="L36" s="40"/>
      <c r="M36" s="40"/>
      <c r="N36" s="40"/>
      <c r="O36" s="40"/>
      <c r="P36" s="40"/>
      <c r="Q36" s="40"/>
      <c r="R36" s="40"/>
      <c r="S36" s="40"/>
      <c r="T36" s="40"/>
      <c r="U36" s="40"/>
      <c r="V36" s="40"/>
      <c r="W36" s="40"/>
      <c r="X36" s="40"/>
      <c r="Y36" s="40"/>
      <c r="Z36" s="40"/>
    </row>
    <row r="37" ht="14.25" customHeight="1">
      <c r="A37" s="32"/>
      <c r="B37" s="42" t="s">
        <v>63</v>
      </c>
      <c r="C37" s="43">
        <f>COUNTIFS(Results!$E:$E,"&gt;="&amp;$I$2,Results!$E:$E,"&lt;="&amp;$I$3,Results!$F:$F,"Positive",Results!$G:$G,"Positive",Results!$S:$S,"*DX*")</f>
        <v>0</v>
      </c>
      <c r="D37" s="43">
        <f>COUNTIFS(Results!$E:$E,"&gt;="&amp;$I$2,Results!$E:$E,"&lt;="&amp;$I$3,Results!$F:$F,"Positive",Results!$G:$G,"Positive",Results!$S:$S,"*fu*")</f>
        <v>0</v>
      </c>
      <c r="E37" s="43">
        <f>COUNTIFS(Results!$E:$E,"&gt;="&amp;$I$2,Results!$E:$E,"&lt;="&amp;$I$3,Results!$F:$F,"Positive",Results!$G:$G,"Positive",Results!$S:$S,"*mdr*")</f>
        <v>0</v>
      </c>
      <c r="F37" s="43">
        <f>COUNTIFS(Results!$E:$E,"&gt;="&amp;$I$2,Results!$E:$E,"&lt;="&amp;$I$3,Results!$F:$F,"Positive",Results!$G:$G,"Positive",Results!$S:$S,"*dm*")</f>
        <v>0</v>
      </c>
      <c r="G37" s="43">
        <f>COUNTIFS(Results!$E:$E,"&gt;="&amp;$I$2,Results!$E:$E,"&lt;="&amp;$I$3,Results!$F:$F,"Positive",Results!$G:$G,"Positive",Results!$S:$S,"*na*")</f>
        <v>0</v>
      </c>
      <c r="H37" s="43">
        <f>COUNTIFS(Results!$E:$E,"&gt;="&amp;$I$2,Results!$E:$E,"&lt;="&amp;$I$3,Results!$F:$F,"Positive",Results!$G:$G,"Positive", Results!$O:$O,"&lt;&gt;Not on Form", Results!$O:$O,"&lt;&gt;N/A")</f>
        <v>0</v>
      </c>
      <c r="I37" s="40"/>
      <c r="J37" s="40"/>
      <c r="K37" s="40"/>
      <c r="L37" s="40"/>
      <c r="M37" s="40"/>
      <c r="N37" s="40"/>
      <c r="O37" s="40"/>
      <c r="P37" s="40"/>
      <c r="Q37" s="40"/>
      <c r="R37" s="40"/>
      <c r="S37" s="40"/>
      <c r="T37" s="40"/>
      <c r="U37" s="40"/>
      <c r="V37" s="40"/>
      <c r="W37" s="40"/>
      <c r="X37" s="40"/>
      <c r="Y37" s="40"/>
      <c r="Z37" s="40"/>
    </row>
    <row r="38" ht="14.25" customHeight="1">
      <c r="A38" s="32"/>
      <c r="B38" s="42" t="s">
        <v>64</v>
      </c>
      <c r="C38" s="43">
        <f>COUNTIFS(Results!$E:$E,"&gt;="&amp;$I$2,Results!$E:$E,"&lt;="&amp;$I$3,Results!$F:$F,"Positive",Results!$G:$G,"Indeterminate",Results!$S:$S,"*DX*")</f>
        <v>0</v>
      </c>
      <c r="D38" s="43">
        <f>COUNTIFS(Results!$E:$E,"&gt;="&amp;$I$2,Results!$E:$E,"&lt;="&amp;$I$3,Results!$F:$F,"Positive",Results!$G:$G,"Indeterminate",Results!$S:$S,"*fu*")</f>
        <v>0</v>
      </c>
      <c r="E38" s="43">
        <f>COUNTIFS(Results!$E:$E,"&gt;="&amp;$I$2,Results!$E:$E,"&lt;="&amp;$I$3,Results!$F:$F,"Positive",Results!$G:$G,"Indeterminate",Results!$S:$S,"*mdr*")</f>
        <v>0</v>
      </c>
      <c r="F38" s="43">
        <f>COUNTIFS(Results!$E:$E,"&gt;="&amp;$I$2,Results!$E:$E,"&lt;="&amp;$I$3,Results!$F:$F,"Positive",Results!$G:$G,"Indeterminate",Results!$S:$S,"*dm*")</f>
        <v>0</v>
      </c>
      <c r="G38" s="43">
        <f>COUNTIFS(Results!$E:$E,"&gt;="&amp;$I$2,Results!$E:$E,"&lt;="&amp;$I$3,Results!$F:$F,"Positive",Results!$G:$G,"Indeterminate",Results!$S:$S,"*na*")</f>
        <v>0</v>
      </c>
      <c r="H38" s="43">
        <f>COUNTIFS(Results!$E:$E,"&gt;="&amp;$I$2,Results!$E:$E,"&lt;="&amp;$I$3,Results!$F:$F,"Positive",Results!$G:$G,"Indeterminate", Results!$O:$O,"&lt;&gt;Not on Form", Results!$O:$O,"&lt;&gt;N/A")</f>
        <v>0</v>
      </c>
      <c r="I38" s="40"/>
      <c r="J38" s="40"/>
      <c r="K38" s="40"/>
      <c r="L38" s="40"/>
      <c r="M38" s="40"/>
      <c r="N38" s="40"/>
      <c r="O38" s="40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</row>
    <row r="39" ht="14.25" customHeight="1">
      <c r="A39" s="26"/>
      <c r="B39" s="42" t="s">
        <v>75</v>
      </c>
      <c r="C39" s="43">
        <f>COUNTIFS(Results!$E:$E,"&gt;="&amp;$I$2,Results!$E:$E,"&lt;="&amp;$I$3,Results!$F:$F,"Trace",Results!$G:$G,"Indeterminate",Results!$S:$S,"*DX*")</f>
        <v>0</v>
      </c>
      <c r="D39" s="43">
        <f>COUNTIFS(Results!$E:$E,"&gt;="&amp;$I$2,Results!$E:$E,"&lt;="&amp;$I$3,Results!$F:$F,"Trace",Results!$G:$G,"Indeterminate",Results!$S:$S,"*fu*")</f>
        <v>0</v>
      </c>
      <c r="E39" s="43">
        <f>COUNTIFS(Results!$E:$E,"&gt;="&amp;$I$2,Results!$E:$E,"&lt;="&amp;$I$3,Results!$F:$F,"Trace",Results!$G:$G,"Indeterminate",Results!$S:$S,"*mdr*")</f>
        <v>0</v>
      </c>
      <c r="F39" s="43">
        <f>COUNTIFS(Results!$E:$E,"&gt;="&amp;$I$2,Results!$E:$E,"&lt;="&amp;$I$3,Results!$F:$F,"Trace",Results!$G:$G,"Indeterminate",Results!$S:$S,"*dm*")</f>
        <v>0</v>
      </c>
      <c r="G39" s="43">
        <f>COUNTIFS(Results!$E:$E,"&gt;="&amp;$I$2,Results!$E:$E,"&lt;="&amp;$I$3,Results!$F:$F,"Trace",Results!$G:$G,"Indeterminate",Results!$S:$S,"*na*")</f>
        <v>0</v>
      </c>
      <c r="H39" s="43">
        <f>COUNTIFS(Results!$E:$E,"&gt;="&amp;$I$2,Results!$E:$E,"&lt;="&amp;$I$3,Results!$F:$F,"Trace",Results!$G:$G,"Indeterminate", Results!$O:$O,"&lt;&gt;Not on Form", Results!$O:$O,"&lt;&gt;N/A")</f>
        <v>0</v>
      </c>
      <c r="I39" s="40"/>
      <c r="J39" s="40"/>
      <c r="K39" s="40"/>
      <c r="L39" s="40"/>
      <c r="M39" s="40"/>
      <c r="N39" s="40"/>
      <c r="O39" s="40"/>
      <c r="P39" s="40"/>
      <c r="Q39" s="40"/>
      <c r="R39" s="40"/>
      <c r="S39" s="40"/>
      <c r="T39" s="40"/>
      <c r="U39" s="40"/>
      <c r="V39" s="40"/>
      <c r="W39" s="40"/>
      <c r="X39" s="40"/>
      <c r="Y39" s="40"/>
      <c r="Z39" s="40"/>
    </row>
    <row r="40" ht="14.25" customHeight="1">
      <c r="A40" s="15"/>
      <c r="B40" s="15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t="14.25" customHeight="1">
      <c r="A41" s="15"/>
      <c r="B41" s="15"/>
      <c r="C41" s="23" t="s">
        <v>47</v>
      </c>
      <c r="D41" s="24"/>
      <c r="E41" s="23" t="s">
        <v>48</v>
      </c>
      <c r="F41" s="24"/>
      <c r="G41" s="22" t="s">
        <v>49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t="14.25" customHeight="1">
      <c r="A42" s="28" t="s">
        <v>76</v>
      </c>
      <c r="B42" s="28"/>
      <c r="C42" s="23">
        <f>COUNTIFS(Results!$E:$E,"&gt;="&amp;$I$2,Results!$E:$E,"&lt;="&amp;$I$3,Results!$I:$I,"Male",Results!$F:$F,"Positive",Results!$G:$G,"Positive")</f>
        <v>0</v>
      </c>
      <c r="D42" s="24"/>
      <c r="E42" s="23">
        <f>COUNTIFS(Results!$E:$E,"&gt;="&amp;$I$2,Results!$E:$E,"&lt;="&amp;$I$3,Results!$I:$I,"Female",Results!$F:$F,"Positive",Results!$G:$G,"Positive")</f>
        <v>0</v>
      </c>
      <c r="F42" s="24"/>
      <c r="G42" s="28">
        <f>COUNTIFS(Results!$E:$E,"&gt;="&amp;$I$2,Results!$E:$E,"&lt;="&amp;$I$3,Results!$F:$F,"Positive",Results!$G:$G,"Positive", Results!$I:$I,"&lt;&gt;Not on Form", Results!$I:$I,"&lt;&gt;N/A")</f>
        <v>0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t="14.25" customHeight="1">
      <c r="A43" s="15"/>
      <c r="B43" s="15"/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t="14.25" customHeight="1">
      <c r="A44" s="15" t="s">
        <v>77</v>
      </c>
      <c r="B44" s="15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t="14.25" customHeight="1">
      <c r="A45" s="28"/>
      <c r="B45" s="28"/>
      <c r="C45" s="23" t="s">
        <v>78</v>
      </c>
      <c r="D45" s="24"/>
      <c r="E45" s="23" t="s">
        <v>79</v>
      </c>
      <c r="F45" s="24"/>
      <c r="G45" s="28" t="s">
        <v>49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t="14.25" customHeight="1">
      <c r="A46" s="44" t="s">
        <v>80</v>
      </c>
      <c r="B46" s="45"/>
      <c r="C46" s="23">
        <f>COUNTIFS(Results!$E:$E,"&gt;="&amp;$I$2,Results!$E:$E,"&lt;="&amp;$I$3,Results!$F:$F,"Positive",Results!$L:$L,"Positive")</f>
        <v>0</v>
      </c>
      <c r="D46" s="24"/>
      <c r="E46" s="23">
        <f>COUNTIFS(Results!$E:$E,"&gt;="&amp;$I$2,Results!$E:$E,"&lt;="&amp;$I$3,Results!$F:$F,"Negative",Results!$L:$L,"Positive")</f>
        <v>0</v>
      </c>
      <c r="F46" s="24"/>
      <c r="G46" s="28">
        <f>COUNTIFS(Results!$E:$E,"&gt;="&amp;$I$2,Results!$E:$E,"&lt;="&amp;$I$3,Results!$L:$L,"Positive", Results!$F:$F,"*tive", Results!$L:$L,"&lt;&gt;Not on Form", Results!$L:$L,"&lt;&gt;N/A")</f>
        <v>0</v>
      </c>
      <c r="H46" s="31" t="s">
        <v>81</v>
      </c>
      <c r="J46" s="15" t="str">
        <f t="shared" ref="J46:J48" si="3">IF(SUM(C46:F46)=G46,"","Check Total Value &amp; Category")</f>
        <v/>
      </c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t="14.25" customHeight="1">
      <c r="A47" s="44" t="s">
        <v>82</v>
      </c>
      <c r="B47" s="45"/>
      <c r="C47" s="23">
        <f>COUNTIFS(Results!$E:$E,"&gt;="&amp;$I$2,Results!$E:$E,"&lt;="&amp;$I$3,Results!$F:$F,"Positive",Results!$L:$L,"Negative")</f>
        <v>0</v>
      </c>
      <c r="D47" s="24"/>
      <c r="E47" s="23">
        <f>COUNTIFS(Results!$E:$E,"&gt;="&amp;$I$2,Results!$E:$E,"&lt;="&amp;$I$3,Results!$F:$F,"Negative",Results!$L:$L,"Negative")</f>
        <v>0</v>
      </c>
      <c r="F47" s="24"/>
      <c r="G47" s="28">
        <f>COUNTIFS(Results!$E:$E,"&gt;="&amp;$I$2,Results!$E:$E,"&lt;="&amp;$I$3,Results!$L:$L,"Negative", Results!$F:$F,"*tive", Results!$F:$F,"*tive", Results!$L:$L,"&lt;&gt;Not on Form", Results!$L:$L,"&lt;&gt;N/A")</f>
        <v>0</v>
      </c>
      <c r="H47" s="33"/>
      <c r="J47" s="15" t="str">
        <f t="shared" si="3"/>
        <v/>
      </c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t="14.25" customHeight="1">
      <c r="A48" s="44" t="s">
        <v>83</v>
      </c>
      <c r="B48" s="45"/>
      <c r="C48" s="23">
        <f>COUNTIFS(Results!$E:$E,"&gt;="&amp;$I$2,Results!$E:$E,"&lt;="&amp;$I$3,Results!$F:$F,"Positive",Results!$L:$L,"Not Done")</f>
        <v>0</v>
      </c>
      <c r="D48" s="24"/>
      <c r="E48" s="23">
        <f>COUNTIFS(Results!$E:$E,"&gt;="&amp;$I$2,Results!$E:$E,"&lt;="&amp;$I$3,Results!$F:$F,"Negative",Results!$L:$L,"Not Done")</f>
        <v>0</v>
      </c>
      <c r="F48" s="24"/>
      <c r="G48" s="28">
        <f>COUNTIFS(Results!$E:$E,"&gt;="&amp;$I$2,Results!$E:$E,"&lt;="&amp;$I$3,Results!$L:$L,"Not Done", Results!$F:$F,"*tive", Results!$F:$F,"*tive", Results!$L:$L,"&lt;&gt;Not on Form", Results!$L:$L,"&lt;&gt;N/A")</f>
        <v>0</v>
      </c>
      <c r="H48" s="33"/>
      <c r="J48" s="15" t="str">
        <f t="shared" si="3"/>
        <v/>
      </c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t="14.25" customHeight="1">
      <c r="A49" s="15"/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t="14.25" customHeight="1">
      <c r="A50" s="36"/>
      <c r="B50" s="36"/>
      <c r="C50" s="46" t="s">
        <v>78</v>
      </c>
      <c r="D50" s="24"/>
      <c r="E50" s="46" t="s">
        <v>79</v>
      </c>
      <c r="F50" s="24"/>
      <c r="G50" s="47" t="s">
        <v>49</v>
      </c>
      <c r="H50" s="36"/>
      <c r="I50" s="36"/>
      <c r="J50" s="36"/>
      <c r="K50" s="36"/>
      <c r="L50" s="36"/>
      <c r="M50" s="36"/>
      <c r="N50" s="36"/>
      <c r="O50" s="36"/>
      <c r="P50" s="36"/>
      <c r="Q50" s="36"/>
      <c r="R50" s="36"/>
      <c r="S50" s="36"/>
      <c r="T50" s="36"/>
      <c r="U50" s="36"/>
      <c r="V50" s="36"/>
      <c r="W50" s="36"/>
      <c r="X50" s="36"/>
      <c r="Y50" s="36"/>
      <c r="Z50" s="36"/>
    </row>
    <row r="51" ht="14.25" customHeight="1">
      <c r="A51" s="42" t="s">
        <v>84</v>
      </c>
      <c r="B51" s="37"/>
      <c r="C51" s="48">
        <f>COUNTIFS(Results!$E:$E,"&gt;="&amp;$I$2,Results!$E:$E,"&lt;="&amp;$I$3,Results!$F:$F,"Positive",Results!$P:$P,"CXR")</f>
        <v>0</v>
      </c>
      <c r="D51" s="24"/>
      <c r="E51" s="48">
        <f>COUNTIFS(Results!$E:$E,"&gt;="&amp;$I$2,Results!$E:$E,"&lt;="&amp;$I$3,Results!$F:$F,"Negative",Results!$P:$P,"CXR")</f>
        <v>0</v>
      </c>
      <c r="F51" s="24"/>
      <c r="G51" s="49">
        <f>COUNTIFS(Results!$E:$E,"&gt;="&amp;$I$2,Results!$E:$E,"&lt;="&amp;$I$3,Results!$F:$F,"Negative",Results!$P:$P,"CXR")</f>
        <v>0</v>
      </c>
      <c r="H51" s="40"/>
      <c r="I51" s="40"/>
      <c r="J51" s="40"/>
      <c r="K51" s="40"/>
      <c r="L51" s="40"/>
      <c r="M51" s="40"/>
      <c r="N51" s="40"/>
      <c r="O51" s="40"/>
      <c r="P51" s="40"/>
      <c r="Q51" s="40"/>
      <c r="R51" s="40"/>
      <c r="S51" s="40"/>
      <c r="T51" s="40"/>
      <c r="U51" s="40"/>
      <c r="V51" s="40"/>
      <c r="W51" s="40"/>
      <c r="X51" s="40"/>
      <c r="Y51" s="40"/>
      <c r="Z51" s="40"/>
    </row>
    <row r="52" ht="14.25" customHeight="1">
      <c r="A52" s="15"/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t="14.25" customHeight="1">
      <c r="A53" s="15" t="s">
        <v>85</v>
      </c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t="14.25" customHeight="1">
      <c r="A54" s="28"/>
      <c r="B54" s="28"/>
      <c r="C54" s="23" t="s">
        <v>86</v>
      </c>
      <c r="D54" s="24"/>
      <c r="E54" s="23" t="s">
        <v>87</v>
      </c>
      <c r="F54" s="24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t="14.25" customHeight="1">
      <c r="A55" s="44" t="s">
        <v>88</v>
      </c>
      <c r="B55" s="45"/>
      <c r="C55" s="23"/>
      <c r="D55" s="24"/>
      <c r="E55" s="23"/>
      <c r="F55" s="24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t="14.25" customHeight="1">
      <c r="A56" s="44" t="s">
        <v>89</v>
      </c>
      <c r="B56" s="45"/>
      <c r="C56" s="23"/>
      <c r="D56" s="24"/>
      <c r="E56" s="23"/>
      <c r="F56" s="24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t="14.25" customHeight="1">
      <c r="A57" s="44" t="s">
        <v>90</v>
      </c>
      <c r="B57" s="45"/>
      <c r="C57" s="23">
        <f>COUNTIFS(Results!$E:$E,"&gt;="&amp;$I$2,Results!$E:$E,"&lt;="&amp;$I$3)</f>
        <v>0</v>
      </c>
      <c r="D57" s="24"/>
      <c r="E57" s="23"/>
      <c r="F57" s="24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t="14.25" customHeight="1">
      <c r="A58" s="44" t="s">
        <v>91</v>
      </c>
      <c r="B58" s="45"/>
      <c r="C58" s="23">
        <f>C55+C56-C57</f>
        <v>0</v>
      </c>
      <c r="D58" s="24"/>
      <c r="E58" s="23"/>
      <c r="F58" s="24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t="14.25" customHeight="1">
      <c r="A59" s="50" t="s">
        <v>92</v>
      </c>
      <c r="B59" s="50"/>
      <c r="C59" s="50">
        <f>COUNTIFS(Results!$E:$E,"&gt;="&amp;$I$2,Results!$E:$E,"&lt;="&amp;$I$3,Results!$F:$F,"Error")+COUNTIFS(Results!$E:$E,"&gt;="&amp;$I$2,Results!$E:$E,"&lt;="&amp;$I$3,Results!$F:$F,"Invalid")</f>
        <v>0</v>
      </c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t="14.25" customHeight="1">
      <c r="A60" s="50" t="s">
        <v>93</v>
      </c>
      <c r="B60" s="15"/>
      <c r="C60" s="50">
        <f>COUNTIFS(Results!$E:$E,"&gt;="&amp;$I$2,Results!$E:$E,"&lt;="&amp;$I$3,Results!$F:$F,"No Result")</f>
        <v>0</v>
      </c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t="14.25" customHeight="1">
      <c r="A61" s="15"/>
      <c r="B61" s="15"/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t="14.25" customHeight="1">
      <c r="A62" s="15"/>
      <c r="B62" s="15"/>
      <c r="C62" s="15"/>
      <c r="D62" s="15"/>
      <c r="E62" s="15" t="s">
        <v>94</v>
      </c>
      <c r="F62" s="51"/>
      <c r="G62" s="51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t="14.25" customHeight="1">
      <c r="A63" s="15"/>
      <c r="B63" s="15"/>
      <c r="C63" s="15"/>
      <c r="D63" s="15"/>
      <c r="E63" s="15" t="s">
        <v>95</v>
      </c>
      <c r="F63" s="52"/>
      <c r="G63" s="52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t="14.25" customHeight="1">
      <c r="A64" s="15"/>
      <c r="B64" s="15"/>
      <c r="C64" s="15"/>
      <c r="D64" s="15"/>
      <c r="E64" s="15" t="s">
        <v>96</v>
      </c>
      <c r="F64" s="52"/>
      <c r="G64" s="52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t="14.25" customHeight="1">
      <c r="A65" s="15"/>
      <c r="B65" s="15"/>
      <c r="C65" s="15"/>
      <c r="D65" s="15"/>
      <c r="E65" s="15" t="s">
        <v>97</v>
      </c>
      <c r="F65" s="52"/>
      <c r="G65" s="52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t="14.25" customHeight="1">
      <c r="A66" s="15"/>
      <c r="B66" s="15"/>
      <c r="C66" s="15"/>
      <c r="D66" s="15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t="14.25" customHeight="1">
      <c r="A67" s="15"/>
      <c r="B67" s="15"/>
      <c r="C67" s="15"/>
      <c r="D67" s="15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t="14.25" customHeight="1">
      <c r="A68" s="15"/>
      <c r="B68" s="15"/>
      <c r="C68" s="15"/>
      <c r="D68" s="15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t="14.25" customHeight="1">
      <c r="A69" s="15"/>
      <c r="B69" s="15"/>
      <c r="C69" s="15"/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t="14.25" customHeight="1">
      <c r="A70" s="15"/>
      <c r="B70" s="15"/>
      <c r="C70" s="15"/>
      <c r="D70" s="15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t="14.25" customHeight="1">
      <c r="A71" s="15"/>
      <c r="B71" s="15"/>
      <c r="C71" s="15"/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t="14.25" customHeight="1">
      <c r="A72" s="15"/>
      <c r="B72" s="15"/>
      <c r="C72" s="15"/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t="14.25" customHeight="1">
      <c r="A73" s="15"/>
      <c r="B73" s="15"/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t="14.25" customHeight="1">
      <c r="A74" s="15"/>
      <c r="B74" s="15"/>
      <c r="C74" s="15"/>
      <c r="D74" s="15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t="14.25" customHeight="1">
      <c r="A75" s="15"/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t="14.25" customHeight="1">
      <c r="A76" s="15"/>
      <c r="B76" s="15"/>
      <c r="C76" s="15"/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t="14.25" customHeight="1">
      <c r="A77" s="15"/>
      <c r="B77" s="15"/>
      <c r="C77" s="15"/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t="14.25" customHeight="1">
      <c r="A78" s="15"/>
      <c r="B78" s="15"/>
      <c r="C78" s="15"/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t="14.25" customHeight="1">
      <c r="A79" s="15"/>
      <c r="B79" s="15"/>
      <c r="C79" s="15"/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t="14.25" customHeight="1">
      <c r="A80" s="15"/>
      <c r="B80" s="15"/>
      <c r="C80" s="15"/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t="14.25" customHeight="1">
      <c r="A81" s="15"/>
      <c r="B81" s="15"/>
      <c r="C81" s="15"/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t="14.25" customHeight="1">
      <c r="A82" s="15"/>
      <c r="B82" s="15"/>
      <c r="C82" s="15"/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t="14.25" customHeight="1">
      <c r="A83" s="15"/>
      <c r="B83" s="15"/>
      <c r="C83" s="15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t="14.25" customHeight="1">
      <c r="A84" s="15"/>
      <c r="B84" s="15"/>
      <c r="C84" s="15"/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t="14.25" customHeight="1">
      <c r="A85" s="15"/>
      <c r="B85" s="15"/>
      <c r="C85" s="15"/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t="14.25" customHeight="1">
      <c r="A86" s="15"/>
      <c r="B86" s="15"/>
      <c r="C86" s="15"/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t="14.25" customHeight="1">
      <c r="A87" s="15"/>
      <c r="B87" s="15"/>
      <c r="C87" s="15"/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t="14.25" customHeight="1">
      <c r="A88" s="15"/>
      <c r="B88" s="15"/>
      <c r="C88" s="15"/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t="14.25" customHeight="1">
      <c r="A89" s="15"/>
      <c r="B89" s="15"/>
      <c r="C89" s="15"/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t="14.25" customHeight="1">
      <c r="A90" s="15"/>
      <c r="B90" s="15"/>
      <c r="C90" s="15"/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t="14.25" customHeight="1">
      <c r="A91" s="15"/>
      <c r="B91" s="15"/>
      <c r="C91" s="15"/>
      <c r="D91" s="15"/>
      <c r="E91" s="15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t="14.25" customHeight="1">
      <c r="A92" s="15"/>
      <c r="B92" s="15"/>
      <c r="C92" s="15"/>
      <c r="D92" s="15"/>
      <c r="E92" s="15"/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t="14.25" customHeight="1">
      <c r="A93" s="15"/>
      <c r="B93" s="15"/>
      <c r="C93" s="15"/>
      <c r="D93" s="15"/>
      <c r="E93" s="15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t="14.25" customHeight="1">
      <c r="A94" s="15"/>
      <c r="B94" s="15"/>
      <c r="C94" s="15"/>
      <c r="D94" s="15"/>
      <c r="E94" s="15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t="14.25" customHeight="1">
      <c r="A95" s="15"/>
      <c r="B95" s="15"/>
      <c r="C95" s="15"/>
      <c r="D95" s="15"/>
      <c r="E95" s="15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t="14.25" customHeight="1">
      <c r="A96" s="15"/>
      <c r="B96" s="15"/>
      <c r="C96" s="15"/>
      <c r="D96" s="15"/>
      <c r="E96" s="15"/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t="14.25" customHeight="1">
      <c r="A97" s="15"/>
      <c r="B97" s="15"/>
      <c r="C97" s="15"/>
      <c r="D97" s="15"/>
      <c r="E97" s="15"/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t="14.25" customHeight="1">
      <c r="A98" s="15"/>
      <c r="B98" s="15"/>
      <c r="C98" s="15"/>
      <c r="D98" s="15"/>
      <c r="E98" s="15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t="14.25" customHeight="1">
      <c r="A99" s="15"/>
      <c r="B99" s="15"/>
      <c r="C99" s="15"/>
      <c r="D99" s="15"/>
      <c r="E99" s="15"/>
      <c r="F99" s="15"/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t="14.25" customHeight="1">
      <c r="A100" s="15"/>
      <c r="B100" s="15"/>
      <c r="C100" s="15"/>
      <c r="D100" s="15"/>
      <c r="E100" s="15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t="14.25" customHeight="1">
      <c r="A101" s="15"/>
      <c r="B101" s="15"/>
      <c r="C101" s="15"/>
      <c r="D101" s="15"/>
      <c r="E101" s="15"/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t="14.25" customHeight="1">
      <c r="A102" s="15"/>
      <c r="B102" s="15"/>
      <c r="C102" s="15"/>
      <c r="D102" s="15"/>
      <c r="E102" s="15"/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t="14.25" customHeight="1">
      <c r="A103" s="15"/>
      <c r="B103" s="15"/>
      <c r="C103" s="15"/>
      <c r="D103" s="15"/>
      <c r="E103" s="15"/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t="14.25" customHeight="1">
      <c r="A104" s="15"/>
      <c r="B104" s="15"/>
      <c r="C104" s="15"/>
      <c r="D104" s="15"/>
      <c r="E104" s="15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t="14.25" customHeight="1">
      <c r="A105" s="15"/>
      <c r="B105" s="15"/>
      <c r="C105" s="15"/>
      <c r="D105" s="15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t="14.25" customHeight="1">
      <c r="A106" s="15"/>
      <c r="B106" s="15"/>
      <c r="C106" s="15"/>
      <c r="D106" s="15"/>
      <c r="E106" s="15"/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t="14.25" customHeight="1">
      <c r="A107" s="15"/>
      <c r="B107" s="15"/>
      <c r="C107" s="15"/>
      <c r="D107" s="15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t="14.25" customHeight="1">
      <c r="A108" s="15"/>
      <c r="B108" s="15"/>
      <c r="C108" s="15"/>
      <c r="D108" s="15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t="14.25" customHeight="1">
      <c r="A109" s="15"/>
      <c r="B109" s="15"/>
      <c r="C109" s="15"/>
      <c r="D109" s="15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t="14.25" customHeight="1">
      <c r="A110" s="15"/>
      <c r="B110" s="15"/>
      <c r="C110" s="15"/>
      <c r="D110" s="15"/>
      <c r="E110" s="15"/>
      <c r="F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t="14.25" customHeight="1">
      <c r="A111" s="15"/>
      <c r="B111" s="15"/>
      <c r="C111" s="15"/>
      <c r="D111" s="15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t="14.25" customHeight="1">
      <c r="A112" s="15"/>
      <c r="B112" s="15"/>
      <c r="C112" s="15"/>
      <c r="D112" s="15"/>
      <c r="E112" s="15"/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t="14.25" customHeight="1">
      <c r="A113" s="15"/>
      <c r="B113" s="15"/>
      <c r="C113" s="15"/>
      <c r="D113" s="15"/>
      <c r="E113" s="15"/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t="14.25" customHeight="1">
      <c r="A114" s="15"/>
      <c r="B114" s="15"/>
      <c r="C114" s="15"/>
      <c r="D114" s="15"/>
      <c r="E114" s="15"/>
      <c r="F114" s="15"/>
      <c r="G114" s="15"/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t="14.25" customHeight="1">
      <c r="A115" s="15"/>
      <c r="B115" s="15"/>
      <c r="C115" s="15"/>
      <c r="D115" s="15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t="14.25" customHeight="1">
      <c r="A116" s="15"/>
      <c r="B116" s="15"/>
      <c r="C116" s="15"/>
      <c r="D116" s="15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t="14.25" customHeight="1">
      <c r="A117" s="15"/>
      <c r="B117" s="15"/>
      <c r="C117" s="15"/>
      <c r="D117" s="15"/>
      <c r="E117" s="15"/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t="14.25" customHeight="1">
      <c r="A118" s="15"/>
      <c r="B118" s="15"/>
      <c r="C118" s="15"/>
      <c r="D118" s="15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t="14.25" customHeight="1">
      <c r="A119" s="15"/>
      <c r="B119" s="15"/>
      <c r="C119" s="15"/>
      <c r="D119" s="15"/>
      <c r="E119" s="15"/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t="14.25" customHeight="1">
      <c r="A120" s="15"/>
      <c r="B120" s="15"/>
      <c r="C120" s="15"/>
      <c r="D120" s="15"/>
      <c r="E120" s="15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t="14.25" customHeight="1">
      <c r="A121" s="15"/>
      <c r="B121" s="15"/>
      <c r="C121" s="15"/>
      <c r="D121" s="15"/>
      <c r="E121" s="15"/>
      <c r="F121" s="15"/>
      <c r="G121" s="15"/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t="14.25" customHeight="1">
      <c r="A122" s="15"/>
      <c r="B122" s="15"/>
      <c r="C122" s="15"/>
      <c r="D122" s="15"/>
      <c r="E122" s="15"/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t="14.25" customHeight="1">
      <c r="A123" s="15"/>
      <c r="B123" s="15"/>
      <c r="C123" s="15"/>
      <c r="D123" s="15"/>
      <c r="E123" s="15"/>
      <c r="F123" s="15"/>
      <c r="G123" s="15"/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t="14.25" customHeight="1">
      <c r="A124" s="15"/>
      <c r="B124" s="15"/>
      <c r="C124" s="15"/>
      <c r="D124" s="15"/>
      <c r="E124" s="15"/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t="14.25" customHeight="1">
      <c r="A125" s="15"/>
      <c r="B125" s="15"/>
      <c r="C125" s="15"/>
      <c r="D125" s="15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t="14.25" customHeight="1">
      <c r="A126" s="15"/>
      <c r="B126" s="15"/>
      <c r="C126" s="15"/>
      <c r="D126" s="15"/>
      <c r="E126" s="15"/>
      <c r="F126" s="15"/>
      <c r="G126" s="15"/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t="14.25" customHeight="1">
      <c r="A127" s="15"/>
      <c r="B127" s="15"/>
      <c r="C127" s="15"/>
      <c r="D127" s="15"/>
      <c r="E127" s="15"/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t="14.25" customHeight="1">
      <c r="A128" s="15"/>
      <c r="B128" s="15"/>
      <c r="C128" s="15"/>
      <c r="D128" s="15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t="14.25" customHeight="1">
      <c r="A129" s="15"/>
      <c r="B129" s="15"/>
      <c r="C129" s="15"/>
      <c r="D129" s="15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t="14.25" customHeight="1">
      <c r="A130" s="15"/>
      <c r="B130" s="15"/>
      <c r="C130" s="15"/>
      <c r="D130" s="15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t="14.25" customHeight="1">
      <c r="A131" s="15"/>
      <c r="B131" s="15"/>
      <c r="C131" s="15"/>
      <c r="D131" s="15"/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t="14.25" customHeight="1">
      <c r="A132" s="15"/>
      <c r="B132" s="15"/>
      <c r="C132" s="15"/>
      <c r="D132" s="15"/>
      <c r="E132" s="15"/>
      <c r="F132" s="15"/>
      <c r="G132" s="15"/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t="14.25" customHeight="1">
      <c r="A133" s="15"/>
      <c r="B133" s="15"/>
      <c r="C133" s="15"/>
      <c r="D133" s="15"/>
      <c r="E133" s="15"/>
      <c r="F133" s="15"/>
      <c r="G133" s="15"/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t="14.25" customHeight="1">
      <c r="A134" s="15"/>
      <c r="B134" s="15"/>
      <c r="C134" s="15"/>
      <c r="D134" s="15"/>
      <c r="E134" s="15"/>
      <c r="F134" s="15"/>
      <c r="G134" s="15"/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t="14.25" customHeight="1">
      <c r="A135" s="15"/>
      <c r="B135" s="15"/>
      <c r="C135" s="15"/>
      <c r="D135" s="15"/>
      <c r="E135" s="15"/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t="14.25" customHeight="1">
      <c r="A136" s="15"/>
      <c r="B136" s="15"/>
      <c r="C136" s="15"/>
      <c r="D136" s="15"/>
      <c r="E136" s="15"/>
      <c r="F136" s="15"/>
      <c r="G136" s="15"/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t="14.25" customHeight="1">
      <c r="A137" s="15"/>
      <c r="B137" s="15"/>
      <c r="C137" s="15"/>
      <c r="D137" s="15"/>
      <c r="E137" s="15"/>
      <c r="F137" s="15"/>
      <c r="G137" s="15"/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t="14.25" customHeight="1">
      <c r="A138" s="15"/>
      <c r="B138" s="15"/>
      <c r="C138" s="15"/>
      <c r="D138" s="15"/>
      <c r="E138" s="15"/>
      <c r="F138" s="15"/>
      <c r="G138" s="15"/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t="14.25" customHeight="1">
      <c r="A139" s="15"/>
      <c r="B139" s="15"/>
      <c r="C139" s="15"/>
      <c r="D139" s="15"/>
      <c r="E139" s="15"/>
      <c r="F139" s="15"/>
      <c r="G139" s="15"/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t="14.25" customHeight="1">
      <c r="A140" s="15"/>
      <c r="B140" s="15"/>
      <c r="C140" s="15"/>
      <c r="D140" s="15"/>
      <c r="E140" s="15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t="14.25" customHeight="1">
      <c r="A141" s="15"/>
      <c r="B141" s="15"/>
      <c r="C141" s="15"/>
      <c r="D141" s="15"/>
      <c r="E141" s="15"/>
      <c r="F141" s="15"/>
      <c r="G141" s="15"/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t="14.25" customHeight="1">
      <c r="A142" s="15"/>
      <c r="B142" s="15"/>
      <c r="C142" s="15"/>
      <c r="D142" s="15"/>
      <c r="E142" s="15"/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t="14.25" customHeight="1">
      <c r="A143" s="15"/>
      <c r="B143" s="15"/>
      <c r="C143" s="15"/>
      <c r="D143" s="15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t="14.25" customHeight="1">
      <c r="A144" s="15"/>
      <c r="B144" s="15"/>
      <c r="C144" s="15"/>
      <c r="D144" s="15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t="14.25" customHeight="1">
      <c r="A145" s="15"/>
      <c r="B145" s="15"/>
      <c r="C145" s="15"/>
      <c r="D145" s="15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t="14.25" customHeight="1">
      <c r="A146" s="15"/>
      <c r="B146" s="15"/>
      <c r="C146" s="15"/>
      <c r="D146" s="15"/>
      <c r="E146" s="15"/>
      <c r="F146" s="15"/>
      <c r="G146" s="15"/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t="14.25" customHeight="1">
      <c r="A147" s="15"/>
      <c r="B147" s="15"/>
      <c r="C147" s="15"/>
      <c r="D147" s="15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t="14.25" customHeight="1">
      <c r="A148" s="15"/>
      <c r="B148" s="15"/>
      <c r="C148" s="15"/>
      <c r="D148" s="15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t="14.25" customHeight="1">
      <c r="A149" s="15"/>
      <c r="B149" s="15"/>
      <c r="C149" s="15"/>
      <c r="D149" s="15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t="14.25" customHeight="1">
      <c r="A150" s="15"/>
      <c r="B150" s="15"/>
      <c r="C150" s="15"/>
      <c r="D150" s="15"/>
      <c r="E150" s="15"/>
      <c r="F150" s="15"/>
      <c r="G150" s="15"/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t="14.25" customHeight="1">
      <c r="A151" s="15"/>
      <c r="B151" s="15"/>
      <c r="C151" s="15"/>
      <c r="D151" s="15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t="14.25" customHeight="1">
      <c r="A152" s="15"/>
      <c r="B152" s="15"/>
      <c r="C152" s="15"/>
      <c r="D152" s="15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t="14.25" customHeight="1">
      <c r="A153" s="15"/>
      <c r="B153" s="15"/>
      <c r="C153" s="15"/>
      <c r="D153" s="15"/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t="14.25" customHeight="1">
      <c r="A154" s="15"/>
      <c r="B154" s="15"/>
      <c r="C154" s="15"/>
      <c r="D154" s="15"/>
      <c r="E154" s="15"/>
      <c r="F154" s="15"/>
      <c r="G154" s="15"/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t="14.25" customHeight="1">
      <c r="A155" s="15"/>
      <c r="B155" s="15"/>
      <c r="C155" s="15"/>
      <c r="D155" s="15"/>
      <c r="E155" s="15"/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t="14.25" customHeight="1">
      <c r="A156" s="15"/>
      <c r="B156" s="15"/>
      <c r="C156" s="15"/>
      <c r="D156" s="15"/>
      <c r="E156" s="15"/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t="14.25" customHeight="1">
      <c r="A157" s="15"/>
      <c r="B157" s="15"/>
      <c r="C157" s="15"/>
      <c r="D157" s="15"/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t="14.25" customHeight="1">
      <c r="A158" s="15"/>
      <c r="B158" s="15"/>
      <c r="C158" s="15"/>
      <c r="D158" s="15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t="14.25" customHeight="1">
      <c r="A159" s="15"/>
      <c r="B159" s="15"/>
      <c r="C159" s="15"/>
      <c r="D159" s="15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t="14.25" customHeight="1">
      <c r="A160" s="15"/>
      <c r="B160" s="15"/>
      <c r="C160" s="15"/>
      <c r="D160" s="15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t="14.25" customHeight="1">
      <c r="A161" s="15"/>
      <c r="B161" s="15"/>
      <c r="C161" s="15"/>
      <c r="D161" s="15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t="14.25" customHeight="1">
      <c r="A162" s="15"/>
      <c r="B162" s="15"/>
      <c r="C162" s="15"/>
      <c r="D162" s="15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t="14.25" customHeight="1">
      <c r="A163" s="15"/>
      <c r="B163" s="15"/>
      <c r="C163" s="15"/>
      <c r="D163" s="15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t="14.25" customHeight="1">
      <c r="A164" s="15"/>
      <c r="B164" s="15"/>
      <c r="C164" s="15"/>
      <c r="D164" s="15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t="14.25" customHeight="1">
      <c r="A165" s="15"/>
      <c r="B165" s="15"/>
      <c r="C165" s="15"/>
      <c r="D165" s="15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t="14.25" customHeight="1">
      <c r="A166" s="15"/>
      <c r="B166" s="15"/>
      <c r="C166" s="15"/>
      <c r="D166" s="15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t="14.25" customHeight="1">
      <c r="A167" s="15"/>
      <c r="B167" s="15"/>
      <c r="C167" s="15"/>
      <c r="D167" s="15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t="14.25" customHeight="1">
      <c r="A168" s="15"/>
      <c r="B168" s="15"/>
      <c r="C168" s="15"/>
      <c r="D168" s="15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t="14.25" customHeight="1">
      <c r="A169" s="15"/>
      <c r="B169" s="15"/>
      <c r="C169" s="15"/>
      <c r="D169" s="15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t="14.25" customHeight="1">
      <c r="A170" s="15"/>
      <c r="B170" s="15"/>
      <c r="C170" s="15"/>
      <c r="D170" s="15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t="14.25" customHeight="1">
      <c r="A171" s="15"/>
      <c r="B171" s="15"/>
      <c r="C171" s="15"/>
      <c r="D171" s="15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t="14.25" customHeight="1">
      <c r="A172" s="15"/>
      <c r="B172" s="15"/>
      <c r="C172" s="15"/>
      <c r="D172" s="15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t="14.25" customHeight="1">
      <c r="A173" s="15"/>
      <c r="B173" s="15"/>
      <c r="C173" s="15"/>
      <c r="D173" s="15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t="14.25" customHeight="1">
      <c r="A174" s="15"/>
      <c r="B174" s="15"/>
      <c r="C174" s="15"/>
      <c r="D174" s="15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t="14.25" customHeight="1">
      <c r="A175" s="15"/>
      <c r="B175" s="15"/>
      <c r="C175" s="15"/>
      <c r="D175" s="15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t="14.25" customHeight="1">
      <c r="A176" s="15"/>
      <c r="B176" s="15"/>
      <c r="C176" s="15"/>
      <c r="D176" s="15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t="14.25" customHeight="1">
      <c r="A177" s="15"/>
      <c r="B177" s="15"/>
      <c r="C177" s="15"/>
      <c r="D177" s="15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t="14.25" customHeight="1">
      <c r="A178" s="15"/>
      <c r="B178" s="15"/>
      <c r="C178" s="15"/>
      <c r="D178" s="15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t="14.25" customHeight="1">
      <c r="A179" s="15"/>
      <c r="B179" s="15"/>
      <c r="C179" s="15"/>
      <c r="D179" s="15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t="14.25" customHeight="1">
      <c r="A180" s="15"/>
      <c r="B180" s="15"/>
      <c r="C180" s="15"/>
      <c r="D180" s="15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t="14.25" customHeight="1">
      <c r="A181" s="15"/>
      <c r="B181" s="15"/>
      <c r="C181" s="15"/>
      <c r="D181" s="15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t="14.25" customHeight="1">
      <c r="A182" s="15"/>
      <c r="B182" s="15"/>
      <c r="C182" s="15"/>
      <c r="D182" s="15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t="14.25" customHeight="1">
      <c r="A183" s="15"/>
      <c r="B183" s="15"/>
      <c r="C183" s="15"/>
      <c r="D183" s="15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t="14.25" customHeight="1">
      <c r="A184" s="15"/>
      <c r="B184" s="15"/>
      <c r="C184" s="15"/>
      <c r="D184" s="15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t="14.25" customHeight="1">
      <c r="A185" s="15"/>
      <c r="B185" s="15"/>
      <c r="C185" s="15"/>
      <c r="D185" s="15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t="14.25" customHeight="1">
      <c r="A186" s="15"/>
      <c r="B186" s="15"/>
      <c r="C186" s="15"/>
      <c r="D186" s="15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t="14.25" customHeight="1">
      <c r="A187" s="15"/>
      <c r="B187" s="15"/>
      <c r="C187" s="15"/>
      <c r="D187" s="15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t="14.25" customHeight="1">
      <c r="A188" s="15"/>
      <c r="B188" s="15"/>
      <c r="C188" s="15"/>
      <c r="D188" s="15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t="14.25" customHeight="1">
      <c r="A189" s="15"/>
      <c r="B189" s="15"/>
      <c r="C189" s="15"/>
      <c r="D189" s="15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t="14.25" customHeight="1">
      <c r="A190" s="15"/>
      <c r="B190" s="15"/>
      <c r="C190" s="15"/>
      <c r="D190" s="15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t="14.25" customHeight="1">
      <c r="A191" s="15"/>
      <c r="B191" s="15"/>
      <c r="C191" s="15"/>
      <c r="D191" s="15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t="14.25" customHeight="1">
      <c r="A192" s="15"/>
      <c r="B192" s="15"/>
      <c r="C192" s="15"/>
      <c r="D192" s="15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t="14.25" customHeight="1">
      <c r="A193" s="15"/>
      <c r="B193" s="15"/>
      <c r="C193" s="15"/>
      <c r="D193" s="15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t="14.25" customHeight="1">
      <c r="A194" s="15"/>
      <c r="B194" s="15"/>
      <c r="C194" s="15"/>
      <c r="D194" s="15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t="14.25" customHeight="1">
      <c r="A195" s="15"/>
      <c r="B195" s="15"/>
      <c r="C195" s="15"/>
      <c r="D195" s="15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t="14.25" customHeight="1">
      <c r="A196" s="15"/>
      <c r="B196" s="15"/>
      <c r="C196" s="15"/>
      <c r="D196" s="15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t="14.25" customHeight="1">
      <c r="A197" s="15"/>
      <c r="B197" s="15"/>
      <c r="C197" s="15"/>
      <c r="D197" s="15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t="14.25" customHeight="1">
      <c r="A198" s="15"/>
      <c r="B198" s="15"/>
      <c r="C198" s="15"/>
      <c r="D198" s="15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t="14.25" customHeight="1">
      <c r="A199" s="15"/>
      <c r="B199" s="15"/>
      <c r="C199" s="15"/>
      <c r="D199" s="15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t="14.25" customHeight="1">
      <c r="A200" s="15"/>
      <c r="B200" s="15"/>
      <c r="C200" s="15"/>
      <c r="D200" s="15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t="14.25" customHeight="1">
      <c r="A201" s="15"/>
      <c r="B201" s="15"/>
      <c r="C201" s="15"/>
      <c r="D201" s="15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t="14.25" customHeight="1">
      <c r="A202" s="15"/>
      <c r="B202" s="15"/>
      <c r="C202" s="15"/>
      <c r="D202" s="15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t="14.25" customHeight="1">
      <c r="A203" s="15"/>
      <c r="B203" s="15"/>
      <c r="C203" s="15"/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t="14.25" customHeight="1">
      <c r="A204" s="15"/>
      <c r="B204" s="15"/>
      <c r="C204" s="15"/>
      <c r="D204" s="15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t="14.25" customHeight="1">
      <c r="A205" s="15"/>
      <c r="B205" s="15"/>
      <c r="C205" s="15"/>
      <c r="D205" s="15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t="14.25" customHeight="1">
      <c r="A206" s="15"/>
      <c r="B206" s="15"/>
      <c r="C206" s="15"/>
      <c r="D206" s="15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t="14.25" customHeight="1">
      <c r="A207" s="15"/>
      <c r="B207" s="15"/>
      <c r="C207" s="15"/>
      <c r="D207" s="15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t="14.25" customHeight="1">
      <c r="A208" s="15"/>
      <c r="B208" s="15"/>
      <c r="C208" s="15"/>
      <c r="D208" s="15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t="14.25" customHeight="1">
      <c r="A209" s="15"/>
      <c r="B209" s="15"/>
      <c r="C209" s="15"/>
      <c r="D209" s="15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t="14.25" customHeight="1">
      <c r="A210" s="15"/>
      <c r="B210" s="15"/>
      <c r="C210" s="15"/>
      <c r="D210" s="15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t="14.25" customHeight="1">
      <c r="A211" s="15"/>
      <c r="B211" s="15"/>
      <c r="C211" s="15"/>
      <c r="D211" s="15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t="14.25" customHeight="1">
      <c r="A212" s="15"/>
      <c r="B212" s="15"/>
      <c r="C212" s="15"/>
      <c r="D212" s="15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t="14.25" customHeight="1">
      <c r="A213" s="15"/>
      <c r="B213" s="15"/>
      <c r="C213" s="15"/>
      <c r="D213" s="15"/>
      <c r="E213" s="15"/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t="14.25" customHeight="1">
      <c r="A214" s="15"/>
      <c r="B214" s="15"/>
      <c r="C214" s="15"/>
      <c r="D214" s="15"/>
      <c r="E214" s="15"/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t="14.25" customHeight="1">
      <c r="A215" s="15"/>
      <c r="B215" s="15"/>
      <c r="C215" s="15"/>
      <c r="D215" s="15"/>
      <c r="E215" s="15"/>
      <c r="F215" s="15"/>
      <c r="G215" s="15"/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t="14.25" customHeight="1">
      <c r="A216" s="15"/>
      <c r="B216" s="15"/>
      <c r="C216" s="15"/>
      <c r="D216" s="15"/>
      <c r="E216" s="15"/>
      <c r="F216" s="15"/>
      <c r="G216" s="15"/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t="14.25" customHeight="1">
      <c r="A217" s="15"/>
      <c r="B217" s="15"/>
      <c r="C217" s="15"/>
      <c r="D217" s="15"/>
      <c r="E217" s="15"/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t="14.25" customHeight="1">
      <c r="A218" s="15"/>
      <c r="B218" s="15"/>
      <c r="C218" s="15"/>
      <c r="D218" s="15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t="14.25" customHeight="1">
      <c r="A219" s="15"/>
      <c r="B219" s="15"/>
      <c r="C219" s="15"/>
      <c r="D219" s="15"/>
      <c r="E219" s="15"/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t="14.25" customHeight="1">
      <c r="A220" s="15"/>
      <c r="B220" s="15"/>
      <c r="C220" s="15"/>
      <c r="D220" s="15"/>
      <c r="E220" s="15"/>
      <c r="F220" s="15"/>
      <c r="G220" s="15"/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t="14.25" customHeight="1">
      <c r="A221" s="15"/>
      <c r="B221" s="15"/>
      <c r="C221" s="15"/>
      <c r="D221" s="15"/>
      <c r="E221" s="15"/>
      <c r="F221" s="15"/>
      <c r="G221" s="15"/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t="14.25" customHeight="1">
      <c r="A222" s="15"/>
      <c r="B222" s="15"/>
      <c r="C222" s="15"/>
      <c r="D222" s="15"/>
      <c r="E222" s="15"/>
      <c r="F222" s="15"/>
      <c r="G222" s="15"/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t="14.25" customHeight="1">
      <c r="A223" s="15"/>
      <c r="B223" s="15"/>
      <c r="C223" s="15"/>
      <c r="D223" s="15"/>
      <c r="E223" s="15"/>
      <c r="F223" s="15"/>
      <c r="G223" s="15"/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t="14.25" customHeight="1">
      <c r="A224" s="15"/>
      <c r="B224" s="15"/>
      <c r="C224" s="15"/>
      <c r="D224" s="15"/>
      <c r="E224" s="15"/>
      <c r="F224" s="15"/>
      <c r="G224" s="15"/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t="14.25" customHeight="1">
      <c r="A225" s="15"/>
      <c r="B225" s="15"/>
      <c r="C225" s="15"/>
      <c r="D225" s="15"/>
      <c r="E225" s="15"/>
      <c r="F225" s="15"/>
      <c r="G225" s="15"/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t="14.25" customHeight="1">
      <c r="A226" s="15"/>
      <c r="B226" s="15"/>
      <c r="C226" s="15"/>
      <c r="D226" s="15"/>
      <c r="E226" s="15"/>
      <c r="F226" s="15"/>
      <c r="G226" s="15"/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t="14.25" customHeight="1">
      <c r="A227" s="15"/>
      <c r="B227" s="15"/>
      <c r="C227" s="15"/>
      <c r="D227" s="15"/>
      <c r="E227" s="15"/>
      <c r="F227" s="15"/>
      <c r="G227" s="15"/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t="14.25" customHeight="1">
      <c r="A228" s="15"/>
      <c r="B228" s="15"/>
      <c r="C228" s="15"/>
      <c r="D228" s="15"/>
      <c r="E228" s="15"/>
      <c r="F228" s="15"/>
      <c r="G228" s="15"/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t="14.25" customHeight="1">
      <c r="A229" s="15"/>
      <c r="B229" s="15"/>
      <c r="C229" s="15"/>
      <c r="D229" s="15"/>
      <c r="E229" s="15"/>
      <c r="F229" s="15"/>
      <c r="G229" s="15"/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t="14.25" customHeight="1">
      <c r="A230" s="15"/>
      <c r="B230" s="15"/>
      <c r="C230" s="15"/>
      <c r="D230" s="15"/>
      <c r="E230" s="15"/>
      <c r="F230" s="15"/>
      <c r="G230" s="15"/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t="14.25" customHeight="1">
      <c r="A231" s="15"/>
      <c r="B231" s="15"/>
      <c r="C231" s="15"/>
      <c r="D231" s="15"/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t="14.25" customHeight="1">
      <c r="A232" s="15"/>
      <c r="B232" s="15"/>
      <c r="C232" s="15"/>
      <c r="D232" s="15"/>
      <c r="E232" s="15"/>
      <c r="F232" s="15"/>
      <c r="G232" s="15"/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t="14.25" customHeight="1">
      <c r="A233" s="15"/>
      <c r="B233" s="15"/>
      <c r="C233" s="15"/>
      <c r="D233" s="15"/>
      <c r="E233" s="15"/>
      <c r="F233" s="15"/>
      <c r="G233" s="15"/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t="14.25" customHeight="1">
      <c r="A234" s="15"/>
      <c r="B234" s="15"/>
      <c r="C234" s="15"/>
      <c r="D234" s="15"/>
      <c r="E234" s="15"/>
      <c r="F234" s="15"/>
      <c r="G234" s="15"/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t="14.25" customHeight="1">
      <c r="A235" s="15"/>
      <c r="B235" s="15"/>
      <c r="C235" s="15"/>
      <c r="D235" s="15"/>
      <c r="E235" s="15"/>
      <c r="F235" s="15"/>
      <c r="G235" s="15"/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t="14.25" customHeight="1">
      <c r="A236" s="15"/>
      <c r="B236" s="15"/>
      <c r="C236" s="15"/>
      <c r="D236" s="15"/>
      <c r="E236" s="15"/>
      <c r="F236" s="15"/>
      <c r="G236" s="15"/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t="14.25" customHeight="1">
      <c r="A237" s="15"/>
      <c r="B237" s="15"/>
      <c r="C237" s="15"/>
      <c r="D237" s="15"/>
      <c r="E237" s="15"/>
      <c r="F237" s="15"/>
      <c r="G237" s="15"/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t="14.25" customHeight="1">
      <c r="A238" s="15"/>
      <c r="B238" s="15"/>
      <c r="C238" s="15"/>
      <c r="D238" s="15"/>
      <c r="E238" s="15"/>
      <c r="F238" s="15"/>
      <c r="G238" s="15"/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t="14.25" customHeight="1">
      <c r="A239" s="15"/>
      <c r="B239" s="15"/>
      <c r="C239" s="15"/>
      <c r="D239" s="15"/>
      <c r="E239" s="15"/>
      <c r="F239" s="15"/>
      <c r="G239" s="15"/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t="14.25" customHeight="1">
      <c r="A240" s="15"/>
      <c r="B240" s="15"/>
      <c r="C240" s="15"/>
      <c r="D240" s="15"/>
      <c r="E240" s="15"/>
      <c r="F240" s="15"/>
      <c r="G240" s="15"/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t="14.25" customHeight="1">
      <c r="A241" s="15"/>
      <c r="B241" s="15"/>
      <c r="C241" s="15"/>
      <c r="D241" s="15"/>
      <c r="E241" s="15"/>
      <c r="F241" s="15"/>
      <c r="G241" s="15"/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t="14.25" customHeight="1">
      <c r="A242" s="15"/>
      <c r="B242" s="15"/>
      <c r="C242" s="15"/>
      <c r="D242" s="15"/>
      <c r="E242" s="15"/>
      <c r="F242" s="15"/>
      <c r="G242" s="15"/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t="14.25" customHeight="1">
      <c r="A243" s="15"/>
      <c r="B243" s="15"/>
      <c r="C243" s="15"/>
      <c r="D243" s="15"/>
      <c r="E243" s="15"/>
      <c r="F243" s="15"/>
      <c r="G243" s="15"/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t="14.25" customHeight="1">
      <c r="A244" s="15"/>
      <c r="B244" s="15"/>
      <c r="C244" s="15"/>
      <c r="D244" s="15"/>
      <c r="E244" s="15"/>
      <c r="F244" s="15"/>
      <c r="G244" s="15"/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t="14.25" customHeight="1">
      <c r="A245" s="15"/>
      <c r="B245" s="15"/>
      <c r="C245" s="15"/>
      <c r="D245" s="15"/>
      <c r="E245" s="15"/>
      <c r="F245" s="15"/>
      <c r="G245" s="15"/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t="14.25" customHeight="1">
      <c r="A246" s="15"/>
      <c r="B246" s="15"/>
      <c r="C246" s="15"/>
      <c r="D246" s="15"/>
      <c r="E246" s="15"/>
      <c r="F246" s="15"/>
      <c r="G246" s="15"/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t="14.25" customHeight="1">
      <c r="A247" s="15"/>
      <c r="B247" s="15"/>
      <c r="C247" s="15"/>
      <c r="D247" s="15"/>
      <c r="E247" s="15"/>
      <c r="F247" s="15"/>
      <c r="G247" s="15"/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t="14.25" customHeight="1">
      <c r="A248" s="15"/>
      <c r="B248" s="15"/>
      <c r="C248" s="15"/>
      <c r="D248" s="15"/>
      <c r="E248" s="15"/>
      <c r="F248" s="15"/>
      <c r="G248" s="15"/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t="14.25" customHeight="1">
      <c r="A249" s="15"/>
      <c r="B249" s="15"/>
      <c r="C249" s="15"/>
      <c r="D249" s="15"/>
      <c r="E249" s="15"/>
      <c r="F249" s="15"/>
      <c r="G249" s="15"/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t="14.25" customHeight="1">
      <c r="A250" s="15"/>
      <c r="B250" s="15"/>
      <c r="C250" s="15"/>
      <c r="D250" s="15"/>
      <c r="E250" s="15"/>
      <c r="F250" s="15"/>
      <c r="G250" s="15"/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t="14.25" customHeight="1">
      <c r="A251" s="15"/>
      <c r="B251" s="15"/>
      <c r="C251" s="15"/>
      <c r="D251" s="15"/>
      <c r="E251" s="15"/>
      <c r="F251" s="15"/>
      <c r="G251" s="15"/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t="14.25" customHeight="1">
      <c r="A252" s="15"/>
      <c r="B252" s="15"/>
      <c r="C252" s="15"/>
      <c r="D252" s="15"/>
      <c r="E252" s="15"/>
      <c r="F252" s="15"/>
      <c r="G252" s="15"/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t="14.25" customHeight="1">
      <c r="A253" s="15"/>
      <c r="B253" s="15"/>
      <c r="C253" s="15"/>
      <c r="D253" s="15"/>
      <c r="E253" s="15"/>
      <c r="F253" s="15"/>
      <c r="G253" s="15"/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t="14.25" customHeight="1">
      <c r="A254" s="15"/>
      <c r="B254" s="15"/>
      <c r="C254" s="15"/>
      <c r="D254" s="15"/>
      <c r="E254" s="15"/>
      <c r="F254" s="15"/>
      <c r="G254" s="15"/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t="14.25" customHeight="1">
      <c r="A255" s="15"/>
      <c r="B255" s="15"/>
      <c r="C255" s="15"/>
      <c r="D255" s="15"/>
      <c r="E255" s="15"/>
      <c r="F255" s="15"/>
      <c r="G255" s="15"/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t="14.25" customHeight="1">
      <c r="A256" s="15"/>
      <c r="B256" s="15"/>
      <c r="C256" s="15"/>
      <c r="D256" s="15"/>
      <c r="E256" s="15"/>
      <c r="F256" s="15"/>
      <c r="G256" s="15"/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t="14.25" customHeight="1">
      <c r="A257" s="15"/>
      <c r="B257" s="15"/>
      <c r="C257" s="15"/>
      <c r="D257" s="15"/>
      <c r="E257" s="15"/>
      <c r="F257" s="15"/>
      <c r="G257" s="15"/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t="14.25" customHeight="1">
      <c r="A258" s="15"/>
      <c r="B258" s="15"/>
      <c r="C258" s="15"/>
      <c r="D258" s="15"/>
      <c r="E258" s="15"/>
      <c r="F258" s="15"/>
      <c r="G258" s="15"/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t="14.25" customHeight="1">
      <c r="A259" s="15"/>
      <c r="B259" s="15"/>
      <c r="C259" s="15"/>
      <c r="D259" s="15"/>
      <c r="E259" s="15"/>
      <c r="F259" s="15"/>
      <c r="G259" s="15"/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t="14.25" customHeight="1">
      <c r="A260" s="15"/>
      <c r="B260" s="15"/>
      <c r="C260" s="15"/>
      <c r="D260" s="15"/>
      <c r="E260" s="15"/>
      <c r="F260" s="15"/>
      <c r="G260" s="15"/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t="14.25" customHeight="1">
      <c r="A261" s="15"/>
      <c r="B261" s="15"/>
      <c r="C261" s="15"/>
      <c r="D261" s="15"/>
      <c r="E261" s="15"/>
      <c r="F261" s="15"/>
      <c r="G261" s="15"/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t="14.25" customHeight="1">
      <c r="A262" s="15"/>
      <c r="B262" s="15"/>
      <c r="C262" s="15"/>
      <c r="D262" s="15"/>
      <c r="E262" s="15"/>
      <c r="F262" s="15"/>
      <c r="G262" s="15"/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t="14.25" customHeight="1">
      <c r="A263" s="15"/>
      <c r="B263" s="15"/>
      <c r="C263" s="15"/>
      <c r="D263" s="15"/>
      <c r="E263" s="15"/>
      <c r="F263" s="15"/>
      <c r="G263" s="15"/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t="14.25" customHeight="1">
      <c r="A264" s="15"/>
      <c r="B264" s="15"/>
      <c r="C264" s="15"/>
      <c r="D264" s="15"/>
      <c r="E264" s="15"/>
      <c r="F264" s="15"/>
      <c r="G264" s="15"/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t="14.25" customHeight="1">
      <c r="A265" s="15"/>
      <c r="B265" s="15"/>
      <c r="C265" s="15"/>
      <c r="D265" s="15"/>
      <c r="E265" s="15"/>
      <c r="F265" s="15"/>
      <c r="G265" s="15"/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1">
    <mergeCell ref="G13:H15"/>
    <mergeCell ref="G16:H20"/>
    <mergeCell ref="G24:H26"/>
    <mergeCell ref="G27:H31"/>
    <mergeCell ref="A1:F1"/>
    <mergeCell ref="A7:A8"/>
    <mergeCell ref="B7:C7"/>
    <mergeCell ref="D7:E7"/>
    <mergeCell ref="F7:F8"/>
    <mergeCell ref="A13:A15"/>
    <mergeCell ref="A16:A20"/>
    <mergeCell ref="A24:A26"/>
    <mergeCell ref="A27:A31"/>
    <mergeCell ref="C41:D41"/>
    <mergeCell ref="E41:F41"/>
    <mergeCell ref="C42:D42"/>
    <mergeCell ref="E42:F42"/>
    <mergeCell ref="A35:A39"/>
    <mergeCell ref="C45:D45"/>
    <mergeCell ref="E45:F45"/>
    <mergeCell ref="C46:D46"/>
    <mergeCell ref="E46:F46"/>
    <mergeCell ref="H46:I48"/>
    <mergeCell ref="C47:D47"/>
    <mergeCell ref="E47:F47"/>
    <mergeCell ref="C54:D54"/>
    <mergeCell ref="C55:D55"/>
    <mergeCell ref="C56:D56"/>
    <mergeCell ref="C57:D57"/>
    <mergeCell ref="C58:D58"/>
    <mergeCell ref="E55:F55"/>
    <mergeCell ref="E56:F56"/>
    <mergeCell ref="E57:F57"/>
    <mergeCell ref="E58:F58"/>
    <mergeCell ref="C48:D48"/>
    <mergeCell ref="E48:F48"/>
    <mergeCell ref="E54:F54"/>
    <mergeCell ref="C50:D50"/>
    <mergeCell ref="E50:F50"/>
    <mergeCell ref="C51:D51"/>
    <mergeCell ref="E51:F51"/>
  </mergeCells>
  <conditionalFormatting sqref="G9">
    <cfRule type="notContainsBlanks" dxfId="0" priority="1">
      <formula>LEN(TRIM(G9))&gt;0</formula>
    </cfRule>
  </conditionalFormatting>
  <conditionalFormatting sqref="G13">
    <cfRule type="notContainsBlanks" dxfId="1" priority="2">
      <formula>LEN(TRIM(G13))&gt;0</formula>
    </cfRule>
  </conditionalFormatting>
  <conditionalFormatting sqref="G16">
    <cfRule type="notContainsBlanks" dxfId="1" priority="3">
      <formula>LEN(TRIM(G16))&gt;0</formula>
    </cfRule>
  </conditionalFormatting>
  <conditionalFormatting sqref="G24">
    <cfRule type="notContainsBlanks" dxfId="1" priority="4">
      <formula>LEN(TRIM(G24))&gt;0</formula>
    </cfRule>
  </conditionalFormatting>
  <conditionalFormatting sqref="G27">
    <cfRule type="notContainsBlanks" dxfId="1" priority="5">
      <formula>LEN(TRIM(G27))&gt;0</formula>
    </cfRule>
  </conditionalFormatting>
  <conditionalFormatting sqref="H46">
    <cfRule type="notContainsBlanks" dxfId="1" priority="6">
      <formula>LEN(TRIM(H46))&gt;0</formula>
    </cfRule>
  </conditionalFormatting>
  <conditionalFormatting sqref="I13:I20">
    <cfRule type="notContainsBlanks" dxfId="0" priority="7">
      <formula>LEN(TRIM(I13))&gt;0</formula>
    </cfRule>
  </conditionalFormatting>
  <conditionalFormatting sqref="I24:I31">
    <cfRule type="notContainsBlanks" dxfId="0" priority="8">
      <formula>LEN(TRIM(I24))&gt;0</formula>
    </cfRule>
  </conditionalFormatting>
  <conditionalFormatting sqref="J46:J48">
    <cfRule type="notContainsBlanks" dxfId="0" priority="9">
      <formula>LEN(TRIM(J46))&gt;0</formula>
    </cfRule>
  </conditionalFormatting>
  <printOptions/>
  <pageMargins bottom="0.75" footer="0.0" header="0.0" left="0.7" right="0.7" top="0.75"/>
  <pageSetup orientation="portrait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13.78"/>
    <col customWidth="1" min="2" max="2" width="25.0"/>
    <col customWidth="1" min="3" max="3" width="8.0"/>
    <col customWidth="1" min="4" max="4" width="11.33"/>
    <col customWidth="1" min="5" max="5" width="9.33"/>
    <col customWidth="1" min="6" max="6" width="6.0"/>
    <col customWidth="1" min="7" max="7" width="9.44"/>
    <col customWidth="1" min="8" max="8" width="20.33"/>
    <col customWidth="1" min="9" max="9" width="20.44"/>
    <col customWidth="1" min="10" max="10" width="11.0"/>
    <col customWidth="1" min="11" max="12" width="10.78"/>
    <col customWidth="1" min="13" max="26" width="11.0"/>
  </cols>
  <sheetData>
    <row r="1" ht="14.25" customHeight="1">
      <c r="A1" s="14" t="s">
        <v>38</v>
      </c>
      <c r="G1" s="15"/>
      <c r="H1" s="15"/>
      <c r="I1" s="16" t="s">
        <v>39</v>
      </c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14.25" customHeight="1">
      <c r="A2" s="15"/>
      <c r="B2" s="15"/>
      <c r="C2" s="15"/>
      <c r="D2" s="15"/>
      <c r="E2" s="15"/>
      <c r="F2" s="15"/>
      <c r="G2" s="15"/>
      <c r="H2" s="17" t="s">
        <v>40</v>
      </c>
      <c r="I2" s="18" t="str">
        <f>DATE(F3, 7, 1)</f>
        <v>#VALUE!</v>
      </c>
      <c r="J2" s="15"/>
      <c r="K2" s="19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t="14.25" customHeight="1">
      <c r="A3" s="15" t="s">
        <v>100</v>
      </c>
      <c r="B3" s="15"/>
      <c r="C3" s="20" t="s">
        <v>109</v>
      </c>
      <c r="D3" s="15"/>
      <c r="E3" s="15" t="s">
        <v>43</v>
      </c>
      <c r="F3" s="20" t="str">
        <f>YEAR(Results!E3)</f>
        <v>#VALUE!</v>
      </c>
      <c r="G3" s="15"/>
      <c r="H3" s="17" t="s">
        <v>44</v>
      </c>
      <c r="I3" s="18" t="str">
        <f>EOMONTH(I2,2)</f>
        <v>#VALUE!</v>
      </c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t="14.25" customHeight="1">
      <c r="A4" s="15" t="s">
        <v>45</v>
      </c>
      <c r="B4" s="15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t="14.25" customHeight="1">
      <c r="A5" s="15"/>
      <c r="B5" s="15"/>
      <c r="C5" s="15"/>
      <c r="D5" s="15"/>
      <c r="E5" s="15"/>
      <c r="F5" s="15"/>
      <c r="G5" s="15"/>
      <c r="H5" s="15"/>
      <c r="I5" s="15"/>
      <c r="J5" s="15"/>
      <c r="K5" s="15"/>
      <c r="L5" s="15"/>
      <c r="M5" s="15"/>
      <c r="N5" s="15"/>
      <c r="O5" s="21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t="14.25" customHeight="1">
      <c r="A6" s="15" t="s">
        <v>46</v>
      </c>
      <c r="B6" s="15"/>
      <c r="C6" s="15"/>
      <c r="D6" s="15"/>
      <c r="E6" s="15"/>
      <c r="F6" s="15"/>
      <c r="G6" s="15"/>
      <c r="H6" s="15"/>
      <c r="I6" s="20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t="14.25" customHeight="1">
      <c r="A7" s="22"/>
      <c r="B7" s="23" t="s">
        <v>47</v>
      </c>
      <c r="C7" s="24"/>
      <c r="D7" s="23" t="s">
        <v>48</v>
      </c>
      <c r="E7" s="24"/>
      <c r="F7" s="25" t="s">
        <v>49</v>
      </c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t="14.25" customHeight="1">
      <c r="A8" s="26"/>
      <c r="B8" s="27" t="s">
        <v>50</v>
      </c>
      <c r="C8" s="27" t="s">
        <v>51</v>
      </c>
      <c r="D8" s="27" t="s">
        <v>50</v>
      </c>
      <c r="E8" s="27" t="s">
        <v>51</v>
      </c>
      <c r="F8" s="26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t="14.25" customHeight="1">
      <c r="A9" s="28"/>
      <c r="B9" s="28">
        <f>COUNTIFS(Results!$E:$E,"&gt;="&amp;$I$2,Results!$E:$E,"&lt;="&amp;$I$3,Results!$I:$I,"Male",Results!$J:$J,"&lt;15", Results!$F:$F,"*tive")</f>
        <v>0</v>
      </c>
      <c r="C9" s="28">
        <f>COUNTIFS(Results!$E:$E,"&gt;="&amp;$I$2,Results!$E:$E,"&lt;="&amp;$I$3,Results!$I:$I,"Male",Results!$J:$J,"&gt;=15", Results!$F:$F,"*tive")</f>
        <v>0</v>
      </c>
      <c r="D9" s="28">
        <f>COUNTIFS(Results!$E:$E,"&gt;="&amp;$I$2,Results!$E:$E,"&lt;="&amp;$I$3,Results!$I:$I,"Female",Results!$J:$J,"&lt;15", Results!$F:$F,"*tive")</f>
        <v>0</v>
      </c>
      <c r="E9" s="28">
        <f>COUNTIFS(Results!$E:$E,"&gt;="&amp;$I$2,Results!$E:$E,"&lt;="&amp;$I$3,Results!$I:$I,"Female",Results!$J:$J,"&gt;=15", Results!$F:$F,"*tive")</f>
        <v>0</v>
      </c>
      <c r="F9" s="28">
        <f>COUNTIFS(Results!$E:$E,"&gt;="&amp;$I$2,Results!$E:$E,"&lt;="&amp;$I$3, Results!$F:$F,"*tive", Results!$J:$J,"&lt;&gt;Not on Form", Results!$J:$J,"&lt;&gt;N/A", Results!$I:$I,"&lt;&gt;Not on Form", Results!$I:$I,"&lt;&gt;N/A")</f>
        <v>0</v>
      </c>
      <c r="G9" s="15" t="str">
        <f>IF(SUM(B9:E9)=F9,"","Check Total Value &amp; Category")</f>
        <v/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t="14.25" customHeight="1">
      <c r="A10" s="15"/>
      <c r="B10" s="15"/>
      <c r="C10" s="15"/>
      <c r="D10" s="15"/>
      <c r="E10" s="15"/>
      <c r="F10" s="15"/>
      <c r="G10" s="15"/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t="14.25" customHeight="1">
      <c r="A11" s="15" t="s">
        <v>52</v>
      </c>
      <c r="B11" s="15"/>
      <c r="C11" s="15"/>
      <c r="D11" s="15"/>
      <c r="E11" s="15"/>
      <c r="F11" s="15"/>
      <c r="G11" s="15"/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t="14.25" customHeight="1">
      <c r="A12" s="28"/>
      <c r="B12" s="28"/>
      <c r="C12" s="29" t="s">
        <v>53</v>
      </c>
      <c r="D12" s="29" t="s">
        <v>54</v>
      </c>
      <c r="E12" s="29" t="s">
        <v>55</v>
      </c>
      <c r="F12" s="29" t="s">
        <v>49</v>
      </c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t="15.75" customHeight="1">
      <c r="A13" s="30" t="s">
        <v>56</v>
      </c>
      <c r="B13" s="28" t="s">
        <v>57</v>
      </c>
      <c r="C13" s="28">
        <f>COUNTIFS(Results!$E:$E,"&gt;="&amp;$I$2,Results!$E:$E,"&lt;="&amp;$I$3,Results!$L:$L,"Positive",Results!$K:$K,"No", Results!$F:$F,"*tive") + COUNTIFS(Results!$E:$E,"&gt;="&amp;$I$2,Results!$E:$E,"&lt;="&amp;$I$3,Results!$L:$L,"Positive",Results!$K:$K,"On Treatment", Results!$F:$F,"*tive")</f>
        <v>0</v>
      </c>
      <c r="D13" s="28">
        <f>COUNTIFS(Results!$E:$E,"&gt;="&amp;$I$2,Results!$E:$E,"&lt;="&amp;$I$3,Results!$L:$L,"Positive",Results!$K:$K,"Yes", Results!$F:$F,"*tive")</f>
        <v>0</v>
      </c>
      <c r="E13" s="28">
        <f>COUNTIFS(Results!$E:$E,"&gt;="&amp;$I$2,Results!$E:$E,"&lt;="&amp;$I$3,Results!$L:$L,"Positive",Results!$K:$K,"Unknown", Results!$F:$F,"*tive")</f>
        <v>0</v>
      </c>
      <c r="F13" s="28">
        <f>COUNTIFS(Results!$E:$E,"&gt;="&amp;$I$2,Results!$E:$E,"&lt;="&amp;$I$3,Results!$L:$L,"Positive", Results!$F:$F,"*tive", Results!$K:$K,"&lt;&gt;Not on Form", Results!$K:$K,"&lt;&gt;N/A", Results!$L:$L,"&lt;&gt;Not on Form", Results!$L:$L,"&lt;&gt;N/A")</f>
        <v>0</v>
      </c>
      <c r="G13" s="31" t="str">
        <f>IF($F$9=SUM(F13:F15),"","Error! Microscopy result does NOT match, cross check: Missing information in Microscopy Result")</f>
        <v/>
      </c>
      <c r="I13" s="15" t="str">
        <f t="shared" ref="I13:I18" si="1">IF(SUM(C13:E13)=F13,"","Check Total Value &amp; Category")</f>
        <v/>
      </c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t="14.25" customHeight="1">
      <c r="A14" s="32"/>
      <c r="B14" s="28" t="s">
        <v>58</v>
      </c>
      <c r="C14" s="28">
        <f>COUNTIFS(Results!$E:$E,"&gt;="&amp;$I$2,Results!$E:$E,"&lt;="&amp;$I$3,Results!$L:$L,"Negative",Results!$K:$K,"No", Results!$F:$F,"*tive") + COUNTIFS(Results!$E:$E,"&gt;="&amp;$I$2,Results!$E:$E,"&lt;="&amp;$I$3,Results!$L:$L,"Negative",Results!$K:$K,"On Treatment", Results!$F:$F,"*tive")</f>
        <v>0</v>
      </c>
      <c r="D14" s="28">
        <f>COUNTIFS(Results!$E:$E,"&gt;="&amp;$I$2,Results!$E:$E,"&lt;="&amp;$I$3,Results!$L:$L,"Negative",Results!$K:$K,"Yes", Results!$F:$F,"*tive")</f>
        <v>0</v>
      </c>
      <c r="E14" s="28">
        <f>COUNTIFS(Results!$E:$E,"&gt;="&amp;$I$2,Results!$E:$E,"&lt;="&amp;$I$3,Results!$L:$L,"Negative",Results!$K:$K,"Unknown", Results!$F:$F,"*tive")</f>
        <v>0</v>
      </c>
      <c r="F14" s="28">
        <f>COUNTIFS(Results!$E:$E,"&gt;="&amp;$I$2,Results!$E:$E,"&lt;="&amp;$I$3,Results!$L:$L,"Negative", Results!$F:$F,"*tive",Results!$K:$K,"&lt;&gt;Not on Form", Results!$K:$K,"&lt;&gt;N/A", Results!$L:$L,"&lt;&gt;Not on Form", Results!$L:$L,"&lt;&gt;N/A")</f>
        <v>0</v>
      </c>
      <c r="G14" s="33"/>
      <c r="I14" s="15" t="str">
        <f t="shared" si="1"/>
        <v/>
      </c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t="14.25" customHeight="1">
      <c r="A15" s="26"/>
      <c r="B15" s="28" t="s">
        <v>59</v>
      </c>
      <c r="C15" s="28">
        <f>COUNTIFS(Results!$E:$E,"&gt;="&amp;$I$2,Results!$E:$E,"&lt;="&amp;$I$3,Results!$L:$L,"Not Done",Results!$K:$K,"No", Results!$F:$F,"*tive") + COUNTIFS(Results!$E:$E,"&gt;="&amp;$I$2,Results!$E:$E,"&lt;="&amp;$I$3,Results!$L:$L,"Not Done",Results!$K:$K,"On Treatment", Results!$F:$F,"*tive")</f>
        <v>0</v>
      </c>
      <c r="D15" s="28">
        <f>COUNTIFS(Results!$E:$E,"&gt;="&amp;$I$2,Results!$E:$E,"&lt;="&amp;$I$3,Results!$L:$L,"Not Done",Results!$K:$K,"Yes", Results!$F:$F,"*tive")</f>
        <v>0</v>
      </c>
      <c r="E15" s="28">
        <f>COUNTIFS(Results!$E:$E,"&gt;="&amp;$I$2,Results!$E:$E,"&lt;="&amp;$I$3,Results!$L:$L,"Not Done",Results!$K:$K,"Unknown", Results!$F:$F,"*tive")</f>
        <v>0</v>
      </c>
      <c r="F15" s="28">
        <f>COUNTIFS(Results!$E:$E,"&gt;="&amp;$I$2,Results!$E:$E,"&lt;="&amp;$I$3,Results!$L:$L,"Not Done", Results!$F:$F,"*tive", Results!$K:$K,"&lt;&gt;Not on Form", Results!$K:$K,"&lt;&gt;N/A", Results!$L:$L,"&lt;&gt;Not on Form", Results!$L:$L,"&lt;&gt;N/A")</f>
        <v>0</v>
      </c>
      <c r="G15" s="33"/>
      <c r="I15" s="15" t="str">
        <f t="shared" si="1"/>
        <v/>
      </c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t="14.25" customHeight="1">
      <c r="A16" s="25" t="s">
        <v>60</v>
      </c>
      <c r="B16" s="28" t="s">
        <v>61</v>
      </c>
      <c r="C16" s="28">
        <f>COUNTIFS(Results!$E:$E,"&gt;="&amp;$I$2,Results!$E:$E,"&lt;="&amp;$I$3,Results!$F:$F,"Negative",Results!$K:$K,"No") + COUNTIFS(Results!$E:$E,"&gt;="&amp;$I$2,Results!$E:$E,"&lt;="&amp;$I$3,Results!$F:$F,"Negative",Results!$K:$K,"On Treatment")</f>
        <v>0</v>
      </c>
      <c r="D16" s="28">
        <f>COUNTIFS(Results!$E:$E,"&gt;="&amp;$I$2,Results!$E:$E,"&lt;="&amp;$I$3,Results!$F:$F,"Negative",Results!$K:$K,"Yes")</f>
        <v>0</v>
      </c>
      <c r="E16" s="28">
        <f>COUNTIFS(Results!$E:$E,"&gt;="&amp;$I$2,Results!$E:$E,"&lt;="&amp;$I$3,Results!$F:$F,"Negative",Results!$K:$K,"Unknown")</f>
        <v>0</v>
      </c>
      <c r="F16" s="28">
        <f>COUNTIFS(Results!$E:$E,"&gt;="&amp;$I$2,Results!$E:$E,"&lt;="&amp;$I$3,Results!$F:$F,"Negative", Results!$K:$K,"&lt;&gt;Not on Form", Results!$K:$K,"&lt;&gt;N/A")</f>
        <v>0</v>
      </c>
      <c r="G16" s="31" t="str">
        <f>IF($F$9=SUM(F16:F20),"","Error! Cross information between Xpert result and treatment category are not match; possibly there will be Erorr or missing information on MTB result OR RIF result")</f>
        <v/>
      </c>
      <c r="I16" s="15" t="str">
        <f t="shared" si="1"/>
        <v/>
      </c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t="14.25" customHeight="1">
      <c r="A17" s="32"/>
      <c r="B17" s="28" t="s">
        <v>62</v>
      </c>
      <c r="C17" s="28">
        <f>COUNTIFS(Results!$E:$E,"&gt;="&amp;$I$2,Results!$E:$E,"&lt;="&amp;$I$3,Results!$F:$F,"Positive",Results!$G:$G,"Negative",Results!$K:$K,"No") + COUNTIFS(Results!$E:$E,"&gt;="&amp;$I$2,Results!$E:$E,"&lt;="&amp;$I$3,Results!$F:$F,"Positive",Results!$G:$G,"Negative",Results!$K:$K,"On Treatment")</f>
        <v>0</v>
      </c>
      <c r="D17" s="28">
        <f>COUNTIFS(Results!$E:$E,"&gt;="&amp;$I$2,Results!$E:$E,"&lt;="&amp;$I$3,Results!$F:$F,"Positive",Results!$G:$G,"Negative",Results!$K:$K,"Yes")</f>
        <v>0</v>
      </c>
      <c r="E17" s="28">
        <f>COUNTIFS(Results!$E:$E,"&gt;="&amp;$I$2,Results!$E:$E,"&lt;="&amp;$I$3,Results!$F:$F,"Positive",Results!$G:$G,"Negative",Results!$K:$K,"Unknown")</f>
        <v>0</v>
      </c>
      <c r="F17" s="28">
        <f>COUNTIFS(Results!$E:$E,"&gt;="&amp;$I$2,Results!$E:$E,"&lt;="&amp;$I$3,Results!$F:$F,"Positive",Results!$G:$G,"Negative", Results!$K:$K,"&lt;&gt;Not on Form", Results!$K:$K,"&lt;&gt;N/A")</f>
        <v>0</v>
      </c>
      <c r="G17" s="33"/>
      <c r="I17" s="15" t="str">
        <f t="shared" si="1"/>
        <v/>
      </c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t="14.25" customHeight="1">
      <c r="A18" s="32"/>
      <c r="B18" s="28" t="s">
        <v>63</v>
      </c>
      <c r="C18" s="28">
        <f>COUNTIFS(Results!$E:$E,"&gt;="&amp;$I$2,Results!$E:$E,"&lt;="&amp;$I$3,Results!$F:$F,"Positive",Results!$G:$G,"Positive",Results!$K:$K,"No") + COUNTIFS(Results!$E:$E,"&gt;="&amp;$I$2,Results!$E:$E,"&lt;="&amp;$I$3,Results!$F:$F,"Positive",Results!$G:$G,"Positive",Results!$K:$K,"On Treatment")</f>
        <v>0</v>
      </c>
      <c r="D18" s="28">
        <f>COUNTIFS(Results!$E:$E,"&gt;="&amp;$I$2,Results!$E:$E,"&lt;="&amp;$I$3,Results!$F:$F,"Positive",Results!$G:$G,"Positive",Results!$K:$K,"Yes")</f>
        <v>0</v>
      </c>
      <c r="E18" s="28">
        <f>COUNTIFS(Results!$E:$E,"&gt;="&amp;$I$2,Results!$E:$E,"&lt;="&amp;$I$3,Results!$F:$F,"Positive",Results!$G:$G,"Positive",Results!$K:$K,"Unknown")</f>
        <v>0</v>
      </c>
      <c r="F18" s="28">
        <f>COUNTIFS(Results!$E:$E,"&gt;="&amp;$I$2,Results!$E:$E,"&lt;="&amp;$I$3,Results!$F:$F,"Positive",Results!$G:$G,"Positive", Results!$K:$K,"&lt;&gt;Not on Form", Results!$K:$K,"&lt;&gt;N/A")</f>
        <v>0</v>
      </c>
      <c r="G18" s="33"/>
      <c r="I18" s="15" t="str">
        <f t="shared" si="1"/>
        <v/>
      </c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t="14.25" customHeight="1">
      <c r="A19" s="32"/>
      <c r="B19" s="28" t="s">
        <v>64</v>
      </c>
      <c r="C19" s="28">
        <f>COUNTIFS(Results!$E:$E,"&gt;="&amp;$I$2,Results!$E:$E,"&lt;="&amp;$I$3,Results!$F:$F,"Positive",Results!$G:$G,"Indeterminate",Results!$K:$K,"No") + COUNTIFS(Results!$E:$E,"&gt;="&amp;$I$2,Results!$E:$E,"&lt;="&amp;$I$3,Results!$F:$F,"Positive",Results!$G:$G,"Indeterminate",Results!$K:$K,"On Treatment")</f>
        <v>0</v>
      </c>
      <c r="D19" s="28">
        <f>COUNTIFS(Results!$E:$E,"&gt;="&amp;$I$2,Results!$E:$E,"&lt;="&amp;$I$3,Results!$F:$F,"Positive",Results!$G:$G,"Indeterminate",Results!$K:$K,"Yes")</f>
        <v>0</v>
      </c>
      <c r="E19" s="28">
        <f>COUNTIFS(Results!$E:$E,"&gt;="&amp;$I$2,Results!$E:$E,"&lt;="&amp;$I$3,Results!$F:$F,"Positive",Results!$G:$G,"Indeterminate",Results!$K:$K,"Unknown")</f>
        <v>0</v>
      </c>
      <c r="F19" s="28">
        <f>COUNTIFS(Results!$E:$E,"&gt;="&amp;$I$2,Results!$E:$E,"&lt;="&amp;$I$3,Results!$F:$F,"Positive",Results!$G:$G,"Indeterminate", Results!$K:$K,"&lt;&gt;Not on Form", Results!$K:$K,"&lt;&gt;N/A")</f>
        <v>0</v>
      </c>
      <c r="G19" s="33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t="14.25" customHeight="1">
      <c r="A20" s="26"/>
      <c r="B20" s="28" t="s">
        <v>65</v>
      </c>
      <c r="C20" s="28">
        <f>COUNTIFS(Results!$E:$E,"&gt;="&amp;$I$2,Results!$E:$E,"&lt;="&amp;$I$3,Results!$F:$F,"Trace",Results!$G:$G,"Indeterminate",Results!$K:$K,"No") + COUNTIFS(Results!$E:$E,"&gt;="&amp;$I$2,Results!$E:$E,"&lt;="&amp;$I$3,Results!$F:$F,"Trace",Results!$G:$G,"Indeterminate",Results!$K:$K,"On Treatment")</f>
        <v>0</v>
      </c>
      <c r="D20" s="28">
        <f>COUNTIFS(Results!$E:$E,"&gt;="&amp;$I$2,Results!$E:$E,"&lt;="&amp;$I$3,Results!$F:$F,"Trace",Results!$G:$G,"Indeterminate",Results!$K:$K,"Yes")</f>
        <v>0</v>
      </c>
      <c r="E20" s="28">
        <f>COUNTIFS(Results!$E:$E,"&gt;="&amp;$I$2,Results!$E:$E,"&lt;="&amp;$I$3,Results!$F:$F,"Trace",Results!$G:$G,"Indeterminate",Results!$K:$K,"Unknown")</f>
        <v>0</v>
      </c>
      <c r="F20" s="28">
        <f>COUNTIFS(Results!$E:$E,"&gt;="&amp;$I$2,Results!$E:$E,"&lt;="&amp;$I$3,Results!$F:$F,"Trace",Results!$G:$G,"Indeterminate", Results!$K:$K,"&lt;&gt;Not on Form", Results!$K:$K,"&lt;&gt;N/A")</f>
        <v>0</v>
      </c>
      <c r="G20" s="33"/>
      <c r="I20" s="15" t="str">
        <f>IF(SUM(C20:E20)=F20,"","Check Total Value &amp; Category")</f>
        <v/>
      </c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t="14.25" customHeight="1">
      <c r="A21" s="15"/>
      <c r="B21" s="15"/>
      <c r="C21" s="15"/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t="14.25" customHeight="1">
      <c r="A22" s="15" t="s">
        <v>66</v>
      </c>
      <c r="B22" s="15"/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t="14.25" customHeight="1">
      <c r="A23" s="28"/>
      <c r="B23" s="28"/>
      <c r="C23" s="34" t="s">
        <v>67</v>
      </c>
      <c r="D23" s="34" t="s">
        <v>68</v>
      </c>
      <c r="E23" s="27" t="s">
        <v>55</v>
      </c>
      <c r="F23" s="27" t="s">
        <v>49</v>
      </c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t="15.75" hidden="1" customHeight="1">
      <c r="A24" s="30" t="s">
        <v>56</v>
      </c>
      <c r="B24" s="28" t="s">
        <v>57</v>
      </c>
      <c r="C24" s="28">
        <f>COUNTIFS(Results!$E:$E,"&gt;="&amp;$I$2,Results!$E:$E,"&lt;="&amp;$I$3,Results!$L:$L,"Positive",Results!$H:$H,"Positive", Results!$F:$F,"*tive")</f>
        <v>0</v>
      </c>
      <c r="D24" s="28">
        <f>COUNTIFS(Results!$E:$E,"&gt;="&amp;$I$2,Results!$E:$E,"&lt;="&amp;$I$3,Results!$L:$L,"Positive",Results!$H:$H,"Negative", Results!$F:$F,"*tive")</f>
        <v>0</v>
      </c>
      <c r="E24" s="28">
        <f>COUNTIFS(Results!$E:$E,"&gt;="&amp;$I$2,Results!$E:$E,"&lt;="&amp;$I$3,Results!$L:$L,"Positive",Results!$H:$H,"Unknown", Results!$F:$F,"*tive")</f>
        <v>0</v>
      </c>
      <c r="F24" s="28">
        <f>COUNTIFS(Results!$E:$E,"&gt;="&amp;$I$2,Results!$E:$E,"&lt;="&amp;$I$3,Results!$L:$L,"Positive", Results!$F:$F,"*tive", Results!$H:$H,"&lt;&gt;Not on Form", Results!$H:$H,"&lt;&gt;N/A", Results!$L:$L,"&lt;&gt;Not on Form", Results!$L:$L,"&lt;&gt;N/A")</f>
        <v>0</v>
      </c>
      <c r="G24" s="31" t="str">
        <f>IF($F$9=SUM(F24:F26),"","Error! Microscope Result and HIV Status do NOT match; Crosscheck for missing information in Microscope Result OR HIV Status")</f>
        <v/>
      </c>
      <c r="I24" s="15" t="str">
        <f t="shared" ref="I24:I29" si="2">IF(SUM(C24:E24)=F24,"","Check Total Value &amp; Category")</f>
        <v/>
      </c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t="14.25" hidden="1" customHeight="1">
      <c r="A25" s="32"/>
      <c r="B25" s="28" t="s">
        <v>58</v>
      </c>
      <c r="C25" s="28">
        <f>COUNTIFS(Results!$E:$E,"&gt;="&amp;$I$2,Results!$E:$E,"&lt;="&amp;$I$3,Results!$L:$L,"Negative",Results!$H:$H,"Positive", Results!$F:$F,"*tive")</f>
        <v>0</v>
      </c>
      <c r="D25" s="28">
        <f>COUNTIFS(Results!$E:$E,"&gt;="&amp;$I$2,Results!$E:$E,"&lt;="&amp;$I$3,Results!$L:$L,"Negative",Results!$H:$H,"Negative", Results!$F:$F,"*tive")</f>
        <v>0</v>
      </c>
      <c r="E25" s="28">
        <f>COUNTIFS(Results!$E:$E,"&gt;="&amp;$I$2,Results!$E:$E,"&lt;="&amp;$I$3,Results!$L:$L,"Negative",Results!$H:$H,"Unknown", Results!$F:$F,"*tive")</f>
        <v>0</v>
      </c>
      <c r="F25" s="28">
        <f>COUNTIFS(Results!$E:$E,"&gt;="&amp;$I$2,Results!$E:$E,"&lt;="&amp;$I$3,Results!$L:$L,"Negative", Results!$F:$F,"*tive",  Results!$H:$H,"&lt;&gt;Not on Form", Results!$H:$H,"&lt;&gt;N/A", Results!$L:$L,"&lt;&gt;Not on Form", Results!$L:$L,"&lt;&gt;N/A")</f>
        <v>0</v>
      </c>
      <c r="G25" s="33"/>
      <c r="I25" s="15" t="str">
        <f t="shared" si="2"/>
        <v/>
      </c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t="14.25" hidden="1" customHeight="1">
      <c r="A26" s="26"/>
      <c r="B26" s="28" t="s">
        <v>59</v>
      </c>
      <c r="C26" s="28">
        <f>COUNTIFS(Results!$E:$E,"&gt;="&amp;$I$2,Results!$E:$E,"&lt;="&amp;$I$3,Results!$L:$L,"Not Done",Results!$H:$H,"Positive", Results!$F:$F,"*tive")</f>
        <v>0</v>
      </c>
      <c r="D26" s="28">
        <f>COUNTIFS(Results!$E:$E,"&gt;="&amp;$I$2,Results!$E:$E,"&lt;="&amp;$I$3,Results!$L:$L,"Not Done",Results!$H:$H,"Negative", Results!$F:$F,"*tive")</f>
        <v>0</v>
      </c>
      <c r="E26" s="28">
        <f>COUNTIFS(Results!$E:$E,"&gt;="&amp;$I$2,Results!$E:$E,"&lt;="&amp;$I$3,Results!$L:$L,"Not Done",Results!$H:$H,"Unknown", Results!$F:$F,"*tive")</f>
        <v>0</v>
      </c>
      <c r="F26" s="28">
        <f>COUNTIFS(Results!$E:$E,"&gt;="&amp;$I$2,Results!$E:$E,"&lt;="&amp;$I$3,Results!$L:$L,"Not Done",Results!$F:$F,"*tive",  Results!$H:$H,"&lt;&gt;Not on Form", Results!$H:$H,"&lt;&gt;N/A", Results!$L:$L,"&lt;&gt;Not on Form", Results!$L:$L,"&lt;&gt;N/A")</f>
        <v>0</v>
      </c>
      <c r="G26" s="33"/>
      <c r="I26" s="15" t="str">
        <f t="shared" si="2"/>
        <v/>
      </c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t="14.25" customHeight="1">
      <c r="A27" s="25" t="s">
        <v>60</v>
      </c>
      <c r="B27" s="28" t="s">
        <v>61</v>
      </c>
      <c r="C27" s="28">
        <f>COUNTIFS(Results!$E:$E,"&gt;="&amp;$I$2,Results!$E:$E,"&lt;="&amp;$I$3,Results!$F:$F,"Negative",Results!$H:$H,"Positive")</f>
        <v>0</v>
      </c>
      <c r="D27" s="28">
        <f>COUNTIFS(Results!$E:$E,"&gt;="&amp;$I$2,Results!$E:$E,"&lt;="&amp;$I$3,Results!$F:$F,"Negative",Results!$H:$H,"Negative")</f>
        <v>0</v>
      </c>
      <c r="E27" s="28">
        <f>COUNTIFS(Results!$E:$E,"&gt;="&amp;$I$2,Results!$E:$E,"&lt;="&amp;$I$3,Results!$F:$F,"Negative",Results!$H:$H,"Unknown")</f>
        <v>0</v>
      </c>
      <c r="F27" s="28">
        <f>COUNTIFS(Results!$E:$E,"&gt;="&amp;$I$2,Results!$E:$E,"&lt;="&amp;$I$3,Results!$F:$F,"Negative", Results!$H:$H,"&lt;&gt;Not on Form", Results!$H:$H,"&lt;&gt;N/A")</f>
        <v>0</v>
      </c>
      <c r="G27" s="31" t="str">
        <f>IF($F$9=SUM(F27:F31),"","Error! Cross information between Xpert result and HIV Status are not match; possibly there will be Erorr or missing information on MTB result OR HIV Status")</f>
        <v/>
      </c>
      <c r="I27" s="15" t="str">
        <f t="shared" si="2"/>
        <v/>
      </c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t="14.25" customHeight="1">
      <c r="A28" s="32"/>
      <c r="B28" s="28" t="s">
        <v>62</v>
      </c>
      <c r="C28" s="28">
        <f>COUNTIFS(Results!$E:$E,"&gt;="&amp;$I$2,Results!$E:$E,"&lt;="&amp;$I$3,Results!$F:$F,"Positive",Results!$G:$G,"Negative",Results!$H:$H,"Positive")</f>
        <v>0</v>
      </c>
      <c r="D28" s="28">
        <f>COUNTIFS(Results!$E:$E,"&gt;="&amp;$I$2,Results!$E:$E,"&lt;="&amp;$I$3,Results!$F:$F,"Positive",Results!$G:$G,"Negative",Results!$H:$H,"Negative")</f>
        <v>0</v>
      </c>
      <c r="E28" s="28">
        <f>COUNTIFS(Results!$E:$E,"&gt;="&amp;$I$2,Results!$E:$E,"&lt;="&amp;$I$3,Results!$F:$F,"Positive",Results!$G:$G,"Negative",Results!$H:$H,"Unknown")</f>
        <v>0</v>
      </c>
      <c r="F28" s="28">
        <f>COUNTIFS(Results!$E:$E,"&gt;="&amp;$I$2,Results!$E:$E,"&lt;="&amp;$I$3,Results!$F:$F,"Positive",Results!$G:$G,"Negative", Results!$H:$H,"&lt;&gt;Not on Form", Results!$H:$H,"&lt;&gt;N/A")</f>
        <v>0</v>
      </c>
      <c r="G28" s="33"/>
      <c r="I28" s="15" t="str">
        <f t="shared" si="2"/>
        <v/>
      </c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t="14.25" customHeight="1">
      <c r="A29" s="32"/>
      <c r="B29" s="28" t="s">
        <v>63</v>
      </c>
      <c r="C29" s="28">
        <f>COUNTIFS(Results!$E:$E,"&gt;="&amp;$I$2,Results!$E:$E,"&lt;="&amp;$I$3,Results!$F:$F,"Positive",Results!$G:$G,"Positive",Results!$H:$H,"Positive")</f>
        <v>0</v>
      </c>
      <c r="D29" s="28">
        <f>COUNTIFS(Results!$E:$E,"&gt;="&amp;$I$2,Results!$E:$E,"&lt;="&amp;$I$3,Results!$F:$F,"Positive",Results!$G:$G,"Positive",Results!$H:$H,"Negative")</f>
        <v>0</v>
      </c>
      <c r="E29" s="28">
        <f>COUNTIFS(Results!$E:$E,"&gt;="&amp;$I$2,Results!$E:$E,"&lt;="&amp;$I$3,Results!$F:$F,"Positive",Results!$G:$G,"Positive",Results!$H:$H,"Unknown")</f>
        <v>0</v>
      </c>
      <c r="F29" s="28">
        <f>COUNTIFS(Results!$E:$E,"&gt;="&amp;$I$2,Results!$E:$E,"&lt;="&amp;$I$3,Results!$F:$F,"Positive",Results!$G:$G,"Positive", Results!$H:$H,"&lt;&gt;Not on Form", Results!$H:$H,"&lt;&gt;N/A")</f>
        <v>0</v>
      </c>
      <c r="G29" s="33"/>
      <c r="I29" s="15" t="str">
        <f t="shared" si="2"/>
        <v/>
      </c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t="14.25" customHeight="1">
      <c r="A30" s="32"/>
      <c r="B30" s="28" t="s">
        <v>64</v>
      </c>
      <c r="C30" s="28">
        <f>COUNTIFS(Results!$E:$E,"&gt;="&amp;$I$2,Results!$E:$E,"&lt;="&amp;$I$3,Results!$F:$F,"Positive",Results!$G:$G,"Indeterminate",Results!$H:$H,"Positive")</f>
        <v>0</v>
      </c>
      <c r="D30" s="28">
        <f>COUNTIFS(Results!$E:$E,"&gt;="&amp;$I$2,Results!$E:$E,"&lt;="&amp;$I$3,Results!$F:$F,"Positive",Results!$G:$G,"Indeterminate",Results!$H:$H,"Negative")</f>
        <v>0</v>
      </c>
      <c r="E30" s="28">
        <f>COUNTIFS(Results!$E:$E,"&gt;="&amp;$I$2,Results!$E:$E,"&lt;="&amp;$I$3,Results!$F:$F,"Positive",Results!$G:$G,"Indeterminate",Results!$H:$H,"Unknown")</f>
        <v>0</v>
      </c>
      <c r="F30" s="28">
        <f>COUNTIFS(Results!$E:$E,"&gt;="&amp;$I$2,Results!$E:$E,"&lt;="&amp;$I$3,Results!$F:$F,"Positive",Results!$G:$G,"Indeterminate", Results!$H:$H,"&lt;&gt;Not on Form", Results!$H:$H,"&lt;&gt;N/A")</f>
        <v>0</v>
      </c>
      <c r="G30" s="33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t="14.25" customHeight="1">
      <c r="A31" s="26"/>
      <c r="B31" s="28" t="s">
        <v>65</v>
      </c>
      <c r="C31" s="28">
        <f>COUNTIFS(Results!$E:$E,"&gt;="&amp;$I$2,Results!$E:$E,"&lt;="&amp;$I$3,Results!$F:$F,"Trace",Results!$G:$G,"Indeterminate",Results!$H:$H,"Positive")</f>
        <v>0</v>
      </c>
      <c r="D31" s="28">
        <f>COUNTIFS(Results!$E:$E,"&gt;="&amp;$I$2,Results!$E:$E,"&lt;="&amp;$I$3,Results!$F:$F,"Trace",Results!$G:$G,"Indeterminate",Results!$H:$H,"Negative")</f>
        <v>0</v>
      </c>
      <c r="E31" s="28">
        <f>COUNTIFS(Results!$E:$E,"&gt;="&amp;$I$2,Results!$E:$E,"&lt;="&amp;$I$3,Results!$F:$F,"Trace",Results!$G:$G,"Indeterminate",Results!$H:$H,"Unknown")</f>
        <v>0</v>
      </c>
      <c r="F31" s="28">
        <f>COUNTIFS(Results!$E:$E,"&gt;="&amp;$I$2,Results!$E:$E,"&lt;="&amp;$I$3,Results!$F:$F,"Trace",Results!$G:$G,"Indeterminate", Results!$H:$H,"&lt;&gt;Not on Form", Results!$H:$H,"&lt;&gt;N/A")</f>
        <v>0</v>
      </c>
      <c r="G31" s="33"/>
      <c r="I31" s="15" t="str">
        <f>IF(SUM(C31:E31)=F31,"","Check Total Value &amp; Category")</f>
        <v/>
      </c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t="14.25" customHeight="1">
      <c r="A32" s="15"/>
      <c r="B32" s="15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t="14.25" customHeight="1">
      <c r="A33" s="35" t="s">
        <v>69</v>
      </c>
      <c r="B33" s="36"/>
      <c r="C33" s="36"/>
      <c r="D33" s="36"/>
      <c r="E33" s="36"/>
      <c r="F33" s="36"/>
      <c r="G33" s="36"/>
      <c r="H33" s="36"/>
      <c r="I33" s="36"/>
      <c r="J33" s="36"/>
      <c r="K33" s="36"/>
      <c r="L33" s="36"/>
      <c r="M33" s="36"/>
      <c r="N33" s="36"/>
      <c r="O33" s="36"/>
      <c r="P33" s="36"/>
      <c r="Q33" s="36"/>
      <c r="R33" s="36"/>
      <c r="S33" s="36"/>
      <c r="T33" s="36"/>
      <c r="U33" s="36"/>
      <c r="V33" s="36"/>
      <c r="W33" s="36"/>
      <c r="X33" s="36"/>
      <c r="Y33" s="36"/>
      <c r="Z33" s="36"/>
    </row>
    <row r="34" ht="14.25" customHeight="1">
      <c r="A34" s="37"/>
      <c r="B34" s="37"/>
      <c r="C34" s="38" t="s">
        <v>70</v>
      </c>
      <c r="D34" s="38" t="s">
        <v>71</v>
      </c>
      <c r="E34" s="38" t="s">
        <v>72</v>
      </c>
      <c r="F34" s="38" t="s">
        <v>73</v>
      </c>
      <c r="G34" s="38" t="s">
        <v>74</v>
      </c>
      <c r="H34" s="39" t="s">
        <v>49</v>
      </c>
      <c r="I34" s="40"/>
      <c r="J34" s="40"/>
      <c r="K34" s="40"/>
      <c r="L34" s="40"/>
      <c r="M34" s="40"/>
      <c r="N34" s="40"/>
      <c r="O34" s="40"/>
      <c r="P34" s="40"/>
      <c r="Q34" s="40"/>
      <c r="R34" s="40"/>
      <c r="S34" s="40"/>
      <c r="T34" s="40"/>
      <c r="U34" s="40"/>
      <c r="V34" s="40"/>
      <c r="W34" s="40"/>
      <c r="X34" s="40"/>
      <c r="Y34" s="40"/>
      <c r="Z34" s="40"/>
    </row>
    <row r="35" ht="14.25" customHeight="1">
      <c r="A35" s="41" t="s">
        <v>60</v>
      </c>
      <c r="B35" s="42" t="s">
        <v>61</v>
      </c>
      <c r="C35" s="43">
        <f>COUNTIFS(Results!$E:$E,"&gt;="&amp;$I$2,Results!$E:$E,"&lt;="&amp;$I$3,Results!$F:$F,"Negative",Results!$S:$S,"*DX*")</f>
        <v>0</v>
      </c>
      <c r="D35" s="43">
        <f>COUNTIFS(Results!$E:$E,"&gt;="&amp;$I$2,Results!$E:$E,"&lt;="&amp;$I$3,Results!$F:$F,"Negative",Results!$S:$S,"*fu*")</f>
        <v>0</v>
      </c>
      <c r="E35" s="43">
        <f>COUNTIFS(Results!$E:$E,"&gt;="&amp;$I$2,Results!$E:$E,"&lt;="&amp;$I$3,Results!$F:$F,"Negative",Results!$S:$S,"*mdr*")</f>
        <v>0</v>
      </c>
      <c r="F35" s="43">
        <f>COUNTIFS(Results!$E:$E,"&gt;="&amp;$I$2,Results!$E:$E,"&lt;="&amp;$I$3,Results!$F:$F,"Negative",Results!$S:$S,"*dm*")</f>
        <v>0</v>
      </c>
      <c r="G35" s="43">
        <f>COUNTIFS(Results!$E:$E,"&gt;="&amp;$I$2,Results!$E:$E,"&lt;="&amp;$I$3,Results!$F:$F,"Negative",Results!$S:$S,"*na*")</f>
        <v>0</v>
      </c>
      <c r="H35" s="43">
        <f>COUNTIFS(Results!$E:$E,"&gt;="&amp;$I$2,Results!$E:$E,"&lt;="&amp;$I$3,Results!$F:$F,"Negative", Results!$O:$O,"&lt;&gt;Not on Form", Results!$O:$O,"&lt;&gt;N/A")</f>
        <v>0</v>
      </c>
      <c r="I35" s="40"/>
      <c r="J35" s="40"/>
      <c r="K35" s="40"/>
      <c r="L35" s="40"/>
      <c r="M35" s="40"/>
      <c r="N35" s="40"/>
      <c r="O35" s="40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</row>
    <row r="36" ht="14.25" customHeight="1">
      <c r="A36" s="32"/>
      <c r="B36" s="42" t="s">
        <v>62</v>
      </c>
      <c r="C36" s="43">
        <f>COUNTIFS(Results!$E:$E,"&gt;="&amp;$I$2,Results!$E:$E,"&lt;="&amp;$I$3,Results!$F:$F,"Positive",Results!$G:$G,"Negative",Results!$S:$S,"*DX*")</f>
        <v>0</v>
      </c>
      <c r="D36" s="43">
        <f>COUNTIFS(Results!$E:$E,"&gt;="&amp;$I$2,Results!$E:$E,"&lt;="&amp;$I$3,Results!$F:$F,"Positive",Results!$G:$G,"Negative",Results!$S:$S,"*fu*")</f>
        <v>0</v>
      </c>
      <c r="E36" s="43">
        <f>COUNTIFS(Results!$E:$E,"&gt;="&amp;$I$2,Results!$E:$E,"&lt;="&amp;$I$3,Results!$F:$F,"Positive",Results!$G:$G,"Negative",Results!$S:$S,"*mdr*")</f>
        <v>0</v>
      </c>
      <c r="F36" s="43">
        <f>COUNTIFS(Results!$E:$E,"&gt;="&amp;$I$2,Results!$E:$E,"&lt;="&amp;$I$3,Results!$F:$F,"Positive",Results!$G:$G,"Negative",Results!$S:$S,"*Dm*")</f>
        <v>0</v>
      </c>
      <c r="G36" s="43">
        <f>COUNTIFS(Results!$E:$E,"&gt;="&amp;$I$2,Results!$E:$E,"&lt;="&amp;$I$3,Results!$F:$F,"Positive",Results!$G:$G,"Negative",Results!$S:$S,"*na*")</f>
        <v>0</v>
      </c>
      <c r="H36" s="43">
        <f>COUNTIFS(Results!$E:$E,"&gt;="&amp;$I$2,Results!$E:$E,"&lt;="&amp;$I$3,Results!$F:$F,"Positive",Results!$G:$G,"Negative", Results!$O:$O,"&lt;&gt;Not on Form", Results!$O:$O,"&lt;&gt;N/A")</f>
        <v>0</v>
      </c>
      <c r="I36" s="40"/>
      <c r="J36" s="40"/>
      <c r="K36" s="40"/>
      <c r="L36" s="40"/>
      <c r="M36" s="40"/>
      <c r="N36" s="40"/>
      <c r="O36" s="40"/>
      <c r="P36" s="40"/>
      <c r="Q36" s="40"/>
      <c r="R36" s="40"/>
      <c r="S36" s="40"/>
      <c r="T36" s="40"/>
      <c r="U36" s="40"/>
      <c r="V36" s="40"/>
      <c r="W36" s="40"/>
      <c r="X36" s="40"/>
      <c r="Y36" s="40"/>
      <c r="Z36" s="40"/>
    </row>
    <row r="37" ht="14.25" customHeight="1">
      <c r="A37" s="32"/>
      <c r="B37" s="42" t="s">
        <v>63</v>
      </c>
      <c r="C37" s="43">
        <f>COUNTIFS(Results!$E:$E,"&gt;="&amp;$I$2,Results!$E:$E,"&lt;="&amp;$I$3,Results!$F:$F,"Positive",Results!$G:$G,"Positive",Results!$S:$S,"*DX*")</f>
        <v>0</v>
      </c>
      <c r="D37" s="43">
        <f>COUNTIFS(Results!$E:$E,"&gt;="&amp;$I$2,Results!$E:$E,"&lt;="&amp;$I$3,Results!$F:$F,"Positive",Results!$G:$G,"Positive",Results!$S:$S,"*fu*")</f>
        <v>0</v>
      </c>
      <c r="E37" s="43">
        <f>COUNTIFS(Results!$E:$E,"&gt;="&amp;$I$2,Results!$E:$E,"&lt;="&amp;$I$3,Results!$F:$F,"Positive",Results!$G:$G,"Positive",Results!$S:$S,"*mdr*")</f>
        <v>0</v>
      </c>
      <c r="F37" s="43">
        <f>COUNTIFS(Results!$E:$E,"&gt;="&amp;$I$2,Results!$E:$E,"&lt;="&amp;$I$3,Results!$F:$F,"Positive",Results!$G:$G,"Positive",Results!$S:$S,"*dm*")</f>
        <v>0</v>
      </c>
      <c r="G37" s="43">
        <f>COUNTIFS(Results!$E:$E,"&gt;="&amp;$I$2,Results!$E:$E,"&lt;="&amp;$I$3,Results!$F:$F,"Positive",Results!$G:$G,"Positive",Results!$S:$S,"*na*")</f>
        <v>0</v>
      </c>
      <c r="H37" s="43">
        <f>COUNTIFS(Results!$E:$E,"&gt;="&amp;$I$2,Results!$E:$E,"&lt;="&amp;$I$3,Results!$F:$F,"Positive",Results!$G:$G,"Positive", Results!$O:$O,"&lt;&gt;Not on Form", Results!$O:$O,"&lt;&gt;N/A")</f>
        <v>0</v>
      </c>
      <c r="I37" s="40"/>
      <c r="J37" s="40"/>
      <c r="K37" s="40"/>
      <c r="L37" s="40"/>
      <c r="M37" s="40"/>
      <c r="N37" s="40"/>
      <c r="O37" s="40"/>
      <c r="P37" s="40"/>
      <c r="Q37" s="40"/>
      <c r="R37" s="40"/>
      <c r="S37" s="40"/>
      <c r="T37" s="40"/>
      <c r="U37" s="40"/>
      <c r="V37" s="40"/>
      <c r="W37" s="40"/>
      <c r="X37" s="40"/>
      <c r="Y37" s="40"/>
      <c r="Z37" s="40"/>
    </row>
    <row r="38" ht="14.25" customHeight="1">
      <c r="A38" s="32"/>
      <c r="B38" s="42" t="s">
        <v>64</v>
      </c>
      <c r="C38" s="43">
        <f>COUNTIFS(Results!$E:$E,"&gt;="&amp;$I$2,Results!$E:$E,"&lt;="&amp;$I$3,Results!$F:$F,"Positive",Results!$G:$G,"Indeterminate",Results!$S:$S,"*DX*")</f>
        <v>0</v>
      </c>
      <c r="D38" s="43">
        <f>COUNTIFS(Results!$E:$E,"&gt;="&amp;$I$2,Results!$E:$E,"&lt;="&amp;$I$3,Results!$F:$F,"Positive",Results!$G:$G,"Indeterminate",Results!$S:$S,"*fu*")</f>
        <v>0</v>
      </c>
      <c r="E38" s="43">
        <f>COUNTIFS(Results!$E:$E,"&gt;="&amp;$I$2,Results!$E:$E,"&lt;="&amp;$I$3,Results!$F:$F,"Positive",Results!$G:$G,"Indeterminate",Results!$S:$S,"*mdr*")</f>
        <v>0</v>
      </c>
      <c r="F38" s="43">
        <f>COUNTIFS(Results!$E:$E,"&gt;="&amp;$I$2,Results!$E:$E,"&lt;="&amp;$I$3,Results!$F:$F,"Positive",Results!$G:$G,"Indeterminate",Results!$S:$S,"*dm*")</f>
        <v>0</v>
      </c>
      <c r="G38" s="43">
        <f>COUNTIFS(Results!$E:$E,"&gt;="&amp;$I$2,Results!$E:$E,"&lt;="&amp;$I$3,Results!$F:$F,"Positive",Results!$G:$G,"Indeterminate",Results!$S:$S,"*na*")</f>
        <v>0</v>
      </c>
      <c r="H38" s="43">
        <f>COUNTIFS(Results!$E:$E,"&gt;="&amp;$I$2,Results!$E:$E,"&lt;="&amp;$I$3,Results!$F:$F,"Positive",Results!$G:$G,"Indeterminate", Results!$O:$O,"&lt;&gt;Not on Form", Results!$O:$O,"&lt;&gt;N/A")</f>
        <v>0</v>
      </c>
      <c r="I38" s="40"/>
      <c r="J38" s="40"/>
      <c r="K38" s="40"/>
      <c r="L38" s="40"/>
      <c r="M38" s="40"/>
      <c r="N38" s="40"/>
      <c r="O38" s="40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</row>
    <row r="39" ht="14.25" customHeight="1">
      <c r="A39" s="26"/>
      <c r="B39" s="42" t="s">
        <v>75</v>
      </c>
      <c r="C39" s="43">
        <f>COUNTIFS(Results!$E:$E,"&gt;="&amp;$I$2,Results!$E:$E,"&lt;="&amp;$I$3,Results!$F:$F,"Trace",Results!$G:$G,"Indeterminate",Results!$S:$S,"*DX*")</f>
        <v>0</v>
      </c>
      <c r="D39" s="43">
        <f>COUNTIFS(Results!$E:$E,"&gt;="&amp;$I$2,Results!$E:$E,"&lt;="&amp;$I$3,Results!$F:$F,"Trace",Results!$G:$G,"Indeterminate",Results!$S:$S,"*fu*")</f>
        <v>0</v>
      </c>
      <c r="E39" s="43">
        <f>COUNTIFS(Results!$E:$E,"&gt;="&amp;$I$2,Results!$E:$E,"&lt;="&amp;$I$3,Results!$F:$F,"Trace",Results!$G:$G,"Indeterminate",Results!$S:$S,"*mdr*")</f>
        <v>0</v>
      </c>
      <c r="F39" s="43">
        <f>COUNTIFS(Results!$E:$E,"&gt;="&amp;$I$2,Results!$E:$E,"&lt;="&amp;$I$3,Results!$F:$F,"Trace",Results!$G:$G,"Indeterminate",Results!$S:$S,"*dm*")</f>
        <v>0</v>
      </c>
      <c r="G39" s="43">
        <f>COUNTIFS(Results!$E:$E,"&gt;="&amp;$I$2,Results!$E:$E,"&lt;="&amp;$I$3,Results!$F:$F,"Trace",Results!$G:$G,"Indeterminate",Results!$S:$S,"*na*")</f>
        <v>0</v>
      </c>
      <c r="H39" s="43">
        <f>COUNTIFS(Results!$E:$E,"&gt;="&amp;$I$2,Results!$E:$E,"&lt;="&amp;$I$3,Results!$F:$F,"Trace",Results!$G:$G,"Indeterminate", Results!$O:$O,"&lt;&gt;Not on Form", Results!$O:$O,"&lt;&gt;N/A")</f>
        <v>0</v>
      </c>
      <c r="I39" s="40"/>
      <c r="J39" s="40"/>
      <c r="K39" s="40"/>
      <c r="L39" s="40"/>
      <c r="M39" s="40"/>
      <c r="N39" s="40"/>
      <c r="O39" s="40"/>
      <c r="P39" s="40"/>
      <c r="Q39" s="40"/>
      <c r="R39" s="40"/>
      <c r="S39" s="40"/>
      <c r="T39" s="40"/>
      <c r="U39" s="40"/>
      <c r="V39" s="40"/>
      <c r="W39" s="40"/>
      <c r="X39" s="40"/>
      <c r="Y39" s="40"/>
      <c r="Z39" s="40"/>
    </row>
    <row r="40" ht="14.25" customHeight="1">
      <c r="A40" s="15"/>
      <c r="B40" s="15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t="14.25" customHeight="1">
      <c r="A41" s="15"/>
      <c r="B41" s="15"/>
      <c r="C41" s="23" t="s">
        <v>47</v>
      </c>
      <c r="D41" s="24"/>
      <c r="E41" s="23" t="s">
        <v>48</v>
      </c>
      <c r="F41" s="24"/>
      <c r="G41" s="22" t="s">
        <v>49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t="14.25" customHeight="1">
      <c r="A42" s="28" t="s">
        <v>76</v>
      </c>
      <c r="B42" s="28"/>
      <c r="C42" s="23">
        <f>COUNTIFS(Results!$E:$E,"&gt;="&amp;$I$2,Results!$E:$E,"&lt;="&amp;$I$3,Results!$I:$I,"Male",Results!$F:$F,"Positive",Results!$G:$G,"Positive")</f>
        <v>0</v>
      </c>
      <c r="D42" s="24"/>
      <c r="E42" s="23">
        <f>COUNTIFS(Results!$E:$E,"&gt;="&amp;$I$2,Results!$E:$E,"&lt;="&amp;$I$3,Results!$I:$I,"Female",Results!$F:$F,"Positive",Results!$G:$G,"Positive")</f>
        <v>0</v>
      </c>
      <c r="F42" s="24"/>
      <c r="G42" s="28">
        <f>COUNTIFS(Results!$E:$E,"&gt;="&amp;$I$2,Results!$E:$E,"&lt;="&amp;$I$3,Results!$F:$F,"Positive",Results!$G:$G,"Positive", Results!$I:$I,"&lt;&gt;Not on Form", Results!$I:$I,"&lt;&gt;N/A")</f>
        <v>0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t="14.25" customHeight="1">
      <c r="A43" s="15"/>
      <c r="B43" s="15"/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t="14.25" customHeight="1">
      <c r="A44" s="15" t="s">
        <v>77</v>
      </c>
      <c r="B44" s="15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t="14.25" customHeight="1">
      <c r="A45" s="28"/>
      <c r="B45" s="28"/>
      <c r="C45" s="23" t="s">
        <v>78</v>
      </c>
      <c r="D45" s="24"/>
      <c r="E45" s="23" t="s">
        <v>79</v>
      </c>
      <c r="F45" s="24"/>
      <c r="G45" s="28" t="s">
        <v>49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t="14.25" customHeight="1">
      <c r="A46" s="44" t="s">
        <v>80</v>
      </c>
      <c r="B46" s="45"/>
      <c r="C46" s="23">
        <f>COUNTIFS(Results!$E:$E,"&gt;="&amp;$I$2,Results!$E:$E,"&lt;="&amp;$I$3,Results!$F:$F,"Positive",Results!$L:$L,"Positive")</f>
        <v>0</v>
      </c>
      <c r="D46" s="24"/>
      <c r="E46" s="23">
        <f>COUNTIFS(Results!$E:$E,"&gt;="&amp;$I$2,Results!$E:$E,"&lt;="&amp;$I$3,Results!$F:$F,"Negative",Results!$L:$L,"Positive")</f>
        <v>0</v>
      </c>
      <c r="F46" s="24"/>
      <c r="G46" s="28">
        <f>COUNTIFS(Results!$E:$E,"&gt;="&amp;$I$2,Results!$E:$E,"&lt;="&amp;$I$3,Results!$L:$L,"Positive", Results!$F:$F,"*tive", Results!$L:$L,"&lt;&gt;Not on Form", Results!$L:$L,"&lt;&gt;N/A")</f>
        <v>0</v>
      </c>
      <c r="H46" s="31" t="s">
        <v>81</v>
      </c>
      <c r="J46" s="15" t="str">
        <f t="shared" ref="J46:J48" si="3">IF(SUM(C46:F46)=G46,"","Check Total Value &amp; Category")</f>
        <v/>
      </c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t="14.25" customHeight="1">
      <c r="A47" s="44" t="s">
        <v>82</v>
      </c>
      <c r="B47" s="45"/>
      <c r="C47" s="23">
        <f>COUNTIFS(Results!$E:$E,"&gt;="&amp;$I$2,Results!$E:$E,"&lt;="&amp;$I$3,Results!$F:$F,"Positive",Results!$L:$L,"Negative")</f>
        <v>0</v>
      </c>
      <c r="D47" s="24"/>
      <c r="E47" s="23">
        <f>COUNTIFS(Results!$E:$E,"&gt;="&amp;$I$2,Results!$E:$E,"&lt;="&amp;$I$3,Results!$F:$F,"Negative",Results!$L:$L,"Negative")</f>
        <v>0</v>
      </c>
      <c r="F47" s="24"/>
      <c r="G47" s="28">
        <f>COUNTIFS(Results!$E:$E,"&gt;="&amp;$I$2,Results!$E:$E,"&lt;="&amp;$I$3,Results!$L:$L,"Negative", Results!$F:$F,"*tive", Results!$F:$F,"*tive", Results!$L:$L,"&lt;&gt;Not on Form", Results!$L:$L,"&lt;&gt;N/A")</f>
        <v>0</v>
      </c>
      <c r="H47" s="33"/>
      <c r="J47" s="15" t="str">
        <f t="shared" si="3"/>
        <v/>
      </c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t="14.25" customHeight="1">
      <c r="A48" s="44" t="s">
        <v>83</v>
      </c>
      <c r="B48" s="45"/>
      <c r="C48" s="23">
        <f>COUNTIFS(Results!$E:$E,"&gt;="&amp;$I$2,Results!$E:$E,"&lt;="&amp;$I$3,Results!$F:$F,"Positive",Results!$L:$L,"Not Done")</f>
        <v>0</v>
      </c>
      <c r="D48" s="24"/>
      <c r="E48" s="23">
        <f>COUNTIFS(Results!$E:$E,"&gt;="&amp;$I$2,Results!$E:$E,"&lt;="&amp;$I$3,Results!$F:$F,"Negative",Results!$L:$L,"Not Done")</f>
        <v>0</v>
      </c>
      <c r="F48" s="24"/>
      <c r="G48" s="28">
        <f>COUNTIFS(Results!$E:$E,"&gt;="&amp;$I$2,Results!$E:$E,"&lt;="&amp;$I$3,Results!$L:$L,"Not Done", Results!$F:$F,"*tive", Results!$F:$F,"*tive", Results!$L:$L,"&lt;&gt;Not on Form", Results!$L:$L,"&lt;&gt;N/A")</f>
        <v>0</v>
      </c>
      <c r="H48" s="33"/>
      <c r="J48" s="15" t="str">
        <f t="shared" si="3"/>
        <v/>
      </c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t="14.25" customHeight="1">
      <c r="A49" s="15"/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t="14.25" customHeight="1">
      <c r="A50" s="36"/>
      <c r="B50" s="36"/>
      <c r="C50" s="46" t="s">
        <v>78</v>
      </c>
      <c r="D50" s="24"/>
      <c r="E50" s="46" t="s">
        <v>79</v>
      </c>
      <c r="F50" s="24"/>
      <c r="G50" s="47" t="s">
        <v>49</v>
      </c>
      <c r="H50" s="36"/>
      <c r="I50" s="36"/>
      <c r="J50" s="36"/>
      <c r="K50" s="36"/>
      <c r="L50" s="36"/>
      <c r="M50" s="36"/>
      <c r="N50" s="36"/>
      <c r="O50" s="36"/>
      <c r="P50" s="36"/>
      <c r="Q50" s="36"/>
      <c r="R50" s="36"/>
      <c r="S50" s="36"/>
      <c r="T50" s="36"/>
      <c r="U50" s="36"/>
      <c r="V50" s="36"/>
      <c r="W50" s="36"/>
      <c r="X50" s="36"/>
      <c r="Y50" s="36"/>
      <c r="Z50" s="36"/>
    </row>
    <row r="51" ht="14.25" customHeight="1">
      <c r="A51" s="42" t="s">
        <v>84</v>
      </c>
      <c r="B51" s="37"/>
      <c r="C51" s="48">
        <f>COUNTIFS(Results!$E:$E,"&gt;="&amp;$I$2,Results!$E:$E,"&lt;="&amp;$I$3,Results!$F:$F,"Positive",Results!$P:$P,"CXR")</f>
        <v>0</v>
      </c>
      <c r="D51" s="24"/>
      <c r="E51" s="48">
        <f>COUNTIFS(Results!$E:$E,"&gt;="&amp;$I$2,Results!$E:$E,"&lt;="&amp;$I$3,Results!$F:$F,"Negative",Results!$P:$P,"CXR")</f>
        <v>0</v>
      </c>
      <c r="F51" s="24"/>
      <c r="G51" s="49">
        <f>COUNTIFS(Results!$E:$E,"&gt;="&amp;$I$2,Results!$E:$E,"&lt;="&amp;$I$3,Results!$F:$F,"Negative",Results!$P:$P,"CXR")</f>
        <v>0</v>
      </c>
      <c r="H51" s="40"/>
      <c r="I51" s="40"/>
      <c r="J51" s="40"/>
      <c r="K51" s="40"/>
      <c r="L51" s="40"/>
      <c r="M51" s="40"/>
      <c r="N51" s="40"/>
      <c r="O51" s="40"/>
      <c r="P51" s="40"/>
      <c r="Q51" s="40"/>
      <c r="R51" s="40"/>
      <c r="S51" s="40"/>
      <c r="T51" s="40"/>
      <c r="U51" s="40"/>
      <c r="V51" s="40"/>
      <c r="W51" s="40"/>
      <c r="X51" s="40"/>
      <c r="Y51" s="40"/>
      <c r="Z51" s="40"/>
    </row>
    <row r="52" ht="14.25" customHeight="1">
      <c r="A52" s="15"/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t="14.25" customHeight="1">
      <c r="A53" s="15" t="s">
        <v>85</v>
      </c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t="14.25" customHeight="1">
      <c r="A54" s="28"/>
      <c r="B54" s="28"/>
      <c r="C54" s="23" t="s">
        <v>86</v>
      </c>
      <c r="D54" s="24"/>
      <c r="E54" s="23" t="s">
        <v>87</v>
      </c>
      <c r="F54" s="24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t="14.25" customHeight="1">
      <c r="A55" s="44" t="s">
        <v>88</v>
      </c>
      <c r="B55" s="45"/>
      <c r="C55" s="23"/>
      <c r="D55" s="24"/>
      <c r="E55" s="23"/>
      <c r="F55" s="24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t="14.25" customHeight="1">
      <c r="A56" s="44" t="s">
        <v>89</v>
      </c>
      <c r="B56" s="45"/>
      <c r="C56" s="23"/>
      <c r="D56" s="24"/>
      <c r="E56" s="23"/>
      <c r="F56" s="24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t="14.25" customHeight="1">
      <c r="A57" s="44" t="s">
        <v>90</v>
      </c>
      <c r="B57" s="45"/>
      <c r="C57" s="23">
        <f>COUNTIFS(Results!$E:$E,"&gt;="&amp;$I$2,Results!$E:$E,"&lt;="&amp;$I$3)</f>
        <v>0</v>
      </c>
      <c r="D57" s="24"/>
      <c r="E57" s="23"/>
      <c r="F57" s="24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t="14.25" customHeight="1">
      <c r="A58" s="44" t="s">
        <v>91</v>
      </c>
      <c r="B58" s="45"/>
      <c r="C58" s="23">
        <f>C55+C56-C57</f>
        <v>0</v>
      </c>
      <c r="D58" s="24"/>
      <c r="E58" s="23"/>
      <c r="F58" s="24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t="14.25" customHeight="1">
      <c r="A59" s="50" t="s">
        <v>92</v>
      </c>
      <c r="B59" s="50"/>
      <c r="C59" s="50">
        <f>COUNTIFS(Results!$E:$E,"&gt;="&amp;$I$2,Results!$E:$E,"&lt;="&amp;$I$3,Results!$F:$F,"Error")+COUNTIFS(Results!$E:$E,"&gt;="&amp;$I$2,Results!$E:$E,"&lt;="&amp;$I$3,Results!$F:$F,"Invalid")</f>
        <v>0</v>
      </c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t="14.25" customHeight="1">
      <c r="A60" s="50" t="s">
        <v>93</v>
      </c>
      <c r="B60" s="15"/>
      <c r="C60" s="50">
        <f>COUNTIFS(Results!$E:$E,"&gt;="&amp;$I$2,Results!$E:$E,"&lt;="&amp;$I$3,Results!$F:$F,"No Result")</f>
        <v>0</v>
      </c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t="14.25" customHeight="1">
      <c r="A61" s="15"/>
      <c r="B61" s="15"/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t="14.25" customHeight="1">
      <c r="A62" s="15"/>
      <c r="B62" s="15"/>
      <c r="C62" s="15"/>
      <c r="D62" s="15"/>
      <c r="E62" s="15" t="s">
        <v>94</v>
      </c>
      <c r="F62" s="51"/>
      <c r="G62" s="51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t="14.25" customHeight="1">
      <c r="A63" s="15"/>
      <c r="B63" s="15"/>
      <c r="C63" s="15"/>
      <c r="D63" s="15"/>
      <c r="E63" s="15" t="s">
        <v>95</v>
      </c>
      <c r="F63" s="52"/>
      <c r="G63" s="52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t="14.25" customHeight="1">
      <c r="A64" s="15"/>
      <c r="B64" s="15"/>
      <c r="C64" s="15"/>
      <c r="D64" s="15"/>
      <c r="E64" s="15" t="s">
        <v>96</v>
      </c>
      <c r="F64" s="52"/>
      <c r="G64" s="52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t="14.25" customHeight="1">
      <c r="A65" s="15"/>
      <c r="B65" s="15"/>
      <c r="C65" s="15"/>
      <c r="D65" s="15"/>
      <c r="E65" s="15" t="s">
        <v>97</v>
      </c>
      <c r="F65" s="52"/>
      <c r="G65" s="52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t="14.25" customHeight="1">
      <c r="A66" s="15"/>
      <c r="B66" s="15"/>
      <c r="C66" s="15"/>
      <c r="D66" s="15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t="14.25" customHeight="1">
      <c r="A67" s="15"/>
      <c r="B67" s="15"/>
      <c r="C67" s="15"/>
      <c r="D67" s="15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t="14.25" customHeight="1">
      <c r="A68" s="15"/>
      <c r="B68" s="15"/>
      <c r="C68" s="15"/>
      <c r="D68" s="15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t="14.25" customHeight="1">
      <c r="A69" s="15"/>
      <c r="B69" s="15"/>
      <c r="C69" s="15"/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t="14.25" customHeight="1">
      <c r="A70" s="15"/>
      <c r="B70" s="15"/>
      <c r="C70" s="15"/>
      <c r="D70" s="15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t="14.25" customHeight="1">
      <c r="A71" s="15"/>
      <c r="B71" s="15"/>
      <c r="C71" s="15"/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t="14.25" customHeight="1">
      <c r="A72" s="15"/>
      <c r="B72" s="15"/>
      <c r="C72" s="15"/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t="14.25" customHeight="1">
      <c r="A73" s="15"/>
      <c r="B73" s="15"/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t="14.25" customHeight="1">
      <c r="A74" s="15"/>
      <c r="B74" s="15"/>
      <c r="C74" s="15"/>
      <c r="D74" s="15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t="14.25" customHeight="1">
      <c r="A75" s="15"/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t="14.25" customHeight="1">
      <c r="A76" s="15"/>
      <c r="B76" s="15"/>
      <c r="C76" s="15"/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t="14.25" customHeight="1">
      <c r="A77" s="15"/>
      <c r="B77" s="15"/>
      <c r="C77" s="15"/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t="14.25" customHeight="1">
      <c r="A78" s="15"/>
      <c r="B78" s="15"/>
      <c r="C78" s="15"/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t="14.25" customHeight="1">
      <c r="A79" s="15"/>
      <c r="B79" s="15"/>
      <c r="C79" s="15"/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t="14.25" customHeight="1">
      <c r="A80" s="15"/>
      <c r="B80" s="15"/>
      <c r="C80" s="15"/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t="14.25" customHeight="1">
      <c r="A81" s="15"/>
      <c r="B81" s="15"/>
      <c r="C81" s="15"/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t="14.25" customHeight="1">
      <c r="A82" s="15"/>
      <c r="B82" s="15"/>
      <c r="C82" s="15"/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t="14.25" customHeight="1">
      <c r="A83" s="15"/>
      <c r="B83" s="15"/>
      <c r="C83" s="15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t="14.25" customHeight="1">
      <c r="A84" s="15"/>
      <c r="B84" s="15"/>
      <c r="C84" s="15"/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t="14.25" customHeight="1">
      <c r="A85" s="15"/>
      <c r="B85" s="15"/>
      <c r="C85" s="15"/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t="14.25" customHeight="1">
      <c r="A86" s="15"/>
      <c r="B86" s="15"/>
      <c r="C86" s="15"/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t="14.25" customHeight="1">
      <c r="A87" s="15"/>
      <c r="B87" s="15"/>
      <c r="C87" s="15"/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t="14.25" customHeight="1">
      <c r="A88" s="15"/>
      <c r="B88" s="15"/>
      <c r="C88" s="15"/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t="14.25" customHeight="1">
      <c r="A89" s="15"/>
      <c r="B89" s="15"/>
      <c r="C89" s="15"/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t="14.25" customHeight="1">
      <c r="A90" s="15"/>
      <c r="B90" s="15"/>
      <c r="C90" s="15"/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t="14.25" customHeight="1">
      <c r="A91" s="15"/>
      <c r="B91" s="15"/>
      <c r="C91" s="15"/>
      <c r="D91" s="15"/>
      <c r="E91" s="15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t="14.25" customHeight="1">
      <c r="A92" s="15"/>
      <c r="B92" s="15"/>
      <c r="C92" s="15"/>
      <c r="D92" s="15"/>
      <c r="E92" s="15"/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t="14.25" customHeight="1">
      <c r="A93" s="15"/>
      <c r="B93" s="15"/>
      <c r="C93" s="15"/>
      <c r="D93" s="15"/>
      <c r="E93" s="15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t="14.25" customHeight="1">
      <c r="A94" s="15"/>
      <c r="B94" s="15"/>
      <c r="C94" s="15"/>
      <c r="D94" s="15"/>
      <c r="E94" s="15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t="14.25" customHeight="1">
      <c r="A95" s="15"/>
      <c r="B95" s="15"/>
      <c r="C95" s="15"/>
      <c r="D95" s="15"/>
      <c r="E95" s="15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t="14.25" customHeight="1">
      <c r="A96" s="15"/>
      <c r="B96" s="15"/>
      <c r="C96" s="15"/>
      <c r="D96" s="15"/>
      <c r="E96" s="15"/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t="14.25" customHeight="1">
      <c r="A97" s="15"/>
      <c r="B97" s="15"/>
      <c r="C97" s="15"/>
      <c r="D97" s="15"/>
      <c r="E97" s="15"/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t="14.25" customHeight="1">
      <c r="A98" s="15"/>
      <c r="B98" s="15"/>
      <c r="C98" s="15"/>
      <c r="D98" s="15"/>
      <c r="E98" s="15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t="14.25" customHeight="1">
      <c r="A99" s="15"/>
      <c r="B99" s="15"/>
      <c r="C99" s="15"/>
      <c r="D99" s="15"/>
      <c r="E99" s="15"/>
      <c r="F99" s="15"/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t="14.25" customHeight="1">
      <c r="A100" s="15"/>
      <c r="B100" s="15"/>
      <c r="C100" s="15"/>
      <c r="D100" s="15"/>
      <c r="E100" s="15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t="14.25" customHeight="1">
      <c r="A101" s="15"/>
      <c r="B101" s="15"/>
      <c r="C101" s="15"/>
      <c r="D101" s="15"/>
      <c r="E101" s="15"/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t="14.25" customHeight="1">
      <c r="A102" s="15"/>
      <c r="B102" s="15"/>
      <c r="C102" s="15"/>
      <c r="D102" s="15"/>
      <c r="E102" s="15"/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t="14.25" customHeight="1">
      <c r="A103" s="15"/>
      <c r="B103" s="15"/>
      <c r="C103" s="15"/>
      <c r="D103" s="15"/>
      <c r="E103" s="15"/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t="14.25" customHeight="1">
      <c r="A104" s="15"/>
      <c r="B104" s="15"/>
      <c r="C104" s="15"/>
      <c r="D104" s="15"/>
      <c r="E104" s="15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t="14.25" customHeight="1">
      <c r="A105" s="15"/>
      <c r="B105" s="15"/>
      <c r="C105" s="15"/>
      <c r="D105" s="15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t="14.25" customHeight="1">
      <c r="A106" s="15"/>
      <c r="B106" s="15"/>
      <c r="C106" s="15"/>
      <c r="D106" s="15"/>
      <c r="E106" s="15"/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t="14.25" customHeight="1">
      <c r="A107" s="15"/>
      <c r="B107" s="15"/>
      <c r="C107" s="15"/>
      <c r="D107" s="15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t="14.25" customHeight="1">
      <c r="A108" s="15"/>
      <c r="B108" s="15"/>
      <c r="C108" s="15"/>
      <c r="D108" s="15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t="14.25" customHeight="1">
      <c r="A109" s="15"/>
      <c r="B109" s="15"/>
      <c r="C109" s="15"/>
      <c r="D109" s="15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t="14.25" customHeight="1">
      <c r="A110" s="15"/>
      <c r="B110" s="15"/>
      <c r="C110" s="15"/>
      <c r="D110" s="15"/>
      <c r="E110" s="15"/>
      <c r="F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t="14.25" customHeight="1">
      <c r="A111" s="15"/>
      <c r="B111" s="15"/>
      <c r="C111" s="15"/>
      <c r="D111" s="15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t="14.25" customHeight="1">
      <c r="A112" s="15"/>
      <c r="B112" s="15"/>
      <c r="C112" s="15"/>
      <c r="D112" s="15"/>
      <c r="E112" s="15"/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t="14.25" customHeight="1">
      <c r="A113" s="15"/>
      <c r="B113" s="15"/>
      <c r="C113" s="15"/>
      <c r="D113" s="15"/>
      <c r="E113" s="15"/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t="14.25" customHeight="1">
      <c r="A114" s="15"/>
      <c r="B114" s="15"/>
      <c r="C114" s="15"/>
      <c r="D114" s="15"/>
      <c r="E114" s="15"/>
      <c r="F114" s="15"/>
      <c r="G114" s="15"/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t="14.25" customHeight="1">
      <c r="A115" s="15"/>
      <c r="B115" s="15"/>
      <c r="C115" s="15"/>
      <c r="D115" s="15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t="14.25" customHeight="1">
      <c r="A116" s="15"/>
      <c r="B116" s="15"/>
      <c r="C116" s="15"/>
      <c r="D116" s="15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t="14.25" customHeight="1">
      <c r="A117" s="15"/>
      <c r="B117" s="15"/>
      <c r="C117" s="15"/>
      <c r="D117" s="15"/>
      <c r="E117" s="15"/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t="14.25" customHeight="1">
      <c r="A118" s="15"/>
      <c r="B118" s="15"/>
      <c r="C118" s="15"/>
      <c r="D118" s="15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t="14.25" customHeight="1">
      <c r="A119" s="15"/>
      <c r="B119" s="15"/>
      <c r="C119" s="15"/>
      <c r="D119" s="15"/>
      <c r="E119" s="15"/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t="14.25" customHeight="1">
      <c r="A120" s="15"/>
      <c r="B120" s="15"/>
      <c r="C120" s="15"/>
      <c r="D120" s="15"/>
      <c r="E120" s="15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t="14.25" customHeight="1">
      <c r="A121" s="15"/>
      <c r="B121" s="15"/>
      <c r="C121" s="15"/>
      <c r="D121" s="15"/>
      <c r="E121" s="15"/>
      <c r="F121" s="15"/>
      <c r="G121" s="15"/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t="14.25" customHeight="1">
      <c r="A122" s="15"/>
      <c r="B122" s="15"/>
      <c r="C122" s="15"/>
      <c r="D122" s="15"/>
      <c r="E122" s="15"/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t="14.25" customHeight="1">
      <c r="A123" s="15"/>
      <c r="B123" s="15"/>
      <c r="C123" s="15"/>
      <c r="D123" s="15"/>
      <c r="E123" s="15"/>
      <c r="F123" s="15"/>
      <c r="G123" s="15"/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t="14.25" customHeight="1">
      <c r="A124" s="15"/>
      <c r="B124" s="15"/>
      <c r="C124" s="15"/>
      <c r="D124" s="15"/>
      <c r="E124" s="15"/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t="14.25" customHeight="1">
      <c r="A125" s="15"/>
      <c r="B125" s="15"/>
      <c r="C125" s="15"/>
      <c r="D125" s="15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t="14.25" customHeight="1">
      <c r="A126" s="15"/>
      <c r="B126" s="15"/>
      <c r="C126" s="15"/>
      <c r="D126" s="15"/>
      <c r="E126" s="15"/>
      <c r="F126" s="15"/>
      <c r="G126" s="15"/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t="14.25" customHeight="1">
      <c r="A127" s="15"/>
      <c r="B127" s="15"/>
      <c r="C127" s="15"/>
      <c r="D127" s="15"/>
      <c r="E127" s="15"/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t="14.25" customHeight="1">
      <c r="A128" s="15"/>
      <c r="B128" s="15"/>
      <c r="C128" s="15"/>
      <c r="D128" s="15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t="14.25" customHeight="1">
      <c r="A129" s="15"/>
      <c r="B129" s="15"/>
      <c r="C129" s="15"/>
      <c r="D129" s="15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t="14.25" customHeight="1">
      <c r="A130" s="15"/>
      <c r="B130" s="15"/>
      <c r="C130" s="15"/>
      <c r="D130" s="15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t="14.25" customHeight="1">
      <c r="A131" s="15"/>
      <c r="B131" s="15"/>
      <c r="C131" s="15"/>
      <c r="D131" s="15"/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t="14.25" customHeight="1">
      <c r="A132" s="15"/>
      <c r="B132" s="15"/>
      <c r="C132" s="15"/>
      <c r="D132" s="15"/>
      <c r="E132" s="15"/>
      <c r="F132" s="15"/>
      <c r="G132" s="15"/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t="14.25" customHeight="1">
      <c r="A133" s="15"/>
      <c r="B133" s="15"/>
      <c r="C133" s="15"/>
      <c r="D133" s="15"/>
      <c r="E133" s="15"/>
      <c r="F133" s="15"/>
      <c r="G133" s="15"/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t="14.25" customHeight="1">
      <c r="A134" s="15"/>
      <c r="B134" s="15"/>
      <c r="C134" s="15"/>
      <c r="D134" s="15"/>
      <c r="E134" s="15"/>
      <c r="F134" s="15"/>
      <c r="G134" s="15"/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t="14.25" customHeight="1">
      <c r="A135" s="15"/>
      <c r="B135" s="15"/>
      <c r="C135" s="15"/>
      <c r="D135" s="15"/>
      <c r="E135" s="15"/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t="14.25" customHeight="1">
      <c r="A136" s="15"/>
      <c r="B136" s="15"/>
      <c r="C136" s="15"/>
      <c r="D136" s="15"/>
      <c r="E136" s="15"/>
      <c r="F136" s="15"/>
      <c r="G136" s="15"/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t="14.25" customHeight="1">
      <c r="A137" s="15"/>
      <c r="B137" s="15"/>
      <c r="C137" s="15"/>
      <c r="D137" s="15"/>
      <c r="E137" s="15"/>
      <c r="F137" s="15"/>
      <c r="G137" s="15"/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t="14.25" customHeight="1">
      <c r="A138" s="15"/>
      <c r="B138" s="15"/>
      <c r="C138" s="15"/>
      <c r="D138" s="15"/>
      <c r="E138" s="15"/>
      <c r="F138" s="15"/>
      <c r="G138" s="15"/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t="14.25" customHeight="1">
      <c r="A139" s="15"/>
      <c r="B139" s="15"/>
      <c r="C139" s="15"/>
      <c r="D139" s="15"/>
      <c r="E139" s="15"/>
      <c r="F139" s="15"/>
      <c r="G139" s="15"/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t="14.25" customHeight="1">
      <c r="A140" s="15"/>
      <c r="B140" s="15"/>
      <c r="C140" s="15"/>
      <c r="D140" s="15"/>
      <c r="E140" s="15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t="14.25" customHeight="1">
      <c r="A141" s="15"/>
      <c r="B141" s="15"/>
      <c r="C141" s="15"/>
      <c r="D141" s="15"/>
      <c r="E141" s="15"/>
      <c r="F141" s="15"/>
      <c r="G141" s="15"/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t="14.25" customHeight="1">
      <c r="A142" s="15"/>
      <c r="B142" s="15"/>
      <c r="C142" s="15"/>
      <c r="D142" s="15"/>
      <c r="E142" s="15"/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t="14.25" customHeight="1">
      <c r="A143" s="15"/>
      <c r="B143" s="15"/>
      <c r="C143" s="15"/>
      <c r="D143" s="15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t="14.25" customHeight="1">
      <c r="A144" s="15"/>
      <c r="B144" s="15"/>
      <c r="C144" s="15"/>
      <c r="D144" s="15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t="14.25" customHeight="1">
      <c r="A145" s="15"/>
      <c r="B145" s="15"/>
      <c r="C145" s="15"/>
      <c r="D145" s="15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t="14.25" customHeight="1">
      <c r="A146" s="15"/>
      <c r="B146" s="15"/>
      <c r="C146" s="15"/>
      <c r="D146" s="15"/>
      <c r="E146" s="15"/>
      <c r="F146" s="15"/>
      <c r="G146" s="15"/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t="14.25" customHeight="1">
      <c r="A147" s="15"/>
      <c r="B147" s="15"/>
      <c r="C147" s="15"/>
      <c r="D147" s="15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t="14.25" customHeight="1">
      <c r="A148" s="15"/>
      <c r="B148" s="15"/>
      <c r="C148" s="15"/>
      <c r="D148" s="15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t="14.25" customHeight="1">
      <c r="A149" s="15"/>
      <c r="B149" s="15"/>
      <c r="C149" s="15"/>
      <c r="D149" s="15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t="14.25" customHeight="1">
      <c r="A150" s="15"/>
      <c r="B150" s="15"/>
      <c r="C150" s="15"/>
      <c r="D150" s="15"/>
      <c r="E150" s="15"/>
      <c r="F150" s="15"/>
      <c r="G150" s="15"/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t="14.25" customHeight="1">
      <c r="A151" s="15"/>
      <c r="B151" s="15"/>
      <c r="C151" s="15"/>
      <c r="D151" s="15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t="14.25" customHeight="1">
      <c r="A152" s="15"/>
      <c r="B152" s="15"/>
      <c r="C152" s="15"/>
      <c r="D152" s="15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t="14.25" customHeight="1">
      <c r="A153" s="15"/>
      <c r="B153" s="15"/>
      <c r="C153" s="15"/>
      <c r="D153" s="15"/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t="14.25" customHeight="1">
      <c r="A154" s="15"/>
      <c r="B154" s="15"/>
      <c r="C154" s="15"/>
      <c r="D154" s="15"/>
      <c r="E154" s="15"/>
      <c r="F154" s="15"/>
      <c r="G154" s="15"/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t="14.25" customHeight="1">
      <c r="A155" s="15"/>
      <c r="B155" s="15"/>
      <c r="C155" s="15"/>
      <c r="D155" s="15"/>
      <c r="E155" s="15"/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t="14.25" customHeight="1">
      <c r="A156" s="15"/>
      <c r="B156" s="15"/>
      <c r="C156" s="15"/>
      <c r="D156" s="15"/>
      <c r="E156" s="15"/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t="14.25" customHeight="1">
      <c r="A157" s="15"/>
      <c r="B157" s="15"/>
      <c r="C157" s="15"/>
      <c r="D157" s="15"/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t="14.25" customHeight="1">
      <c r="A158" s="15"/>
      <c r="B158" s="15"/>
      <c r="C158" s="15"/>
      <c r="D158" s="15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t="14.25" customHeight="1">
      <c r="A159" s="15"/>
      <c r="B159" s="15"/>
      <c r="C159" s="15"/>
      <c r="D159" s="15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t="14.25" customHeight="1">
      <c r="A160" s="15"/>
      <c r="B160" s="15"/>
      <c r="C160" s="15"/>
      <c r="D160" s="15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t="14.25" customHeight="1">
      <c r="A161" s="15"/>
      <c r="B161" s="15"/>
      <c r="C161" s="15"/>
      <c r="D161" s="15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t="14.25" customHeight="1">
      <c r="A162" s="15"/>
      <c r="B162" s="15"/>
      <c r="C162" s="15"/>
      <c r="D162" s="15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t="14.25" customHeight="1">
      <c r="A163" s="15"/>
      <c r="B163" s="15"/>
      <c r="C163" s="15"/>
      <c r="D163" s="15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t="14.25" customHeight="1">
      <c r="A164" s="15"/>
      <c r="B164" s="15"/>
      <c r="C164" s="15"/>
      <c r="D164" s="15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t="14.25" customHeight="1">
      <c r="A165" s="15"/>
      <c r="B165" s="15"/>
      <c r="C165" s="15"/>
      <c r="D165" s="15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t="14.25" customHeight="1">
      <c r="A166" s="15"/>
      <c r="B166" s="15"/>
      <c r="C166" s="15"/>
      <c r="D166" s="15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t="14.25" customHeight="1">
      <c r="A167" s="15"/>
      <c r="B167" s="15"/>
      <c r="C167" s="15"/>
      <c r="D167" s="15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t="14.25" customHeight="1">
      <c r="A168" s="15"/>
      <c r="B168" s="15"/>
      <c r="C168" s="15"/>
      <c r="D168" s="15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t="14.25" customHeight="1">
      <c r="A169" s="15"/>
      <c r="B169" s="15"/>
      <c r="C169" s="15"/>
      <c r="D169" s="15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t="14.25" customHeight="1">
      <c r="A170" s="15"/>
      <c r="B170" s="15"/>
      <c r="C170" s="15"/>
      <c r="D170" s="15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t="14.25" customHeight="1">
      <c r="A171" s="15"/>
      <c r="B171" s="15"/>
      <c r="C171" s="15"/>
      <c r="D171" s="15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t="14.25" customHeight="1">
      <c r="A172" s="15"/>
      <c r="B172" s="15"/>
      <c r="C172" s="15"/>
      <c r="D172" s="15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t="14.25" customHeight="1">
      <c r="A173" s="15"/>
      <c r="B173" s="15"/>
      <c r="C173" s="15"/>
      <c r="D173" s="15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t="14.25" customHeight="1">
      <c r="A174" s="15"/>
      <c r="B174" s="15"/>
      <c r="C174" s="15"/>
      <c r="D174" s="15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t="14.25" customHeight="1">
      <c r="A175" s="15"/>
      <c r="B175" s="15"/>
      <c r="C175" s="15"/>
      <c r="D175" s="15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t="14.25" customHeight="1">
      <c r="A176" s="15"/>
      <c r="B176" s="15"/>
      <c r="C176" s="15"/>
      <c r="D176" s="15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t="14.25" customHeight="1">
      <c r="A177" s="15"/>
      <c r="B177" s="15"/>
      <c r="C177" s="15"/>
      <c r="D177" s="15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t="14.25" customHeight="1">
      <c r="A178" s="15"/>
      <c r="B178" s="15"/>
      <c r="C178" s="15"/>
      <c r="D178" s="15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t="14.25" customHeight="1">
      <c r="A179" s="15"/>
      <c r="B179" s="15"/>
      <c r="C179" s="15"/>
      <c r="D179" s="15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t="14.25" customHeight="1">
      <c r="A180" s="15"/>
      <c r="B180" s="15"/>
      <c r="C180" s="15"/>
      <c r="D180" s="15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t="14.25" customHeight="1">
      <c r="A181" s="15"/>
      <c r="B181" s="15"/>
      <c r="C181" s="15"/>
      <c r="D181" s="15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t="14.25" customHeight="1">
      <c r="A182" s="15"/>
      <c r="B182" s="15"/>
      <c r="C182" s="15"/>
      <c r="D182" s="15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t="14.25" customHeight="1">
      <c r="A183" s="15"/>
      <c r="B183" s="15"/>
      <c r="C183" s="15"/>
      <c r="D183" s="15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t="14.25" customHeight="1">
      <c r="A184" s="15"/>
      <c r="B184" s="15"/>
      <c r="C184" s="15"/>
      <c r="D184" s="15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t="14.25" customHeight="1">
      <c r="A185" s="15"/>
      <c r="B185" s="15"/>
      <c r="C185" s="15"/>
      <c r="D185" s="15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t="14.25" customHeight="1">
      <c r="A186" s="15"/>
      <c r="B186" s="15"/>
      <c r="C186" s="15"/>
      <c r="D186" s="15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t="14.25" customHeight="1">
      <c r="A187" s="15"/>
      <c r="B187" s="15"/>
      <c r="C187" s="15"/>
      <c r="D187" s="15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t="14.25" customHeight="1">
      <c r="A188" s="15"/>
      <c r="B188" s="15"/>
      <c r="C188" s="15"/>
      <c r="D188" s="15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t="14.25" customHeight="1">
      <c r="A189" s="15"/>
      <c r="B189" s="15"/>
      <c r="C189" s="15"/>
      <c r="D189" s="15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t="14.25" customHeight="1">
      <c r="A190" s="15"/>
      <c r="B190" s="15"/>
      <c r="C190" s="15"/>
      <c r="D190" s="15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t="14.25" customHeight="1">
      <c r="A191" s="15"/>
      <c r="B191" s="15"/>
      <c r="C191" s="15"/>
      <c r="D191" s="15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t="14.25" customHeight="1">
      <c r="A192" s="15"/>
      <c r="B192" s="15"/>
      <c r="C192" s="15"/>
      <c r="D192" s="15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t="14.25" customHeight="1">
      <c r="A193" s="15"/>
      <c r="B193" s="15"/>
      <c r="C193" s="15"/>
      <c r="D193" s="15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t="14.25" customHeight="1">
      <c r="A194" s="15"/>
      <c r="B194" s="15"/>
      <c r="C194" s="15"/>
      <c r="D194" s="15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t="14.25" customHeight="1">
      <c r="A195" s="15"/>
      <c r="B195" s="15"/>
      <c r="C195" s="15"/>
      <c r="D195" s="15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t="14.25" customHeight="1">
      <c r="A196" s="15"/>
      <c r="B196" s="15"/>
      <c r="C196" s="15"/>
      <c r="D196" s="15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t="14.25" customHeight="1">
      <c r="A197" s="15"/>
      <c r="B197" s="15"/>
      <c r="C197" s="15"/>
      <c r="D197" s="15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t="14.25" customHeight="1">
      <c r="A198" s="15"/>
      <c r="B198" s="15"/>
      <c r="C198" s="15"/>
      <c r="D198" s="15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t="14.25" customHeight="1">
      <c r="A199" s="15"/>
      <c r="B199" s="15"/>
      <c r="C199" s="15"/>
      <c r="D199" s="15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t="14.25" customHeight="1">
      <c r="A200" s="15"/>
      <c r="B200" s="15"/>
      <c r="C200" s="15"/>
      <c r="D200" s="15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t="14.25" customHeight="1">
      <c r="A201" s="15"/>
      <c r="B201" s="15"/>
      <c r="C201" s="15"/>
      <c r="D201" s="15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t="14.25" customHeight="1">
      <c r="A202" s="15"/>
      <c r="B202" s="15"/>
      <c r="C202" s="15"/>
      <c r="D202" s="15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t="14.25" customHeight="1">
      <c r="A203" s="15"/>
      <c r="B203" s="15"/>
      <c r="C203" s="15"/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t="14.25" customHeight="1">
      <c r="A204" s="15"/>
      <c r="B204" s="15"/>
      <c r="C204" s="15"/>
      <c r="D204" s="15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t="14.25" customHeight="1">
      <c r="A205" s="15"/>
      <c r="B205" s="15"/>
      <c r="C205" s="15"/>
      <c r="D205" s="15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t="14.25" customHeight="1">
      <c r="A206" s="15"/>
      <c r="B206" s="15"/>
      <c r="C206" s="15"/>
      <c r="D206" s="15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t="14.25" customHeight="1">
      <c r="A207" s="15"/>
      <c r="B207" s="15"/>
      <c r="C207" s="15"/>
      <c r="D207" s="15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t="14.25" customHeight="1">
      <c r="A208" s="15"/>
      <c r="B208" s="15"/>
      <c r="C208" s="15"/>
      <c r="D208" s="15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t="14.25" customHeight="1">
      <c r="A209" s="15"/>
      <c r="B209" s="15"/>
      <c r="C209" s="15"/>
      <c r="D209" s="15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t="14.25" customHeight="1">
      <c r="A210" s="15"/>
      <c r="B210" s="15"/>
      <c r="C210" s="15"/>
      <c r="D210" s="15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t="14.25" customHeight="1">
      <c r="A211" s="15"/>
      <c r="B211" s="15"/>
      <c r="C211" s="15"/>
      <c r="D211" s="15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t="14.25" customHeight="1">
      <c r="A212" s="15"/>
      <c r="B212" s="15"/>
      <c r="C212" s="15"/>
      <c r="D212" s="15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t="14.25" customHeight="1">
      <c r="A213" s="15"/>
      <c r="B213" s="15"/>
      <c r="C213" s="15"/>
      <c r="D213" s="15"/>
      <c r="E213" s="15"/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t="14.25" customHeight="1">
      <c r="A214" s="15"/>
      <c r="B214" s="15"/>
      <c r="C214" s="15"/>
      <c r="D214" s="15"/>
      <c r="E214" s="15"/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t="14.25" customHeight="1">
      <c r="A215" s="15"/>
      <c r="B215" s="15"/>
      <c r="C215" s="15"/>
      <c r="D215" s="15"/>
      <c r="E215" s="15"/>
      <c r="F215" s="15"/>
      <c r="G215" s="15"/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t="14.25" customHeight="1">
      <c r="A216" s="15"/>
      <c r="B216" s="15"/>
      <c r="C216" s="15"/>
      <c r="D216" s="15"/>
      <c r="E216" s="15"/>
      <c r="F216" s="15"/>
      <c r="G216" s="15"/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t="14.25" customHeight="1">
      <c r="A217" s="15"/>
      <c r="B217" s="15"/>
      <c r="C217" s="15"/>
      <c r="D217" s="15"/>
      <c r="E217" s="15"/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t="14.25" customHeight="1">
      <c r="A218" s="15"/>
      <c r="B218" s="15"/>
      <c r="C218" s="15"/>
      <c r="D218" s="15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t="14.25" customHeight="1">
      <c r="A219" s="15"/>
      <c r="B219" s="15"/>
      <c r="C219" s="15"/>
      <c r="D219" s="15"/>
      <c r="E219" s="15"/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t="14.25" customHeight="1">
      <c r="A220" s="15"/>
      <c r="B220" s="15"/>
      <c r="C220" s="15"/>
      <c r="D220" s="15"/>
      <c r="E220" s="15"/>
      <c r="F220" s="15"/>
      <c r="G220" s="15"/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t="14.25" customHeight="1">
      <c r="A221" s="15"/>
      <c r="B221" s="15"/>
      <c r="C221" s="15"/>
      <c r="D221" s="15"/>
      <c r="E221" s="15"/>
      <c r="F221" s="15"/>
      <c r="G221" s="15"/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t="14.25" customHeight="1">
      <c r="A222" s="15"/>
      <c r="B222" s="15"/>
      <c r="C222" s="15"/>
      <c r="D222" s="15"/>
      <c r="E222" s="15"/>
      <c r="F222" s="15"/>
      <c r="G222" s="15"/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t="14.25" customHeight="1">
      <c r="A223" s="15"/>
      <c r="B223" s="15"/>
      <c r="C223" s="15"/>
      <c r="D223" s="15"/>
      <c r="E223" s="15"/>
      <c r="F223" s="15"/>
      <c r="G223" s="15"/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t="14.25" customHeight="1">
      <c r="A224" s="15"/>
      <c r="B224" s="15"/>
      <c r="C224" s="15"/>
      <c r="D224" s="15"/>
      <c r="E224" s="15"/>
      <c r="F224" s="15"/>
      <c r="G224" s="15"/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t="14.25" customHeight="1">
      <c r="A225" s="15"/>
      <c r="B225" s="15"/>
      <c r="C225" s="15"/>
      <c r="D225" s="15"/>
      <c r="E225" s="15"/>
      <c r="F225" s="15"/>
      <c r="G225" s="15"/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t="14.25" customHeight="1">
      <c r="A226" s="15"/>
      <c r="B226" s="15"/>
      <c r="C226" s="15"/>
      <c r="D226" s="15"/>
      <c r="E226" s="15"/>
      <c r="F226" s="15"/>
      <c r="G226" s="15"/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t="14.25" customHeight="1">
      <c r="A227" s="15"/>
      <c r="B227" s="15"/>
      <c r="C227" s="15"/>
      <c r="D227" s="15"/>
      <c r="E227" s="15"/>
      <c r="F227" s="15"/>
      <c r="G227" s="15"/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t="14.25" customHeight="1">
      <c r="A228" s="15"/>
      <c r="B228" s="15"/>
      <c r="C228" s="15"/>
      <c r="D228" s="15"/>
      <c r="E228" s="15"/>
      <c r="F228" s="15"/>
      <c r="G228" s="15"/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t="14.25" customHeight="1">
      <c r="A229" s="15"/>
      <c r="B229" s="15"/>
      <c r="C229" s="15"/>
      <c r="D229" s="15"/>
      <c r="E229" s="15"/>
      <c r="F229" s="15"/>
      <c r="G229" s="15"/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t="14.25" customHeight="1">
      <c r="A230" s="15"/>
      <c r="B230" s="15"/>
      <c r="C230" s="15"/>
      <c r="D230" s="15"/>
      <c r="E230" s="15"/>
      <c r="F230" s="15"/>
      <c r="G230" s="15"/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t="14.25" customHeight="1">
      <c r="A231" s="15"/>
      <c r="B231" s="15"/>
      <c r="C231" s="15"/>
      <c r="D231" s="15"/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t="14.25" customHeight="1">
      <c r="A232" s="15"/>
      <c r="B232" s="15"/>
      <c r="C232" s="15"/>
      <c r="D232" s="15"/>
      <c r="E232" s="15"/>
      <c r="F232" s="15"/>
      <c r="G232" s="15"/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t="14.25" customHeight="1">
      <c r="A233" s="15"/>
      <c r="B233" s="15"/>
      <c r="C233" s="15"/>
      <c r="D233" s="15"/>
      <c r="E233" s="15"/>
      <c r="F233" s="15"/>
      <c r="G233" s="15"/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t="14.25" customHeight="1">
      <c r="A234" s="15"/>
      <c r="B234" s="15"/>
      <c r="C234" s="15"/>
      <c r="D234" s="15"/>
      <c r="E234" s="15"/>
      <c r="F234" s="15"/>
      <c r="G234" s="15"/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t="14.25" customHeight="1">
      <c r="A235" s="15"/>
      <c r="B235" s="15"/>
      <c r="C235" s="15"/>
      <c r="D235" s="15"/>
      <c r="E235" s="15"/>
      <c r="F235" s="15"/>
      <c r="G235" s="15"/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t="14.25" customHeight="1">
      <c r="A236" s="15"/>
      <c r="B236" s="15"/>
      <c r="C236" s="15"/>
      <c r="D236" s="15"/>
      <c r="E236" s="15"/>
      <c r="F236" s="15"/>
      <c r="G236" s="15"/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t="14.25" customHeight="1">
      <c r="A237" s="15"/>
      <c r="B237" s="15"/>
      <c r="C237" s="15"/>
      <c r="D237" s="15"/>
      <c r="E237" s="15"/>
      <c r="F237" s="15"/>
      <c r="G237" s="15"/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t="14.25" customHeight="1">
      <c r="A238" s="15"/>
      <c r="B238" s="15"/>
      <c r="C238" s="15"/>
      <c r="D238" s="15"/>
      <c r="E238" s="15"/>
      <c r="F238" s="15"/>
      <c r="G238" s="15"/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t="14.25" customHeight="1">
      <c r="A239" s="15"/>
      <c r="B239" s="15"/>
      <c r="C239" s="15"/>
      <c r="D239" s="15"/>
      <c r="E239" s="15"/>
      <c r="F239" s="15"/>
      <c r="G239" s="15"/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t="14.25" customHeight="1">
      <c r="A240" s="15"/>
      <c r="B240" s="15"/>
      <c r="C240" s="15"/>
      <c r="D240" s="15"/>
      <c r="E240" s="15"/>
      <c r="F240" s="15"/>
      <c r="G240" s="15"/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t="14.25" customHeight="1">
      <c r="A241" s="15"/>
      <c r="B241" s="15"/>
      <c r="C241" s="15"/>
      <c r="D241" s="15"/>
      <c r="E241" s="15"/>
      <c r="F241" s="15"/>
      <c r="G241" s="15"/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t="14.25" customHeight="1">
      <c r="A242" s="15"/>
      <c r="B242" s="15"/>
      <c r="C242" s="15"/>
      <c r="D242" s="15"/>
      <c r="E242" s="15"/>
      <c r="F242" s="15"/>
      <c r="G242" s="15"/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t="14.25" customHeight="1">
      <c r="A243" s="15"/>
      <c r="B243" s="15"/>
      <c r="C243" s="15"/>
      <c r="D243" s="15"/>
      <c r="E243" s="15"/>
      <c r="F243" s="15"/>
      <c r="G243" s="15"/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t="14.25" customHeight="1">
      <c r="A244" s="15"/>
      <c r="B244" s="15"/>
      <c r="C244" s="15"/>
      <c r="D244" s="15"/>
      <c r="E244" s="15"/>
      <c r="F244" s="15"/>
      <c r="G244" s="15"/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t="14.25" customHeight="1">
      <c r="A245" s="15"/>
      <c r="B245" s="15"/>
      <c r="C245" s="15"/>
      <c r="D245" s="15"/>
      <c r="E245" s="15"/>
      <c r="F245" s="15"/>
      <c r="G245" s="15"/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t="14.25" customHeight="1">
      <c r="A246" s="15"/>
      <c r="B246" s="15"/>
      <c r="C246" s="15"/>
      <c r="D246" s="15"/>
      <c r="E246" s="15"/>
      <c r="F246" s="15"/>
      <c r="G246" s="15"/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t="14.25" customHeight="1">
      <c r="A247" s="15"/>
      <c r="B247" s="15"/>
      <c r="C247" s="15"/>
      <c r="D247" s="15"/>
      <c r="E247" s="15"/>
      <c r="F247" s="15"/>
      <c r="G247" s="15"/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t="14.25" customHeight="1">
      <c r="A248" s="15"/>
      <c r="B248" s="15"/>
      <c r="C248" s="15"/>
      <c r="D248" s="15"/>
      <c r="E248" s="15"/>
      <c r="F248" s="15"/>
      <c r="G248" s="15"/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t="14.25" customHeight="1">
      <c r="A249" s="15"/>
      <c r="B249" s="15"/>
      <c r="C249" s="15"/>
      <c r="D249" s="15"/>
      <c r="E249" s="15"/>
      <c r="F249" s="15"/>
      <c r="G249" s="15"/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t="14.25" customHeight="1">
      <c r="A250" s="15"/>
      <c r="B250" s="15"/>
      <c r="C250" s="15"/>
      <c r="D250" s="15"/>
      <c r="E250" s="15"/>
      <c r="F250" s="15"/>
      <c r="G250" s="15"/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t="14.25" customHeight="1">
      <c r="A251" s="15"/>
      <c r="B251" s="15"/>
      <c r="C251" s="15"/>
      <c r="D251" s="15"/>
      <c r="E251" s="15"/>
      <c r="F251" s="15"/>
      <c r="G251" s="15"/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t="14.25" customHeight="1">
      <c r="A252" s="15"/>
      <c r="B252" s="15"/>
      <c r="C252" s="15"/>
      <c r="D252" s="15"/>
      <c r="E252" s="15"/>
      <c r="F252" s="15"/>
      <c r="G252" s="15"/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t="14.25" customHeight="1">
      <c r="A253" s="15"/>
      <c r="B253" s="15"/>
      <c r="C253" s="15"/>
      <c r="D253" s="15"/>
      <c r="E253" s="15"/>
      <c r="F253" s="15"/>
      <c r="G253" s="15"/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t="14.25" customHeight="1">
      <c r="A254" s="15"/>
      <c r="B254" s="15"/>
      <c r="C254" s="15"/>
      <c r="D254" s="15"/>
      <c r="E254" s="15"/>
      <c r="F254" s="15"/>
      <c r="G254" s="15"/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t="14.25" customHeight="1">
      <c r="A255" s="15"/>
      <c r="B255" s="15"/>
      <c r="C255" s="15"/>
      <c r="D255" s="15"/>
      <c r="E255" s="15"/>
      <c r="F255" s="15"/>
      <c r="G255" s="15"/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t="14.25" customHeight="1">
      <c r="A256" s="15"/>
      <c r="B256" s="15"/>
      <c r="C256" s="15"/>
      <c r="D256" s="15"/>
      <c r="E256" s="15"/>
      <c r="F256" s="15"/>
      <c r="G256" s="15"/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t="14.25" customHeight="1">
      <c r="A257" s="15"/>
      <c r="B257" s="15"/>
      <c r="C257" s="15"/>
      <c r="D257" s="15"/>
      <c r="E257" s="15"/>
      <c r="F257" s="15"/>
      <c r="G257" s="15"/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t="14.25" customHeight="1">
      <c r="A258" s="15"/>
      <c r="B258" s="15"/>
      <c r="C258" s="15"/>
      <c r="D258" s="15"/>
      <c r="E258" s="15"/>
      <c r="F258" s="15"/>
      <c r="G258" s="15"/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t="14.25" customHeight="1">
      <c r="A259" s="15"/>
      <c r="B259" s="15"/>
      <c r="C259" s="15"/>
      <c r="D259" s="15"/>
      <c r="E259" s="15"/>
      <c r="F259" s="15"/>
      <c r="G259" s="15"/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t="14.25" customHeight="1">
      <c r="A260" s="15"/>
      <c r="B260" s="15"/>
      <c r="C260" s="15"/>
      <c r="D260" s="15"/>
      <c r="E260" s="15"/>
      <c r="F260" s="15"/>
      <c r="G260" s="15"/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t="14.25" customHeight="1">
      <c r="A261" s="15"/>
      <c r="B261" s="15"/>
      <c r="C261" s="15"/>
      <c r="D261" s="15"/>
      <c r="E261" s="15"/>
      <c r="F261" s="15"/>
      <c r="G261" s="15"/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t="14.25" customHeight="1">
      <c r="A262" s="15"/>
      <c r="B262" s="15"/>
      <c r="C262" s="15"/>
      <c r="D262" s="15"/>
      <c r="E262" s="15"/>
      <c r="F262" s="15"/>
      <c r="G262" s="15"/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t="14.25" customHeight="1">
      <c r="A263" s="15"/>
      <c r="B263" s="15"/>
      <c r="C263" s="15"/>
      <c r="D263" s="15"/>
      <c r="E263" s="15"/>
      <c r="F263" s="15"/>
      <c r="G263" s="15"/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t="14.25" customHeight="1">
      <c r="A264" s="15"/>
      <c r="B264" s="15"/>
      <c r="C264" s="15"/>
      <c r="D264" s="15"/>
      <c r="E264" s="15"/>
      <c r="F264" s="15"/>
      <c r="G264" s="15"/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t="14.25" customHeight="1">
      <c r="A265" s="15"/>
      <c r="B265" s="15"/>
      <c r="C265" s="15"/>
      <c r="D265" s="15"/>
      <c r="E265" s="15"/>
      <c r="F265" s="15"/>
      <c r="G265" s="15"/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1">
    <mergeCell ref="G13:H15"/>
    <mergeCell ref="G16:H20"/>
    <mergeCell ref="G24:H26"/>
    <mergeCell ref="G27:H31"/>
    <mergeCell ref="A1:F1"/>
    <mergeCell ref="A7:A8"/>
    <mergeCell ref="B7:C7"/>
    <mergeCell ref="D7:E7"/>
    <mergeCell ref="F7:F8"/>
    <mergeCell ref="A13:A15"/>
    <mergeCell ref="A16:A20"/>
    <mergeCell ref="A24:A26"/>
    <mergeCell ref="A27:A31"/>
    <mergeCell ref="C41:D41"/>
    <mergeCell ref="E41:F41"/>
    <mergeCell ref="C42:D42"/>
    <mergeCell ref="E42:F42"/>
    <mergeCell ref="A35:A39"/>
    <mergeCell ref="C45:D45"/>
    <mergeCell ref="E45:F45"/>
    <mergeCell ref="C46:D46"/>
    <mergeCell ref="E46:F46"/>
    <mergeCell ref="H46:I48"/>
    <mergeCell ref="C47:D47"/>
    <mergeCell ref="E47:F47"/>
    <mergeCell ref="C54:D54"/>
    <mergeCell ref="C55:D55"/>
    <mergeCell ref="C56:D56"/>
    <mergeCell ref="C57:D57"/>
    <mergeCell ref="C58:D58"/>
    <mergeCell ref="E55:F55"/>
    <mergeCell ref="E56:F56"/>
    <mergeCell ref="E57:F57"/>
    <mergeCell ref="E58:F58"/>
    <mergeCell ref="C48:D48"/>
    <mergeCell ref="E48:F48"/>
    <mergeCell ref="E54:F54"/>
    <mergeCell ref="C50:D50"/>
    <mergeCell ref="E50:F50"/>
    <mergeCell ref="C51:D51"/>
    <mergeCell ref="E51:F51"/>
  </mergeCells>
  <conditionalFormatting sqref="G9">
    <cfRule type="notContainsBlanks" dxfId="0" priority="1">
      <formula>LEN(TRIM(G9))&gt;0</formula>
    </cfRule>
  </conditionalFormatting>
  <conditionalFormatting sqref="G13">
    <cfRule type="notContainsBlanks" dxfId="1" priority="2">
      <formula>LEN(TRIM(G13))&gt;0</formula>
    </cfRule>
  </conditionalFormatting>
  <conditionalFormatting sqref="G16">
    <cfRule type="notContainsBlanks" dxfId="1" priority="3">
      <formula>LEN(TRIM(G16))&gt;0</formula>
    </cfRule>
  </conditionalFormatting>
  <conditionalFormatting sqref="G24">
    <cfRule type="notContainsBlanks" dxfId="1" priority="4">
      <formula>LEN(TRIM(G24))&gt;0</formula>
    </cfRule>
  </conditionalFormatting>
  <conditionalFormatting sqref="G27">
    <cfRule type="notContainsBlanks" dxfId="1" priority="5">
      <formula>LEN(TRIM(G27))&gt;0</formula>
    </cfRule>
  </conditionalFormatting>
  <conditionalFormatting sqref="H46">
    <cfRule type="notContainsBlanks" dxfId="1" priority="6">
      <formula>LEN(TRIM(H46))&gt;0</formula>
    </cfRule>
  </conditionalFormatting>
  <conditionalFormatting sqref="I13:I20">
    <cfRule type="notContainsBlanks" dxfId="0" priority="7">
      <formula>LEN(TRIM(I13))&gt;0</formula>
    </cfRule>
  </conditionalFormatting>
  <conditionalFormatting sqref="I24:I31">
    <cfRule type="notContainsBlanks" dxfId="0" priority="8">
      <formula>LEN(TRIM(I24))&gt;0</formula>
    </cfRule>
  </conditionalFormatting>
  <conditionalFormatting sqref="J46:J48">
    <cfRule type="notContainsBlanks" dxfId="0" priority="9">
      <formula>LEN(TRIM(J46))&gt;0</formula>
    </cfRule>
  </conditionalFormatting>
  <printOptions/>
  <pageMargins bottom="0.75" footer="0.0" header="0.0" left="0.7" right="0.7" top="0.75"/>
  <pageSetup orientation="portrait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13.78"/>
    <col customWidth="1" min="2" max="2" width="25.0"/>
    <col customWidth="1" min="3" max="3" width="8.0"/>
    <col customWidth="1" min="4" max="4" width="11.33"/>
    <col customWidth="1" min="5" max="5" width="9.33"/>
    <col customWidth="1" min="6" max="6" width="6.0"/>
    <col customWidth="1" min="7" max="7" width="9.44"/>
    <col customWidth="1" min="8" max="8" width="20.33"/>
    <col customWidth="1" min="9" max="9" width="20.44"/>
    <col customWidth="1" min="10" max="10" width="11.0"/>
    <col customWidth="1" min="11" max="12" width="10.78"/>
    <col customWidth="1" min="13" max="26" width="11.0"/>
  </cols>
  <sheetData>
    <row r="1" ht="14.25" customHeight="1">
      <c r="A1" s="14" t="s">
        <v>38</v>
      </c>
      <c r="G1" s="15"/>
      <c r="H1" s="15"/>
      <c r="I1" s="16" t="s">
        <v>39</v>
      </c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14.25" customHeight="1">
      <c r="A2" s="15"/>
      <c r="B2" s="15"/>
      <c r="C2" s="15"/>
      <c r="D2" s="15"/>
      <c r="E2" s="15"/>
      <c r="F2" s="15"/>
      <c r="G2" s="15"/>
      <c r="H2" s="17" t="s">
        <v>40</v>
      </c>
      <c r="I2" s="18" t="str">
        <f>DATE(F3, 10, 1)</f>
        <v>#VALUE!</v>
      </c>
      <c r="J2" s="15"/>
      <c r="K2" s="19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t="14.25" customHeight="1">
      <c r="A3" s="15" t="s">
        <v>41</v>
      </c>
      <c r="B3" s="15"/>
      <c r="C3" s="20" t="s">
        <v>110</v>
      </c>
      <c r="D3" s="15"/>
      <c r="E3" s="15" t="s">
        <v>43</v>
      </c>
      <c r="F3" s="20" t="str">
        <f>YEAR(Results!E3)</f>
        <v>#VALUE!</v>
      </c>
      <c r="G3" s="15"/>
      <c r="H3" s="17" t="s">
        <v>44</v>
      </c>
      <c r="I3" s="18" t="str">
        <f>EOMONTH(I2,0)</f>
        <v>#VALUE!</v>
      </c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t="14.25" customHeight="1">
      <c r="A4" s="15" t="s">
        <v>45</v>
      </c>
      <c r="B4" s="15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t="14.25" customHeight="1">
      <c r="A5" s="15"/>
      <c r="B5" s="15"/>
      <c r="C5" s="15"/>
      <c r="D5" s="15"/>
      <c r="E5" s="15"/>
      <c r="F5" s="15"/>
      <c r="G5" s="15"/>
      <c r="H5" s="15"/>
      <c r="I5" s="15"/>
      <c r="J5" s="15"/>
      <c r="K5" s="15"/>
      <c r="L5" s="15"/>
      <c r="M5" s="15"/>
      <c r="N5" s="15"/>
      <c r="O5" s="21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t="14.25" customHeight="1">
      <c r="A6" s="15" t="s">
        <v>46</v>
      </c>
      <c r="B6" s="15"/>
      <c r="C6" s="15"/>
      <c r="D6" s="15"/>
      <c r="E6" s="15"/>
      <c r="F6" s="15"/>
      <c r="G6" s="15"/>
      <c r="H6" s="15"/>
      <c r="I6" s="20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t="14.25" customHeight="1">
      <c r="A7" s="22"/>
      <c r="B7" s="23" t="s">
        <v>47</v>
      </c>
      <c r="C7" s="24"/>
      <c r="D7" s="23" t="s">
        <v>48</v>
      </c>
      <c r="E7" s="24"/>
      <c r="F7" s="25" t="s">
        <v>49</v>
      </c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t="14.25" customHeight="1">
      <c r="A8" s="26"/>
      <c r="B8" s="27" t="s">
        <v>50</v>
      </c>
      <c r="C8" s="27" t="s">
        <v>51</v>
      </c>
      <c r="D8" s="27" t="s">
        <v>50</v>
      </c>
      <c r="E8" s="27" t="s">
        <v>51</v>
      </c>
      <c r="F8" s="26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t="14.25" customHeight="1">
      <c r="A9" s="28"/>
      <c r="B9" s="28">
        <f>COUNTIFS(Results!$E:$E,"&gt;="&amp;$I$2,Results!$E:$E,"&lt;="&amp;$I$3,Results!$I:$I,"Male",Results!$J:$J,"&lt;15", Results!$F:$F,"*tive")</f>
        <v>0</v>
      </c>
      <c r="C9" s="28">
        <f>COUNTIFS(Results!$E:$E,"&gt;="&amp;$I$2,Results!$E:$E,"&lt;="&amp;$I$3,Results!$I:$I,"Male",Results!$J:$J,"&gt;=15", Results!$F:$F,"*tive")</f>
        <v>0</v>
      </c>
      <c r="D9" s="28">
        <f>COUNTIFS(Results!$E:$E,"&gt;="&amp;$I$2,Results!$E:$E,"&lt;="&amp;$I$3,Results!$I:$I,"Female",Results!$J:$J,"&lt;15", Results!$F:$F,"*tive")</f>
        <v>0</v>
      </c>
      <c r="E9" s="28">
        <f>COUNTIFS(Results!$E:$E,"&gt;="&amp;$I$2,Results!$E:$E,"&lt;="&amp;$I$3,Results!$I:$I,"Female",Results!$J:$J,"&gt;=15", Results!$F:$F,"*tive")</f>
        <v>0</v>
      </c>
      <c r="F9" s="28">
        <f>COUNTIFS(Results!$E:$E,"&gt;="&amp;$I$2,Results!$E:$E,"&lt;="&amp;$I$3, Results!$F:$F,"*tive", Results!$J:$J,"&lt;&gt;Not on Form", Results!$J:$J,"&lt;&gt;N/A", Results!$I:$I,"&lt;&gt;Not on Form", Results!$I:$I,"&lt;&gt;N/A")</f>
        <v>0</v>
      </c>
      <c r="G9" s="15" t="str">
        <f>IF(SUM(B9:E9)=F9,"","Check Total Value &amp; Category")</f>
        <v/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t="14.25" customHeight="1">
      <c r="A10" s="15"/>
      <c r="B10" s="15"/>
      <c r="C10" s="15"/>
      <c r="D10" s="15"/>
      <c r="E10" s="15"/>
      <c r="F10" s="15"/>
      <c r="G10" s="15"/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t="14.25" customHeight="1">
      <c r="A11" s="15" t="s">
        <v>52</v>
      </c>
      <c r="B11" s="15"/>
      <c r="C11" s="15"/>
      <c r="D11" s="15"/>
      <c r="E11" s="15"/>
      <c r="F11" s="15"/>
      <c r="G11" s="15"/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t="14.25" customHeight="1">
      <c r="A12" s="28"/>
      <c r="B12" s="28"/>
      <c r="C12" s="29" t="s">
        <v>53</v>
      </c>
      <c r="D12" s="29" t="s">
        <v>54</v>
      </c>
      <c r="E12" s="29" t="s">
        <v>55</v>
      </c>
      <c r="F12" s="29" t="s">
        <v>49</v>
      </c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t="15.75" customHeight="1">
      <c r="A13" s="30" t="s">
        <v>56</v>
      </c>
      <c r="B13" s="28" t="s">
        <v>57</v>
      </c>
      <c r="C13" s="28">
        <f>COUNTIFS(Results!$E:$E,"&gt;="&amp;$I$2,Results!$E:$E,"&lt;="&amp;$I$3,Results!$L:$L,"Positive",Results!$K:$K,"No", Results!$F:$F,"*tive") + COUNTIFS(Results!$E:$E,"&gt;="&amp;$I$2,Results!$E:$E,"&lt;="&amp;$I$3,Results!$L:$L,"Positive",Results!$K:$K,"On Treatment", Results!$F:$F,"*tive")</f>
        <v>0</v>
      </c>
      <c r="D13" s="28">
        <f>COUNTIFS(Results!$E:$E,"&gt;="&amp;$I$2,Results!$E:$E,"&lt;="&amp;$I$3,Results!$L:$L,"Positive",Results!$K:$K,"Yes", Results!$F:$F,"*tive")</f>
        <v>0</v>
      </c>
      <c r="E13" s="28">
        <f>COUNTIFS(Results!$E:$E,"&gt;="&amp;$I$2,Results!$E:$E,"&lt;="&amp;$I$3,Results!$L:$L,"Positive",Results!$K:$K,"Unknown", Results!$F:$F,"*tive")</f>
        <v>0</v>
      </c>
      <c r="F13" s="28">
        <f>COUNTIFS(Results!$E:$E,"&gt;="&amp;$I$2,Results!$E:$E,"&lt;="&amp;$I$3,Results!$L:$L,"Positive", Results!$F:$F,"*tive", Results!$K:$K,"&lt;&gt;Not on Form", Results!$K:$K,"&lt;&gt;N/A", Results!$L:$L,"&lt;&gt;Not on Form", Results!$L:$L,"&lt;&gt;N/A")</f>
        <v>0</v>
      </c>
      <c r="G13" s="31" t="str">
        <f>IF($F$9=SUM(F13:F15),"","Error! Microscopy result does NOT match, cross check: Missing information in Microscopy Result")</f>
        <v/>
      </c>
      <c r="I13" s="15" t="str">
        <f t="shared" ref="I13:I18" si="1">IF(SUM(C13:E13)=F13,"","Check Total Value &amp; Category")</f>
        <v/>
      </c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t="14.25" customHeight="1">
      <c r="A14" s="32"/>
      <c r="B14" s="28" t="s">
        <v>58</v>
      </c>
      <c r="C14" s="28">
        <f>COUNTIFS(Results!$E:$E,"&gt;="&amp;$I$2,Results!$E:$E,"&lt;="&amp;$I$3,Results!$L:$L,"Negative",Results!$K:$K,"No", Results!$F:$F,"*tive") + COUNTIFS(Results!$E:$E,"&gt;="&amp;$I$2,Results!$E:$E,"&lt;="&amp;$I$3,Results!$L:$L,"Negative",Results!$K:$K,"On Treatment", Results!$F:$F,"*tive")</f>
        <v>0</v>
      </c>
      <c r="D14" s="28">
        <f>COUNTIFS(Results!$E:$E,"&gt;="&amp;$I$2,Results!$E:$E,"&lt;="&amp;$I$3,Results!$L:$L,"Negative",Results!$K:$K,"Yes", Results!$F:$F,"*tive")</f>
        <v>0</v>
      </c>
      <c r="E14" s="28">
        <f>COUNTIFS(Results!$E:$E,"&gt;="&amp;$I$2,Results!$E:$E,"&lt;="&amp;$I$3,Results!$L:$L,"Negative",Results!$K:$K,"Unknown", Results!$F:$F,"*tive")</f>
        <v>0</v>
      </c>
      <c r="F14" s="28">
        <f>COUNTIFS(Results!$E:$E,"&gt;="&amp;$I$2,Results!$E:$E,"&lt;="&amp;$I$3,Results!$L:$L,"Negative", Results!$F:$F,"*tive",Results!$K:$K,"&lt;&gt;Not on Form", Results!$K:$K,"&lt;&gt;N/A", Results!$L:$L,"&lt;&gt;Not on Form", Results!$L:$L,"&lt;&gt;N/A")</f>
        <v>0</v>
      </c>
      <c r="G14" s="33"/>
      <c r="I14" s="15" t="str">
        <f t="shared" si="1"/>
        <v/>
      </c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t="14.25" customHeight="1">
      <c r="A15" s="26"/>
      <c r="B15" s="28" t="s">
        <v>59</v>
      </c>
      <c r="C15" s="28">
        <f>COUNTIFS(Results!$E:$E,"&gt;="&amp;$I$2,Results!$E:$E,"&lt;="&amp;$I$3,Results!$L:$L,"Not Done",Results!$K:$K,"No", Results!$F:$F,"*tive") + COUNTIFS(Results!$E:$E,"&gt;="&amp;$I$2,Results!$E:$E,"&lt;="&amp;$I$3,Results!$L:$L,"Not Done",Results!$K:$K,"On Treatment", Results!$F:$F,"*tive")</f>
        <v>0</v>
      </c>
      <c r="D15" s="28">
        <f>COUNTIFS(Results!$E:$E,"&gt;="&amp;$I$2,Results!$E:$E,"&lt;="&amp;$I$3,Results!$L:$L,"Not Done",Results!$K:$K,"Yes", Results!$F:$F,"*tive")</f>
        <v>0</v>
      </c>
      <c r="E15" s="28">
        <f>COUNTIFS(Results!$E:$E,"&gt;="&amp;$I$2,Results!$E:$E,"&lt;="&amp;$I$3,Results!$L:$L,"Not Done",Results!$K:$K,"Unknown", Results!$F:$F,"*tive")</f>
        <v>0</v>
      </c>
      <c r="F15" s="28">
        <f>COUNTIFS(Results!$E:$E,"&gt;="&amp;$I$2,Results!$E:$E,"&lt;="&amp;$I$3,Results!$L:$L,"Not Done", Results!$F:$F,"*tive", Results!$K:$K,"&lt;&gt;Not on Form", Results!$K:$K,"&lt;&gt;N/A", Results!$L:$L,"&lt;&gt;Not on Form", Results!$L:$L,"&lt;&gt;N/A")</f>
        <v>0</v>
      </c>
      <c r="G15" s="33"/>
      <c r="I15" s="15" t="str">
        <f t="shared" si="1"/>
        <v/>
      </c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t="14.25" customHeight="1">
      <c r="A16" s="25" t="s">
        <v>60</v>
      </c>
      <c r="B16" s="28" t="s">
        <v>61</v>
      </c>
      <c r="C16" s="28">
        <f>COUNTIFS(Results!$E:$E,"&gt;="&amp;$I$2,Results!$E:$E,"&lt;="&amp;$I$3,Results!$F:$F,"Negative",Results!$K:$K,"No") + COUNTIFS(Results!$E:$E,"&gt;="&amp;$I$2,Results!$E:$E,"&lt;="&amp;$I$3,Results!$F:$F,"Negative",Results!$K:$K,"On Treatment")</f>
        <v>0</v>
      </c>
      <c r="D16" s="28">
        <f>COUNTIFS(Results!$E:$E,"&gt;="&amp;$I$2,Results!$E:$E,"&lt;="&amp;$I$3,Results!$F:$F,"Negative",Results!$K:$K,"Yes")</f>
        <v>0</v>
      </c>
      <c r="E16" s="28">
        <f>COUNTIFS(Results!$E:$E,"&gt;="&amp;$I$2,Results!$E:$E,"&lt;="&amp;$I$3,Results!$F:$F,"Negative",Results!$K:$K,"Unknown")</f>
        <v>0</v>
      </c>
      <c r="F16" s="28">
        <f>COUNTIFS(Results!$E:$E,"&gt;="&amp;$I$2,Results!$E:$E,"&lt;="&amp;$I$3,Results!$F:$F,"Negative", Results!$K:$K,"&lt;&gt;Not on Form", Results!$K:$K,"&lt;&gt;N/A")</f>
        <v>0</v>
      </c>
      <c r="G16" s="31" t="str">
        <f>IF($F$9=SUM(F16:F20),"","Error! Cross information between Xpert result and treatment category are not match; possibly there will be Erorr or missing information on MTB result OR RIF result")</f>
        <v/>
      </c>
      <c r="I16" s="15" t="str">
        <f t="shared" si="1"/>
        <v/>
      </c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t="14.25" customHeight="1">
      <c r="A17" s="32"/>
      <c r="B17" s="28" t="s">
        <v>62</v>
      </c>
      <c r="C17" s="28">
        <f>COUNTIFS(Results!$E:$E,"&gt;="&amp;$I$2,Results!$E:$E,"&lt;="&amp;$I$3,Results!$F:$F,"Positive",Results!$G:$G,"Negative",Results!$K:$K,"No") + COUNTIFS(Results!$E:$E,"&gt;="&amp;$I$2,Results!$E:$E,"&lt;="&amp;$I$3,Results!$F:$F,"Positive",Results!$G:$G,"Negative",Results!$K:$K,"On Treatment")</f>
        <v>0</v>
      </c>
      <c r="D17" s="28">
        <f>COUNTIFS(Results!$E:$E,"&gt;="&amp;$I$2,Results!$E:$E,"&lt;="&amp;$I$3,Results!$F:$F,"Positive",Results!$G:$G,"Negative",Results!$K:$K,"Yes")</f>
        <v>0</v>
      </c>
      <c r="E17" s="28">
        <f>COUNTIFS(Results!$E:$E,"&gt;="&amp;$I$2,Results!$E:$E,"&lt;="&amp;$I$3,Results!$F:$F,"Positive",Results!$G:$G,"Negative",Results!$K:$K,"Unknown")</f>
        <v>0</v>
      </c>
      <c r="F17" s="28">
        <f>COUNTIFS(Results!$E:$E,"&gt;="&amp;$I$2,Results!$E:$E,"&lt;="&amp;$I$3,Results!$F:$F,"Positive",Results!$G:$G,"Negative", Results!$K:$K,"&lt;&gt;Not on Form", Results!$K:$K,"&lt;&gt;N/A")</f>
        <v>0</v>
      </c>
      <c r="G17" s="33"/>
      <c r="I17" s="15" t="str">
        <f t="shared" si="1"/>
        <v/>
      </c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t="14.25" customHeight="1">
      <c r="A18" s="32"/>
      <c r="B18" s="28" t="s">
        <v>63</v>
      </c>
      <c r="C18" s="28">
        <f>COUNTIFS(Results!$E:$E,"&gt;="&amp;$I$2,Results!$E:$E,"&lt;="&amp;$I$3,Results!$F:$F,"Positive",Results!$G:$G,"Positive",Results!$K:$K,"No") + COUNTIFS(Results!$E:$E,"&gt;="&amp;$I$2,Results!$E:$E,"&lt;="&amp;$I$3,Results!$F:$F,"Positive",Results!$G:$G,"Positive",Results!$K:$K,"On Treatment")</f>
        <v>0</v>
      </c>
      <c r="D18" s="28">
        <f>COUNTIFS(Results!$E:$E,"&gt;="&amp;$I$2,Results!$E:$E,"&lt;="&amp;$I$3,Results!$F:$F,"Positive",Results!$G:$G,"Positive",Results!$K:$K,"Yes")</f>
        <v>0</v>
      </c>
      <c r="E18" s="28">
        <f>COUNTIFS(Results!$E:$E,"&gt;="&amp;$I$2,Results!$E:$E,"&lt;="&amp;$I$3,Results!$F:$F,"Positive",Results!$G:$G,"Positive",Results!$K:$K,"Unknown")</f>
        <v>0</v>
      </c>
      <c r="F18" s="28">
        <f>COUNTIFS(Results!$E:$E,"&gt;="&amp;$I$2,Results!$E:$E,"&lt;="&amp;$I$3,Results!$F:$F,"Positive",Results!$G:$G,"Positive", Results!$K:$K,"&lt;&gt;Not on Form", Results!$K:$K,"&lt;&gt;N/A")</f>
        <v>0</v>
      </c>
      <c r="G18" s="33"/>
      <c r="I18" s="15" t="str">
        <f t="shared" si="1"/>
        <v/>
      </c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t="14.25" customHeight="1">
      <c r="A19" s="32"/>
      <c r="B19" s="28" t="s">
        <v>64</v>
      </c>
      <c r="C19" s="28">
        <f>COUNTIFS(Results!$E:$E,"&gt;="&amp;$I$2,Results!$E:$E,"&lt;="&amp;$I$3,Results!$F:$F,"Positive",Results!$G:$G,"Indeterminate",Results!$K:$K,"No") + COUNTIFS(Results!$E:$E,"&gt;="&amp;$I$2,Results!$E:$E,"&lt;="&amp;$I$3,Results!$F:$F,"Positive",Results!$G:$G,"Indeterminate",Results!$K:$K,"On Treatment")</f>
        <v>0</v>
      </c>
      <c r="D19" s="28">
        <f>COUNTIFS(Results!$E:$E,"&gt;="&amp;$I$2,Results!$E:$E,"&lt;="&amp;$I$3,Results!$F:$F,"Positive",Results!$G:$G,"Indeterminate",Results!$K:$K,"Yes")</f>
        <v>0</v>
      </c>
      <c r="E19" s="28">
        <f>COUNTIFS(Results!$E:$E,"&gt;="&amp;$I$2,Results!$E:$E,"&lt;="&amp;$I$3,Results!$F:$F,"Positive",Results!$G:$G,"Indeterminate",Results!$K:$K,"Unknown")</f>
        <v>0</v>
      </c>
      <c r="F19" s="28">
        <f>COUNTIFS(Results!$E:$E,"&gt;="&amp;$I$2,Results!$E:$E,"&lt;="&amp;$I$3,Results!$F:$F,"Positive",Results!$G:$G,"Indeterminate", Results!$K:$K,"&lt;&gt;Not on Form", Results!$K:$K,"&lt;&gt;N/A")</f>
        <v>0</v>
      </c>
      <c r="G19" s="33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t="14.25" customHeight="1">
      <c r="A20" s="26"/>
      <c r="B20" s="28" t="s">
        <v>65</v>
      </c>
      <c r="C20" s="28">
        <f>COUNTIFS(Results!$E:$E,"&gt;="&amp;$I$2,Results!$E:$E,"&lt;="&amp;$I$3,Results!$F:$F,"Trace",Results!$G:$G,"Indeterminate",Results!$K:$K,"No") + COUNTIFS(Results!$E:$E,"&gt;="&amp;$I$2,Results!$E:$E,"&lt;="&amp;$I$3,Results!$F:$F,"Trace",Results!$G:$G,"Indeterminate",Results!$K:$K,"On Treatment")</f>
        <v>0</v>
      </c>
      <c r="D20" s="28">
        <f>COUNTIFS(Results!$E:$E,"&gt;="&amp;$I$2,Results!$E:$E,"&lt;="&amp;$I$3,Results!$F:$F,"Trace",Results!$G:$G,"Indeterminate",Results!$K:$K,"Yes")</f>
        <v>0</v>
      </c>
      <c r="E20" s="28">
        <f>COUNTIFS(Results!$E:$E,"&gt;="&amp;$I$2,Results!$E:$E,"&lt;="&amp;$I$3,Results!$F:$F,"Trace",Results!$G:$G,"Indeterminate",Results!$K:$K,"Unknown")</f>
        <v>0</v>
      </c>
      <c r="F20" s="28">
        <f>COUNTIFS(Results!$E:$E,"&gt;="&amp;$I$2,Results!$E:$E,"&lt;="&amp;$I$3,Results!$F:$F,"Trace",Results!$G:$G,"Indeterminate", Results!$K:$K,"&lt;&gt;Not on Form", Results!$K:$K,"&lt;&gt;N/A")</f>
        <v>0</v>
      </c>
      <c r="G20" s="33"/>
      <c r="I20" s="15" t="str">
        <f>IF(SUM(C20:E20)=F20,"","Check Total Value &amp; Category")</f>
        <v/>
      </c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t="14.25" customHeight="1">
      <c r="A21" s="15"/>
      <c r="B21" s="15"/>
      <c r="C21" s="15"/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t="14.25" customHeight="1">
      <c r="A22" s="15" t="s">
        <v>66</v>
      </c>
      <c r="B22" s="15"/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t="14.25" customHeight="1">
      <c r="A23" s="28"/>
      <c r="B23" s="28"/>
      <c r="C23" s="34" t="s">
        <v>67</v>
      </c>
      <c r="D23" s="34" t="s">
        <v>68</v>
      </c>
      <c r="E23" s="27" t="s">
        <v>55</v>
      </c>
      <c r="F23" s="27" t="s">
        <v>49</v>
      </c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t="15.75" hidden="1" customHeight="1">
      <c r="A24" s="30" t="s">
        <v>56</v>
      </c>
      <c r="B24" s="28" t="s">
        <v>57</v>
      </c>
      <c r="C24" s="28">
        <f>COUNTIFS(Results!$E:$E,"&gt;="&amp;$I$2,Results!$E:$E,"&lt;="&amp;$I$3,Results!$L:$L,"Positive",Results!$H:$H,"Positive", Results!$F:$F,"*tive")</f>
        <v>0</v>
      </c>
      <c r="D24" s="28">
        <f>COUNTIFS(Results!$E:$E,"&gt;="&amp;$I$2,Results!$E:$E,"&lt;="&amp;$I$3,Results!$L:$L,"Positive",Results!$H:$H,"Negative", Results!$F:$F,"*tive")</f>
        <v>0</v>
      </c>
      <c r="E24" s="28">
        <f>COUNTIFS(Results!$E:$E,"&gt;="&amp;$I$2,Results!$E:$E,"&lt;="&amp;$I$3,Results!$L:$L,"Positive",Results!$H:$H,"Unknown", Results!$F:$F,"*tive")</f>
        <v>0</v>
      </c>
      <c r="F24" s="28">
        <f>COUNTIFS(Results!$E:$E,"&gt;="&amp;$I$2,Results!$E:$E,"&lt;="&amp;$I$3,Results!$L:$L,"Positive", Results!$F:$F,"*tive", Results!$H:$H,"&lt;&gt;Not on Form", Results!$H:$H,"&lt;&gt;N/A", Results!$L:$L,"&lt;&gt;Not on Form", Results!$L:$L,"&lt;&gt;N/A")</f>
        <v>0</v>
      </c>
      <c r="G24" s="31" t="str">
        <f>IF($F$9=SUM(F24:F26),"","Error! Microscope Result and HIV Status do NOT match; Crosscheck for missing information in Microscope Result OR HIV Status")</f>
        <v/>
      </c>
      <c r="I24" s="15" t="str">
        <f t="shared" ref="I24:I29" si="2">IF(SUM(C24:E24)=F24,"","Check Total Value &amp; Category")</f>
        <v/>
      </c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t="14.25" hidden="1" customHeight="1">
      <c r="A25" s="32"/>
      <c r="B25" s="28" t="s">
        <v>58</v>
      </c>
      <c r="C25" s="28">
        <f>COUNTIFS(Results!$E:$E,"&gt;="&amp;$I$2,Results!$E:$E,"&lt;="&amp;$I$3,Results!$L:$L,"Negative",Results!$H:$H,"Positive", Results!$F:$F,"*tive")</f>
        <v>0</v>
      </c>
      <c r="D25" s="28">
        <f>COUNTIFS(Results!$E:$E,"&gt;="&amp;$I$2,Results!$E:$E,"&lt;="&amp;$I$3,Results!$L:$L,"Negative",Results!$H:$H,"Negative", Results!$F:$F,"*tive")</f>
        <v>0</v>
      </c>
      <c r="E25" s="28">
        <f>COUNTIFS(Results!$E:$E,"&gt;="&amp;$I$2,Results!$E:$E,"&lt;="&amp;$I$3,Results!$L:$L,"Negative",Results!$H:$H,"Unknown", Results!$F:$F,"*tive")</f>
        <v>0</v>
      </c>
      <c r="F25" s="28">
        <f>COUNTIFS(Results!$E:$E,"&gt;="&amp;$I$2,Results!$E:$E,"&lt;="&amp;$I$3,Results!$L:$L,"Negative", Results!$F:$F,"*tive",  Results!$H:$H,"&lt;&gt;Not on Form", Results!$H:$H,"&lt;&gt;N/A", Results!$L:$L,"&lt;&gt;Not on Form", Results!$L:$L,"&lt;&gt;N/A")</f>
        <v>0</v>
      </c>
      <c r="G25" s="33"/>
      <c r="I25" s="15" t="str">
        <f t="shared" si="2"/>
        <v/>
      </c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t="14.25" hidden="1" customHeight="1">
      <c r="A26" s="26"/>
      <c r="B26" s="28" t="s">
        <v>59</v>
      </c>
      <c r="C26" s="28">
        <f>COUNTIFS(Results!$E:$E,"&gt;="&amp;$I$2,Results!$E:$E,"&lt;="&amp;$I$3,Results!$L:$L,"Not Done",Results!$H:$H,"Positive", Results!$F:$F,"*tive")</f>
        <v>0</v>
      </c>
      <c r="D26" s="28">
        <f>COUNTIFS(Results!$E:$E,"&gt;="&amp;$I$2,Results!$E:$E,"&lt;="&amp;$I$3,Results!$L:$L,"Not Done",Results!$H:$H,"Negative", Results!$F:$F,"*tive")</f>
        <v>0</v>
      </c>
      <c r="E26" s="28">
        <f>COUNTIFS(Results!$E:$E,"&gt;="&amp;$I$2,Results!$E:$E,"&lt;="&amp;$I$3,Results!$L:$L,"Not Done",Results!$H:$H,"Unknown", Results!$F:$F,"*tive")</f>
        <v>0</v>
      </c>
      <c r="F26" s="28">
        <f>COUNTIFS(Results!$E:$E,"&gt;="&amp;$I$2,Results!$E:$E,"&lt;="&amp;$I$3,Results!$L:$L,"Not Done",Results!$F:$F,"*tive",  Results!$H:$H,"&lt;&gt;Not on Form", Results!$H:$H,"&lt;&gt;N/A", Results!$L:$L,"&lt;&gt;Not on Form", Results!$L:$L,"&lt;&gt;N/A")</f>
        <v>0</v>
      </c>
      <c r="G26" s="33"/>
      <c r="I26" s="15" t="str">
        <f t="shared" si="2"/>
        <v/>
      </c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t="14.25" customHeight="1">
      <c r="A27" s="25" t="s">
        <v>60</v>
      </c>
      <c r="B27" s="28" t="s">
        <v>61</v>
      </c>
      <c r="C27" s="28">
        <f>COUNTIFS(Results!$E:$E,"&gt;="&amp;$I$2,Results!$E:$E,"&lt;="&amp;$I$3,Results!$F:$F,"Negative",Results!$H:$H,"Positive")</f>
        <v>0</v>
      </c>
      <c r="D27" s="28">
        <f>COUNTIFS(Results!$E:$E,"&gt;="&amp;$I$2,Results!$E:$E,"&lt;="&amp;$I$3,Results!$F:$F,"Negative",Results!$H:$H,"Negative")</f>
        <v>0</v>
      </c>
      <c r="E27" s="28">
        <f>COUNTIFS(Results!$E:$E,"&gt;="&amp;$I$2,Results!$E:$E,"&lt;="&amp;$I$3,Results!$F:$F,"Negative",Results!$H:$H,"Unknown")</f>
        <v>0</v>
      </c>
      <c r="F27" s="28">
        <f>COUNTIFS(Results!$E:$E,"&gt;="&amp;$I$2,Results!$E:$E,"&lt;="&amp;$I$3,Results!$F:$F,"Negative", Results!$H:$H,"&lt;&gt;Not on Form", Results!$H:$H,"&lt;&gt;N/A")</f>
        <v>0</v>
      </c>
      <c r="G27" s="31" t="str">
        <f>IF($F$9=SUM(F27:F31),"","Error! Cross information between Xpert result and HIV Status are not match; possibly there will be Erorr or missing information on MTB result OR HIV Status")</f>
        <v/>
      </c>
      <c r="I27" s="15" t="str">
        <f t="shared" si="2"/>
        <v/>
      </c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t="14.25" customHeight="1">
      <c r="A28" s="32"/>
      <c r="B28" s="28" t="s">
        <v>62</v>
      </c>
      <c r="C28" s="28">
        <f>COUNTIFS(Results!$E:$E,"&gt;="&amp;$I$2,Results!$E:$E,"&lt;="&amp;$I$3,Results!$F:$F,"Positive",Results!$G:$G,"Negative",Results!$H:$H,"Positive")</f>
        <v>0</v>
      </c>
      <c r="D28" s="28">
        <f>COUNTIFS(Results!$E:$E,"&gt;="&amp;$I$2,Results!$E:$E,"&lt;="&amp;$I$3,Results!$F:$F,"Positive",Results!$G:$G,"Negative",Results!$H:$H,"Negative")</f>
        <v>0</v>
      </c>
      <c r="E28" s="28">
        <f>COUNTIFS(Results!$E:$E,"&gt;="&amp;$I$2,Results!$E:$E,"&lt;="&amp;$I$3,Results!$F:$F,"Positive",Results!$G:$G,"Negative",Results!$H:$H,"Unknown")</f>
        <v>0</v>
      </c>
      <c r="F28" s="28">
        <f>COUNTIFS(Results!$E:$E,"&gt;="&amp;$I$2,Results!$E:$E,"&lt;="&amp;$I$3,Results!$F:$F,"Positive",Results!$G:$G,"Negative", Results!$H:$H,"&lt;&gt;Not on Form", Results!$H:$H,"&lt;&gt;N/A")</f>
        <v>0</v>
      </c>
      <c r="G28" s="33"/>
      <c r="I28" s="15" t="str">
        <f t="shared" si="2"/>
        <v/>
      </c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t="14.25" customHeight="1">
      <c r="A29" s="32"/>
      <c r="B29" s="28" t="s">
        <v>63</v>
      </c>
      <c r="C29" s="28">
        <f>COUNTIFS(Results!$E:$E,"&gt;="&amp;$I$2,Results!$E:$E,"&lt;="&amp;$I$3,Results!$F:$F,"Positive",Results!$G:$G,"Positive",Results!$H:$H,"Positive")</f>
        <v>0</v>
      </c>
      <c r="D29" s="28">
        <f>COUNTIFS(Results!$E:$E,"&gt;="&amp;$I$2,Results!$E:$E,"&lt;="&amp;$I$3,Results!$F:$F,"Positive",Results!$G:$G,"Positive",Results!$H:$H,"Negative")</f>
        <v>0</v>
      </c>
      <c r="E29" s="28">
        <f>COUNTIFS(Results!$E:$E,"&gt;="&amp;$I$2,Results!$E:$E,"&lt;="&amp;$I$3,Results!$F:$F,"Positive",Results!$G:$G,"Positive",Results!$H:$H,"Unknown")</f>
        <v>0</v>
      </c>
      <c r="F29" s="28">
        <f>COUNTIFS(Results!$E:$E,"&gt;="&amp;$I$2,Results!$E:$E,"&lt;="&amp;$I$3,Results!$F:$F,"Positive",Results!$G:$G,"Positive", Results!$H:$H,"&lt;&gt;Not on Form", Results!$H:$H,"&lt;&gt;N/A")</f>
        <v>0</v>
      </c>
      <c r="G29" s="33"/>
      <c r="I29" s="15" t="str">
        <f t="shared" si="2"/>
        <v/>
      </c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t="14.25" customHeight="1">
      <c r="A30" s="32"/>
      <c r="B30" s="28" t="s">
        <v>64</v>
      </c>
      <c r="C30" s="28">
        <f>COUNTIFS(Results!$E:$E,"&gt;="&amp;$I$2,Results!$E:$E,"&lt;="&amp;$I$3,Results!$F:$F,"Positive",Results!$G:$G,"Indeterminate",Results!$H:$H,"Positive")</f>
        <v>0</v>
      </c>
      <c r="D30" s="28">
        <f>COUNTIFS(Results!$E:$E,"&gt;="&amp;$I$2,Results!$E:$E,"&lt;="&amp;$I$3,Results!$F:$F,"Positive",Results!$G:$G,"Indeterminate",Results!$H:$H,"Negative")</f>
        <v>0</v>
      </c>
      <c r="E30" s="28">
        <f>COUNTIFS(Results!$E:$E,"&gt;="&amp;$I$2,Results!$E:$E,"&lt;="&amp;$I$3,Results!$F:$F,"Positive",Results!$G:$G,"Indeterminate",Results!$H:$H,"Unknown")</f>
        <v>0</v>
      </c>
      <c r="F30" s="28">
        <f>COUNTIFS(Results!$E:$E,"&gt;="&amp;$I$2,Results!$E:$E,"&lt;="&amp;$I$3,Results!$F:$F,"Positive",Results!$G:$G,"Indeterminate", Results!$H:$H,"&lt;&gt;Not on Form", Results!$H:$H,"&lt;&gt;N/A")</f>
        <v>0</v>
      </c>
      <c r="G30" s="33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t="14.25" customHeight="1">
      <c r="A31" s="26"/>
      <c r="B31" s="28" t="s">
        <v>65</v>
      </c>
      <c r="C31" s="28">
        <f>COUNTIFS(Results!$E:$E,"&gt;="&amp;$I$2,Results!$E:$E,"&lt;="&amp;$I$3,Results!$F:$F,"Trace",Results!$G:$G,"Indeterminate",Results!$H:$H,"Positive")</f>
        <v>0</v>
      </c>
      <c r="D31" s="28">
        <f>COUNTIFS(Results!$E:$E,"&gt;="&amp;$I$2,Results!$E:$E,"&lt;="&amp;$I$3,Results!$F:$F,"Trace",Results!$G:$G,"Indeterminate",Results!$H:$H,"Negative")</f>
        <v>0</v>
      </c>
      <c r="E31" s="28">
        <f>COUNTIFS(Results!$E:$E,"&gt;="&amp;$I$2,Results!$E:$E,"&lt;="&amp;$I$3,Results!$F:$F,"Trace",Results!$G:$G,"Indeterminate",Results!$H:$H,"Unknown")</f>
        <v>0</v>
      </c>
      <c r="F31" s="28">
        <f>COUNTIFS(Results!$E:$E,"&gt;="&amp;$I$2,Results!$E:$E,"&lt;="&amp;$I$3,Results!$F:$F,"Trace",Results!$G:$G,"Indeterminate", Results!$H:$H,"&lt;&gt;Not on Form", Results!$H:$H,"&lt;&gt;N/A")</f>
        <v>0</v>
      </c>
      <c r="G31" s="33"/>
      <c r="I31" s="15" t="str">
        <f>IF(SUM(C31:E31)=F31,"","Check Total Value &amp; Category")</f>
        <v/>
      </c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t="14.25" customHeight="1">
      <c r="A32" s="54"/>
      <c r="B32" s="54"/>
      <c r="C32" s="54"/>
      <c r="D32" s="54"/>
      <c r="E32" s="54"/>
      <c r="F32" s="54"/>
      <c r="G32" s="54"/>
      <c r="H32" s="54"/>
      <c r="I32" s="54"/>
      <c r="J32" s="54"/>
      <c r="K32" s="54"/>
      <c r="L32" s="54"/>
      <c r="M32" s="54"/>
      <c r="N32" s="54"/>
      <c r="O32" s="54"/>
      <c r="P32" s="54"/>
      <c r="Q32" s="54"/>
      <c r="R32" s="54"/>
      <c r="S32" s="54"/>
      <c r="T32" s="54"/>
      <c r="U32" s="54"/>
      <c r="V32" s="54"/>
      <c r="W32" s="54"/>
      <c r="X32" s="54"/>
      <c r="Y32" s="54"/>
      <c r="Z32" s="54"/>
    </row>
    <row r="33" ht="14.25" customHeight="1">
      <c r="A33" s="35" t="s">
        <v>69</v>
      </c>
      <c r="B33" s="36"/>
      <c r="C33" s="36"/>
      <c r="D33" s="36"/>
      <c r="E33" s="36"/>
      <c r="F33" s="36"/>
      <c r="G33" s="36"/>
      <c r="H33" s="36"/>
      <c r="I33" s="36"/>
      <c r="J33" s="36"/>
      <c r="K33" s="36"/>
      <c r="L33" s="36"/>
      <c r="M33" s="36"/>
      <c r="N33" s="36"/>
      <c r="O33" s="36"/>
      <c r="P33" s="36"/>
      <c r="Q33" s="36"/>
      <c r="R33" s="36"/>
      <c r="S33" s="36"/>
      <c r="T33" s="36"/>
      <c r="U33" s="36"/>
      <c r="V33" s="36"/>
      <c r="W33" s="36"/>
      <c r="X33" s="36"/>
      <c r="Y33" s="36"/>
      <c r="Z33" s="36"/>
    </row>
    <row r="34" ht="14.25" customHeight="1">
      <c r="A34" s="37"/>
      <c r="B34" s="37"/>
      <c r="C34" s="38" t="s">
        <v>70</v>
      </c>
      <c r="D34" s="38" t="s">
        <v>71</v>
      </c>
      <c r="E34" s="38" t="s">
        <v>72</v>
      </c>
      <c r="F34" s="38" t="s">
        <v>73</v>
      </c>
      <c r="G34" s="38" t="s">
        <v>74</v>
      </c>
      <c r="H34" s="39" t="s">
        <v>49</v>
      </c>
      <c r="I34" s="40"/>
      <c r="J34" s="40"/>
      <c r="K34" s="40"/>
      <c r="L34" s="40"/>
      <c r="M34" s="40"/>
      <c r="N34" s="40"/>
      <c r="O34" s="40"/>
      <c r="P34" s="40"/>
      <c r="Q34" s="40"/>
      <c r="R34" s="40"/>
      <c r="S34" s="40"/>
      <c r="T34" s="40"/>
      <c r="U34" s="40"/>
      <c r="V34" s="40"/>
      <c r="W34" s="40"/>
      <c r="X34" s="40"/>
      <c r="Y34" s="40"/>
      <c r="Z34" s="40"/>
    </row>
    <row r="35" ht="14.25" customHeight="1">
      <c r="A35" s="41" t="s">
        <v>60</v>
      </c>
      <c r="B35" s="42" t="s">
        <v>61</v>
      </c>
      <c r="C35" s="43">
        <f>COUNTIFS(Results!$E:$E,"&gt;="&amp;$I$2,Results!$E:$E,"&lt;="&amp;$I$3,Results!$F:$F,"Negative",Results!$S:$S,"*DX*")</f>
        <v>0</v>
      </c>
      <c r="D35" s="43">
        <f>COUNTIFS(Results!$E:$E,"&gt;="&amp;$I$2,Results!$E:$E,"&lt;="&amp;$I$3,Results!$F:$F,"Negative",Results!$S:$S,"*fu*")</f>
        <v>0</v>
      </c>
      <c r="E35" s="43">
        <f>COUNTIFS(Results!$E:$E,"&gt;="&amp;$I$2,Results!$E:$E,"&lt;="&amp;$I$3,Results!$F:$F,"Negative",Results!$S:$S,"*mdr*")</f>
        <v>0</v>
      </c>
      <c r="F35" s="43">
        <f>COUNTIFS(Results!$E:$E,"&gt;="&amp;$I$2,Results!$E:$E,"&lt;="&amp;$I$3,Results!$F:$F,"Negative",Results!$S:$S,"*dm*")</f>
        <v>0</v>
      </c>
      <c r="G35" s="43">
        <f>COUNTIFS(Results!$E:$E,"&gt;="&amp;$I$2,Results!$E:$E,"&lt;="&amp;$I$3,Results!$F:$F,"Negative",Results!$S:$S,"*na*")</f>
        <v>0</v>
      </c>
      <c r="H35" s="43">
        <f>COUNTIFS(Results!$E:$E,"&gt;="&amp;$I$2,Results!$E:$E,"&lt;="&amp;$I$3,Results!$F:$F,"Negative", Results!$O:$O,"&lt;&gt;Not on Form", Results!$O:$O,"&lt;&gt;N/A")</f>
        <v>0</v>
      </c>
      <c r="I35" s="40"/>
      <c r="J35" s="40"/>
      <c r="K35" s="40"/>
      <c r="L35" s="40"/>
      <c r="M35" s="40"/>
      <c r="N35" s="40"/>
      <c r="O35" s="40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</row>
    <row r="36" ht="14.25" customHeight="1">
      <c r="A36" s="32"/>
      <c r="B36" s="42" t="s">
        <v>62</v>
      </c>
      <c r="C36" s="43">
        <f>COUNTIFS(Results!$E:$E,"&gt;="&amp;$I$2,Results!$E:$E,"&lt;="&amp;$I$3,Results!$F:$F,"Positive",Results!$G:$G,"Negative",Results!$S:$S,"*DX*")</f>
        <v>0</v>
      </c>
      <c r="D36" s="43">
        <f>COUNTIFS(Results!$E:$E,"&gt;="&amp;$I$2,Results!$E:$E,"&lt;="&amp;$I$3,Results!$F:$F,"Positive",Results!$G:$G,"Negative",Results!$S:$S,"*fu*")</f>
        <v>0</v>
      </c>
      <c r="E36" s="43">
        <f>COUNTIFS(Results!$E:$E,"&gt;="&amp;$I$2,Results!$E:$E,"&lt;="&amp;$I$3,Results!$F:$F,"Positive",Results!$G:$G,"Negative",Results!$S:$S,"*mdr*")</f>
        <v>0</v>
      </c>
      <c r="F36" s="43">
        <f>COUNTIFS(Results!$E:$E,"&gt;="&amp;$I$2,Results!$E:$E,"&lt;="&amp;$I$3,Results!$F:$F,"Positive",Results!$G:$G,"Negative",Results!$S:$S,"*Dm*")</f>
        <v>0</v>
      </c>
      <c r="G36" s="43">
        <f>COUNTIFS(Results!$E:$E,"&gt;="&amp;$I$2,Results!$E:$E,"&lt;="&amp;$I$3,Results!$F:$F,"Positive",Results!$G:$G,"Negative",Results!$S:$S,"*na*")</f>
        <v>0</v>
      </c>
      <c r="H36" s="43">
        <f>COUNTIFS(Results!$E:$E,"&gt;="&amp;$I$2,Results!$E:$E,"&lt;="&amp;$I$3,Results!$F:$F,"Positive",Results!$G:$G,"Negative", Results!$O:$O,"&lt;&gt;Not on Form", Results!$O:$O,"&lt;&gt;N/A")</f>
        <v>0</v>
      </c>
      <c r="I36" s="40"/>
      <c r="J36" s="40"/>
      <c r="K36" s="40"/>
      <c r="L36" s="40"/>
      <c r="M36" s="40"/>
      <c r="N36" s="40"/>
      <c r="O36" s="40"/>
      <c r="P36" s="40"/>
      <c r="Q36" s="40"/>
      <c r="R36" s="40"/>
      <c r="S36" s="40"/>
      <c r="T36" s="40"/>
      <c r="U36" s="40"/>
      <c r="V36" s="40"/>
      <c r="W36" s="40"/>
      <c r="X36" s="40"/>
      <c r="Y36" s="40"/>
      <c r="Z36" s="40"/>
    </row>
    <row r="37" ht="14.25" customHeight="1">
      <c r="A37" s="32"/>
      <c r="B37" s="42" t="s">
        <v>63</v>
      </c>
      <c r="C37" s="43">
        <f>COUNTIFS(Results!$E:$E,"&gt;="&amp;$I$2,Results!$E:$E,"&lt;="&amp;$I$3,Results!$F:$F,"Positive",Results!$G:$G,"Positive",Results!$S:$S,"*DX*")</f>
        <v>0</v>
      </c>
      <c r="D37" s="43">
        <f>COUNTIFS(Results!$E:$E,"&gt;="&amp;$I$2,Results!$E:$E,"&lt;="&amp;$I$3,Results!$F:$F,"Positive",Results!$G:$G,"Positive",Results!$S:$S,"*fu*")</f>
        <v>0</v>
      </c>
      <c r="E37" s="43">
        <f>COUNTIFS(Results!$E:$E,"&gt;="&amp;$I$2,Results!$E:$E,"&lt;="&amp;$I$3,Results!$F:$F,"Positive",Results!$G:$G,"Positive",Results!$S:$S,"*mdr*")</f>
        <v>0</v>
      </c>
      <c r="F37" s="43">
        <f>COUNTIFS(Results!$E:$E,"&gt;="&amp;$I$2,Results!$E:$E,"&lt;="&amp;$I$3,Results!$F:$F,"Positive",Results!$G:$G,"Positive",Results!$S:$S,"*dm*")</f>
        <v>0</v>
      </c>
      <c r="G37" s="43">
        <f>COUNTIFS(Results!$E:$E,"&gt;="&amp;$I$2,Results!$E:$E,"&lt;="&amp;$I$3,Results!$F:$F,"Positive",Results!$G:$G,"Positive",Results!$S:$S,"*na*")</f>
        <v>0</v>
      </c>
      <c r="H37" s="43">
        <f>COUNTIFS(Results!$E:$E,"&gt;="&amp;$I$2,Results!$E:$E,"&lt;="&amp;$I$3,Results!$F:$F,"Positive",Results!$G:$G,"Positive", Results!$O:$O,"&lt;&gt;Not on Form", Results!$O:$O,"&lt;&gt;N/A")</f>
        <v>0</v>
      </c>
      <c r="I37" s="40"/>
      <c r="J37" s="40"/>
      <c r="K37" s="40"/>
      <c r="L37" s="40"/>
      <c r="M37" s="40"/>
      <c r="N37" s="40"/>
      <c r="O37" s="40"/>
      <c r="P37" s="40"/>
      <c r="Q37" s="40"/>
      <c r="R37" s="40"/>
      <c r="S37" s="40"/>
      <c r="T37" s="40"/>
      <c r="U37" s="40"/>
      <c r="V37" s="40"/>
      <c r="W37" s="40"/>
      <c r="X37" s="40"/>
      <c r="Y37" s="40"/>
      <c r="Z37" s="40"/>
    </row>
    <row r="38" ht="14.25" customHeight="1">
      <c r="A38" s="32"/>
      <c r="B38" s="42" t="s">
        <v>64</v>
      </c>
      <c r="C38" s="43">
        <f>COUNTIFS(Results!$E:$E,"&gt;="&amp;$I$2,Results!$E:$E,"&lt;="&amp;$I$3,Results!$F:$F,"Positive",Results!$G:$G,"Indeterminate",Results!$S:$S,"*DX*")</f>
        <v>0</v>
      </c>
      <c r="D38" s="43">
        <f>COUNTIFS(Results!$E:$E,"&gt;="&amp;$I$2,Results!$E:$E,"&lt;="&amp;$I$3,Results!$F:$F,"Positive",Results!$G:$G,"Indeterminate",Results!$S:$S,"*fu*")</f>
        <v>0</v>
      </c>
      <c r="E38" s="43">
        <f>COUNTIFS(Results!$E:$E,"&gt;="&amp;$I$2,Results!$E:$E,"&lt;="&amp;$I$3,Results!$F:$F,"Positive",Results!$G:$G,"Indeterminate",Results!$S:$S,"*mdr*")</f>
        <v>0</v>
      </c>
      <c r="F38" s="43">
        <f>COUNTIFS(Results!$E:$E,"&gt;="&amp;$I$2,Results!$E:$E,"&lt;="&amp;$I$3,Results!$F:$F,"Positive",Results!$G:$G,"Indeterminate",Results!$S:$S,"*dm*")</f>
        <v>0</v>
      </c>
      <c r="G38" s="43">
        <f>COUNTIFS(Results!$E:$E,"&gt;="&amp;$I$2,Results!$E:$E,"&lt;="&amp;$I$3,Results!$F:$F,"Positive",Results!$G:$G,"Indeterminate",Results!$S:$S,"*na*")</f>
        <v>0</v>
      </c>
      <c r="H38" s="43">
        <f>COUNTIFS(Results!$E:$E,"&gt;="&amp;$I$2,Results!$E:$E,"&lt;="&amp;$I$3,Results!$F:$F,"Positive",Results!$G:$G,"Indeterminate", Results!$O:$O,"&lt;&gt;Not on Form", Results!$O:$O,"&lt;&gt;N/A")</f>
        <v>0</v>
      </c>
      <c r="I38" s="40"/>
      <c r="J38" s="40"/>
      <c r="K38" s="40"/>
      <c r="L38" s="40"/>
      <c r="M38" s="40"/>
      <c r="N38" s="40"/>
      <c r="O38" s="40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</row>
    <row r="39" ht="14.25" customHeight="1">
      <c r="A39" s="26"/>
      <c r="B39" s="42" t="s">
        <v>75</v>
      </c>
      <c r="C39" s="43">
        <f>COUNTIFS(Results!$E:$E,"&gt;="&amp;$I$2,Results!$E:$E,"&lt;="&amp;$I$3,Results!$F:$F,"Trace",Results!$G:$G,"Indeterminate",Results!$S:$S,"*DX*")</f>
        <v>0</v>
      </c>
      <c r="D39" s="43">
        <f>COUNTIFS(Results!$E:$E,"&gt;="&amp;$I$2,Results!$E:$E,"&lt;="&amp;$I$3,Results!$F:$F,"Trace",Results!$G:$G,"Indeterminate",Results!$S:$S,"*fu*")</f>
        <v>0</v>
      </c>
      <c r="E39" s="43">
        <f>COUNTIFS(Results!$E:$E,"&gt;="&amp;$I$2,Results!$E:$E,"&lt;="&amp;$I$3,Results!$F:$F,"Trace",Results!$G:$G,"Indeterminate",Results!$S:$S,"*mdr*")</f>
        <v>0</v>
      </c>
      <c r="F39" s="43">
        <f>COUNTIFS(Results!$E:$E,"&gt;="&amp;$I$2,Results!$E:$E,"&lt;="&amp;$I$3,Results!$F:$F,"Trace",Results!$G:$G,"Indeterminate",Results!$S:$S,"*dm*")</f>
        <v>0</v>
      </c>
      <c r="G39" s="43">
        <f>COUNTIFS(Results!$E:$E,"&gt;="&amp;$I$2,Results!$E:$E,"&lt;="&amp;$I$3,Results!$F:$F,"Trace",Results!$G:$G,"Indeterminate",Results!$S:$S,"*na*")</f>
        <v>0</v>
      </c>
      <c r="H39" s="43">
        <f>COUNTIFS(Results!$E:$E,"&gt;="&amp;$I$2,Results!$E:$E,"&lt;="&amp;$I$3,Results!$F:$F,"Trace",Results!$G:$G,"Indeterminate", Results!$O:$O,"&lt;&gt;Not on Form", Results!$O:$O,"&lt;&gt;N/A")</f>
        <v>0</v>
      </c>
      <c r="I39" s="40"/>
      <c r="J39" s="40"/>
      <c r="K39" s="40"/>
      <c r="L39" s="40"/>
      <c r="M39" s="40"/>
      <c r="N39" s="40"/>
      <c r="O39" s="40"/>
      <c r="P39" s="40"/>
      <c r="Q39" s="40"/>
      <c r="R39" s="40"/>
      <c r="S39" s="40"/>
      <c r="T39" s="40"/>
      <c r="U39" s="40"/>
      <c r="V39" s="40"/>
      <c r="W39" s="40"/>
      <c r="X39" s="40"/>
      <c r="Y39" s="40"/>
      <c r="Z39" s="40"/>
    </row>
    <row r="40" ht="14.25" customHeight="1">
      <c r="A40" s="15"/>
      <c r="B40" s="15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t="14.25" customHeight="1">
      <c r="A41" s="15"/>
      <c r="B41" s="15"/>
      <c r="C41" s="23" t="s">
        <v>47</v>
      </c>
      <c r="D41" s="24"/>
      <c r="E41" s="23" t="s">
        <v>48</v>
      </c>
      <c r="F41" s="24"/>
      <c r="G41" s="22" t="s">
        <v>49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t="14.25" customHeight="1">
      <c r="A42" s="28" t="s">
        <v>76</v>
      </c>
      <c r="B42" s="28"/>
      <c r="C42" s="23">
        <f>COUNTIFS(Results!$E:$E,"&gt;="&amp;$I$2,Results!$E:$E,"&lt;="&amp;$I$3,Results!$I:$I,"Male",Results!$F:$F,"Positive",Results!$G:$G,"Positive")</f>
        <v>0</v>
      </c>
      <c r="D42" s="24"/>
      <c r="E42" s="23">
        <f>COUNTIFS(Results!$E:$E,"&gt;="&amp;$I$2,Results!$E:$E,"&lt;="&amp;$I$3,Results!$I:$I,"Female",Results!$F:$F,"Positive",Results!$G:$G,"Positive")</f>
        <v>0</v>
      </c>
      <c r="F42" s="24"/>
      <c r="G42" s="28">
        <f>COUNTIFS(Results!$E:$E,"&gt;="&amp;$I$2,Results!$E:$E,"&lt;="&amp;$I$3,Results!$F:$F,"Positive",Results!$G:$G,"Positive", Results!$I:$I,"&lt;&gt;Not on Form", Results!$I:$I,"&lt;&gt;N/A")</f>
        <v>0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t="14.25" customHeight="1">
      <c r="A43" s="15"/>
      <c r="B43" s="15"/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t="14.25" customHeight="1">
      <c r="A44" s="15" t="s">
        <v>77</v>
      </c>
      <c r="B44" s="15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t="14.25" customHeight="1">
      <c r="A45" s="28"/>
      <c r="B45" s="28"/>
      <c r="C45" s="23" t="s">
        <v>78</v>
      </c>
      <c r="D45" s="24"/>
      <c r="E45" s="23" t="s">
        <v>79</v>
      </c>
      <c r="F45" s="24"/>
      <c r="G45" s="28" t="s">
        <v>49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t="14.25" customHeight="1">
      <c r="A46" s="44" t="s">
        <v>80</v>
      </c>
      <c r="B46" s="45"/>
      <c r="C46" s="23">
        <f>COUNTIFS(Results!$E:$E,"&gt;="&amp;$I$2,Results!$E:$E,"&lt;="&amp;$I$3,Results!$F:$F,"Positive",Results!$L:$L,"Positive")</f>
        <v>0</v>
      </c>
      <c r="D46" s="24"/>
      <c r="E46" s="23">
        <f>COUNTIFS(Results!$E:$E,"&gt;="&amp;$I$2,Results!$E:$E,"&lt;="&amp;$I$3,Results!$F:$F,"Negative",Results!$L:$L,"Positive")</f>
        <v>0</v>
      </c>
      <c r="F46" s="24"/>
      <c r="G46" s="28">
        <f>COUNTIFS(Results!$E:$E,"&gt;="&amp;$I$2,Results!$E:$E,"&lt;="&amp;$I$3,Results!$L:$L,"Positive", Results!$F:$F,"*tive", Results!$L:$L,"&lt;&gt;Not on Form", Results!$L:$L,"&lt;&gt;N/A")</f>
        <v>0</v>
      </c>
      <c r="H46" s="31" t="str">
        <f>IF($F$9=SUM(G46:G48),"","Error! Microscope and Xpert result do NOT match; Crosscheck for missing information in MTB result OR Microscope result")</f>
        <v/>
      </c>
      <c r="J46" s="15" t="str">
        <f t="shared" ref="J46:J48" si="3">IF(SUM(C46:F46)=G46,"","Check Total Value &amp; Category")</f>
        <v/>
      </c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t="14.25" customHeight="1">
      <c r="A47" s="44" t="s">
        <v>82</v>
      </c>
      <c r="B47" s="45"/>
      <c r="C47" s="23">
        <f>COUNTIFS(Results!$E:$E,"&gt;="&amp;$I$2,Results!$E:$E,"&lt;="&amp;$I$3,Results!$F:$F,"Positive",Results!$L:$L,"Negative")</f>
        <v>0</v>
      </c>
      <c r="D47" s="24"/>
      <c r="E47" s="23">
        <f>COUNTIFS(Results!$E:$E,"&gt;="&amp;$I$2,Results!$E:$E,"&lt;="&amp;$I$3,Results!$F:$F,"Negative",Results!$L:$L,"Negative")</f>
        <v>0</v>
      </c>
      <c r="F47" s="24"/>
      <c r="G47" s="28">
        <f>COUNTIFS(Results!$E:$E,"&gt;="&amp;$I$2,Results!$E:$E,"&lt;="&amp;$I$3,Results!$L:$L,"Negative", Results!$F:$F,"*tive", Results!$F:$F,"*tive", Results!$L:$L,"&lt;&gt;Not on Form", Results!$L:$L,"&lt;&gt;N/A")</f>
        <v>0</v>
      </c>
      <c r="H47" s="33"/>
      <c r="J47" s="15" t="str">
        <f t="shared" si="3"/>
        <v/>
      </c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t="14.25" customHeight="1">
      <c r="A48" s="44" t="s">
        <v>83</v>
      </c>
      <c r="B48" s="45"/>
      <c r="C48" s="23">
        <f>COUNTIFS(Results!$E:$E,"&gt;="&amp;$I$2,Results!$E:$E,"&lt;="&amp;$I$3,Results!$F:$F,"Positive",Results!$L:$L,"Not Done")</f>
        <v>0</v>
      </c>
      <c r="D48" s="24"/>
      <c r="E48" s="23">
        <f>COUNTIFS(Results!$E:$E,"&gt;="&amp;$I$2,Results!$E:$E,"&lt;="&amp;$I$3,Results!$F:$F,"Negative",Results!$L:$L,"Not Done")</f>
        <v>0</v>
      </c>
      <c r="F48" s="24"/>
      <c r="G48" s="28">
        <f>COUNTIFS(Results!$E:$E,"&gt;="&amp;$I$2,Results!$E:$E,"&lt;="&amp;$I$3,Results!$L:$L,"Not Done", Results!$F:$F,"*tive", Results!$F:$F,"*tive", Results!$L:$L,"&lt;&gt;Not on Form", Results!$L:$L,"&lt;&gt;N/A")</f>
        <v>0</v>
      </c>
      <c r="H48" s="33"/>
      <c r="J48" s="15" t="str">
        <f t="shared" si="3"/>
        <v/>
      </c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t="14.25" customHeight="1">
      <c r="A49" s="15"/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t="14.25" customHeight="1">
      <c r="A50" s="36"/>
      <c r="B50" s="36"/>
      <c r="C50" s="46" t="s">
        <v>78</v>
      </c>
      <c r="D50" s="24"/>
      <c r="E50" s="46" t="s">
        <v>79</v>
      </c>
      <c r="F50" s="24"/>
      <c r="G50" s="47" t="s">
        <v>49</v>
      </c>
      <c r="H50" s="36"/>
      <c r="I50" s="36"/>
      <c r="J50" s="36"/>
      <c r="K50" s="36"/>
      <c r="L50" s="36"/>
      <c r="M50" s="36"/>
      <c r="N50" s="36"/>
      <c r="O50" s="36"/>
      <c r="P50" s="36"/>
      <c r="Q50" s="36"/>
      <c r="R50" s="36"/>
      <c r="S50" s="36"/>
      <c r="T50" s="36"/>
      <c r="U50" s="36"/>
      <c r="V50" s="36"/>
      <c r="W50" s="36"/>
      <c r="X50" s="36"/>
      <c r="Y50" s="36"/>
      <c r="Z50" s="36"/>
    </row>
    <row r="51" ht="14.25" customHeight="1">
      <c r="A51" s="42" t="s">
        <v>84</v>
      </c>
      <c r="B51" s="37"/>
      <c r="C51" s="48">
        <f>COUNTIFS(Results!$E:$E,"&gt;="&amp;$I$2,Results!$E:$E,"&lt;="&amp;$I$3,Results!$F:$F,"Positive",Results!$P:$P,"CXR")</f>
        <v>0</v>
      </c>
      <c r="D51" s="24"/>
      <c r="E51" s="48">
        <f>COUNTIFS(Results!$E:$E,"&gt;="&amp;$I$2,Results!$E:$E,"&lt;="&amp;$I$3,Results!$F:$F,"Negative",Results!$P:$P,"CXR")</f>
        <v>0</v>
      </c>
      <c r="F51" s="24"/>
      <c r="G51" s="49">
        <f>COUNTIFS(Results!$E:$E,"&gt;="&amp;$I$2,Results!$E:$E,"&lt;="&amp;$I$3,Results!$F:$F,"Negative",Results!$P:$P,"CXR")</f>
        <v>0</v>
      </c>
      <c r="H51" s="40"/>
      <c r="I51" s="40"/>
      <c r="J51" s="40"/>
      <c r="K51" s="40"/>
      <c r="L51" s="40"/>
      <c r="M51" s="40"/>
      <c r="N51" s="40"/>
      <c r="O51" s="40"/>
      <c r="P51" s="40"/>
      <c r="Q51" s="40"/>
      <c r="R51" s="40"/>
      <c r="S51" s="40"/>
      <c r="T51" s="40"/>
      <c r="U51" s="40"/>
      <c r="V51" s="40"/>
      <c r="W51" s="40"/>
      <c r="X51" s="40"/>
      <c r="Y51" s="40"/>
      <c r="Z51" s="40"/>
    </row>
    <row r="52" ht="14.25" customHeight="1">
      <c r="A52" s="15"/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t="14.25" customHeight="1">
      <c r="A53" s="15" t="s">
        <v>85</v>
      </c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t="14.25" customHeight="1">
      <c r="A54" s="28"/>
      <c r="B54" s="28"/>
      <c r="C54" s="23" t="s">
        <v>86</v>
      </c>
      <c r="D54" s="24"/>
      <c r="E54" s="23" t="s">
        <v>87</v>
      </c>
      <c r="F54" s="24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t="14.25" customHeight="1">
      <c r="A55" s="44" t="s">
        <v>88</v>
      </c>
      <c r="B55" s="45"/>
      <c r="C55" s="23"/>
      <c r="D55" s="24"/>
      <c r="E55" s="23"/>
      <c r="F55" s="24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t="14.25" customHeight="1">
      <c r="A56" s="44" t="s">
        <v>89</v>
      </c>
      <c r="B56" s="45"/>
      <c r="C56" s="23"/>
      <c r="D56" s="24"/>
      <c r="E56" s="23"/>
      <c r="F56" s="24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t="14.25" customHeight="1">
      <c r="A57" s="44" t="s">
        <v>90</v>
      </c>
      <c r="B57" s="45"/>
      <c r="C57" s="23">
        <f>COUNTIFS(Results!$E:$E,"&gt;="&amp;$I$2,Results!$E:$E,"&lt;="&amp;$I$3)</f>
        <v>0</v>
      </c>
      <c r="D57" s="24"/>
      <c r="E57" s="23"/>
      <c r="F57" s="24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t="14.25" customHeight="1">
      <c r="A58" s="44" t="s">
        <v>91</v>
      </c>
      <c r="B58" s="45"/>
      <c r="C58" s="23">
        <f>C55+C56-C57</f>
        <v>0</v>
      </c>
      <c r="D58" s="24"/>
      <c r="E58" s="23"/>
      <c r="F58" s="24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t="14.25" customHeight="1">
      <c r="A59" s="50" t="s">
        <v>92</v>
      </c>
      <c r="B59" s="50"/>
      <c r="C59" s="50">
        <f>COUNTIFS(Results!$E:$E,"&gt;="&amp;$I$2,Results!$E:$E,"&lt;="&amp;$I$3,Results!$F:$F,"Error")+COUNTIFS(Results!$E:$E,"&gt;="&amp;$I$2,Results!$E:$E,"&lt;="&amp;$I$3,Results!$F:$F,"Invalid")</f>
        <v>0</v>
      </c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t="14.25" customHeight="1">
      <c r="A60" s="50" t="s">
        <v>93</v>
      </c>
      <c r="B60" s="15"/>
      <c r="C60" s="50">
        <f>COUNTIFS(Results!$E:$E,"&gt;="&amp;$I$2,Results!$E:$E,"&lt;="&amp;$I$3,Results!$F:$F,"No Result")</f>
        <v>0</v>
      </c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t="14.25" customHeight="1">
      <c r="A61" s="15"/>
      <c r="B61" s="15"/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t="14.25" customHeight="1">
      <c r="A62" s="15"/>
      <c r="B62" s="15"/>
      <c r="C62" s="15"/>
      <c r="D62" s="15"/>
      <c r="E62" s="15" t="s">
        <v>94</v>
      </c>
      <c r="F62" s="51"/>
      <c r="G62" s="51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t="14.25" customHeight="1">
      <c r="A63" s="15"/>
      <c r="B63" s="15"/>
      <c r="C63" s="15"/>
      <c r="D63" s="15"/>
      <c r="E63" s="15" t="s">
        <v>95</v>
      </c>
      <c r="F63" s="52"/>
      <c r="G63" s="52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t="14.25" customHeight="1">
      <c r="A64" s="15"/>
      <c r="B64" s="15"/>
      <c r="C64" s="15"/>
      <c r="D64" s="15"/>
      <c r="E64" s="15" t="s">
        <v>96</v>
      </c>
      <c r="F64" s="52"/>
      <c r="G64" s="52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t="14.25" customHeight="1">
      <c r="A65" s="15"/>
      <c r="B65" s="15"/>
      <c r="C65" s="15"/>
      <c r="D65" s="15"/>
      <c r="E65" s="15" t="s">
        <v>97</v>
      </c>
      <c r="F65" s="52"/>
      <c r="G65" s="52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t="14.25" customHeight="1">
      <c r="A66" s="15"/>
      <c r="B66" s="15"/>
      <c r="C66" s="15"/>
      <c r="D66" s="15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t="14.25" customHeight="1">
      <c r="A67" s="15"/>
      <c r="B67" s="15"/>
      <c r="C67" s="15"/>
      <c r="D67" s="15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t="14.25" customHeight="1">
      <c r="A68" s="15"/>
      <c r="B68" s="15"/>
      <c r="C68" s="15"/>
      <c r="D68" s="15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t="14.25" customHeight="1">
      <c r="A69" s="15"/>
      <c r="B69" s="15"/>
      <c r="C69" s="15"/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t="14.25" customHeight="1">
      <c r="A70" s="15"/>
      <c r="B70" s="15"/>
      <c r="C70" s="15"/>
      <c r="D70" s="15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t="14.25" customHeight="1">
      <c r="A71" s="15"/>
      <c r="B71" s="15"/>
      <c r="C71" s="15"/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t="14.25" customHeight="1">
      <c r="A72" s="15"/>
      <c r="B72" s="15"/>
      <c r="C72" s="15"/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t="14.25" customHeight="1">
      <c r="A73" s="15"/>
      <c r="B73" s="15"/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t="14.25" customHeight="1">
      <c r="A74" s="15"/>
      <c r="B74" s="15"/>
      <c r="C74" s="15"/>
      <c r="D74" s="15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t="14.25" customHeight="1">
      <c r="A75" s="15"/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t="14.25" customHeight="1">
      <c r="A76" s="15"/>
      <c r="B76" s="15"/>
      <c r="C76" s="15"/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t="14.25" customHeight="1">
      <c r="A77" s="15"/>
      <c r="B77" s="15"/>
      <c r="C77" s="15"/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t="14.25" customHeight="1">
      <c r="A78" s="15"/>
      <c r="B78" s="15"/>
      <c r="C78" s="15"/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t="14.25" customHeight="1">
      <c r="A79" s="15"/>
      <c r="B79" s="15"/>
      <c r="C79" s="15"/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t="14.25" customHeight="1">
      <c r="A80" s="15"/>
      <c r="B80" s="15"/>
      <c r="C80" s="15"/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t="14.25" customHeight="1">
      <c r="A81" s="15"/>
      <c r="B81" s="15"/>
      <c r="C81" s="15"/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t="14.25" customHeight="1">
      <c r="A82" s="15"/>
      <c r="B82" s="15"/>
      <c r="C82" s="15"/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t="14.25" customHeight="1">
      <c r="A83" s="15"/>
      <c r="B83" s="15"/>
      <c r="C83" s="15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t="14.25" customHeight="1">
      <c r="A84" s="15"/>
      <c r="B84" s="15"/>
      <c r="C84" s="15"/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t="14.25" customHeight="1">
      <c r="A85" s="15"/>
      <c r="B85" s="15"/>
      <c r="C85" s="15"/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t="14.25" customHeight="1">
      <c r="A86" s="15"/>
      <c r="B86" s="15"/>
      <c r="C86" s="15"/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t="14.25" customHeight="1">
      <c r="A87" s="15"/>
      <c r="B87" s="15"/>
      <c r="C87" s="15"/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t="14.25" customHeight="1">
      <c r="A88" s="15"/>
      <c r="B88" s="15"/>
      <c r="C88" s="15"/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t="14.25" customHeight="1">
      <c r="A89" s="15"/>
      <c r="B89" s="15"/>
      <c r="C89" s="15"/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t="14.25" customHeight="1">
      <c r="A90" s="15"/>
      <c r="B90" s="15"/>
      <c r="C90" s="15"/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t="14.25" customHeight="1">
      <c r="A91" s="15"/>
      <c r="B91" s="15"/>
      <c r="C91" s="15"/>
      <c r="D91" s="15"/>
      <c r="E91" s="15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t="14.25" customHeight="1">
      <c r="A92" s="15"/>
      <c r="B92" s="15"/>
      <c r="C92" s="15"/>
      <c r="D92" s="15"/>
      <c r="E92" s="15"/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t="14.25" customHeight="1">
      <c r="A93" s="15"/>
      <c r="B93" s="15"/>
      <c r="C93" s="15"/>
      <c r="D93" s="15"/>
      <c r="E93" s="15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t="14.25" customHeight="1">
      <c r="A94" s="15"/>
      <c r="B94" s="15"/>
      <c r="C94" s="15"/>
      <c r="D94" s="15"/>
      <c r="E94" s="15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t="14.25" customHeight="1">
      <c r="A95" s="15"/>
      <c r="B95" s="15"/>
      <c r="C95" s="15"/>
      <c r="D95" s="15"/>
      <c r="E95" s="15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t="14.25" customHeight="1">
      <c r="A96" s="15"/>
      <c r="B96" s="15"/>
      <c r="C96" s="15"/>
      <c r="D96" s="15"/>
      <c r="E96" s="15"/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t="14.25" customHeight="1">
      <c r="A97" s="15"/>
      <c r="B97" s="15"/>
      <c r="C97" s="15"/>
      <c r="D97" s="15"/>
      <c r="E97" s="15"/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t="14.25" customHeight="1">
      <c r="A98" s="15"/>
      <c r="B98" s="15"/>
      <c r="C98" s="15"/>
      <c r="D98" s="15"/>
      <c r="E98" s="15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t="14.25" customHeight="1">
      <c r="A99" s="15"/>
      <c r="B99" s="15"/>
      <c r="C99" s="15"/>
      <c r="D99" s="15"/>
      <c r="E99" s="15"/>
      <c r="F99" s="15"/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t="14.25" customHeight="1">
      <c r="A100" s="15"/>
      <c r="B100" s="15"/>
      <c r="C100" s="15"/>
      <c r="D100" s="15"/>
      <c r="E100" s="15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t="14.25" customHeight="1">
      <c r="A101" s="15"/>
      <c r="B101" s="15"/>
      <c r="C101" s="15"/>
      <c r="D101" s="15"/>
      <c r="E101" s="15"/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t="14.25" customHeight="1">
      <c r="A102" s="15"/>
      <c r="B102" s="15"/>
      <c r="C102" s="15"/>
      <c r="D102" s="15"/>
      <c r="E102" s="15"/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t="14.25" customHeight="1">
      <c r="A103" s="15"/>
      <c r="B103" s="15"/>
      <c r="C103" s="15"/>
      <c r="D103" s="15"/>
      <c r="E103" s="15"/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t="14.25" customHeight="1">
      <c r="A104" s="15"/>
      <c r="B104" s="15"/>
      <c r="C104" s="15"/>
      <c r="D104" s="15"/>
      <c r="E104" s="15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t="14.25" customHeight="1">
      <c r="A105" s="15"/>
      <c r="B105" s="15"/>
      <c r="C105" s="15"/>
      <c r="D105" s="15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t="14.25" customHeight="1">
      <c r="A106" s="15"/>
      <c r="B106" s="15"/>
      <c r="C106" s="15"/>
      <c r="D106" s="15"/>
      <c r="E106" s="15"/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t="14.25" customHeight="1">
      <c r="A107" s="15"/>
      <c r="B107" s="15"/>
      <c r="C107" s="15"/>
      <c r="D107" s="15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t="14.25" customHeight="1">
      <c r="A108" s="15"/>
      <c r="B108" s="15"/>
      <c r="C108" s="15"/>
      <c r="D108" s="15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t="14.25" customHeight="1">
      <c r="A109" s="15"/>
      <c r="B109" s="15"/>
      <c r="C109" s="15"/>
      <c r="D109" s="15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t="14.25" customHeight="1">
      <c r="A110" s="15"/>
      <c r="B110" s="15"/>
      <c r="C110" s="15"/>
      <c r="D110" s="15"/>
      <c r="E110" s="15"/>
      <c r="F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t="14.25" customHeight="1">
      <c r="A111" s="15"/>
      <c r="B111" s="15"/>
      <c r="C111" s="15"/>
      <c r="D111" s="15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t="14.25" customHeight="1">
      <c r="A112" s="15"/>
      <c r="B112" s="15"/>
      <c r="C112" s="15"/>
      <c r="D112" s="15"/>
      <c r="E112" s="15"/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t="14.25" customHeight="1">
      <c r="A113" s="15"/>
      <c r="B113" s="15"/>
      <c r="C113" s="15"/>
      <c r="D113" s="15"/>
      <c r="E113" s="15"/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t="14.25" customHeight="1">
      <c r="A114" s="15"/>
      <c r="B114" s="15"/>
      <c r="C114" s="15"/>
      <c r="D114" s="15"/>
      <c r="E114" s="15"/>
      <c r="F114" s="15"/>
      <c r="G114" s="15"/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t="14.25" customHeight="1">
      <c r="A115" s="15"/>
      <c r="B115" s="15"/>
      <c r="C115" s="15"/>
      <c r="D115" s="15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t="14.25" customHeight="1">
      <c r="A116" s="15"/>
      <c r="B116" s="15"/>
      <c r="C116" s="15"/>
      <c r="D116" s="15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t="14.25" customHeight="1">
      <c r="A117" s="15"/>
      <c r="B117" s="15"/>
      <c r="C117" s="15"/>
      <c r="D117" s="15"/>
      <c r="E117" s="15"/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t="14.25" customHeight="1">
      <c r="A118" s="15"/>
      <c r="B118" s="15"/>
      <c r="C118" s="15"/>
      <c r="D118" s="15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t="14.25" customHeight="1">
      <c r="A119" s="15"/>
      <c r="B119" s="15"/>
      <c r="C119" s="15"/>
      <c r="D119" s="15"/>
      <c r="E119" s="15"/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t="14.25" customHeight="1">
      <c r="A120" s="15"/>
      <c r="B120" s="15"/>
      <c r="C120" s="15"/>
      <c r="D120" s="15"/>
      <c r="E120" s="15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t="14.25" customHeight="1">
      <c r="A121" s="15"/>
      <c r="B121" s="15"/>
      <c r="C121" s="15"/>
      <c r="D121" s="15"/>
      <c r="E121" s="15"/>
      <c r="F121" s="15"/>
      <c r="G121" s="15"/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t="14.25" customHeight="1">
      <c r="A122" s="15"/>
      <c r="B122" s="15"/>
      <c r="C122" s="15"/>
      <c r="D122" s="15"/>
      <c r="E122" s="15"/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t="14.25" customHeight="1">
      <c r="A123" s="15"/>
      <c r="B123" s="15"/>
      <c r="C123" s="15"/>
      <c r="D123" s="15"/>
      <c r="E123" s="15"/>
      <c r="F123" s="15"/>
      <c r="G123" s="15"/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t="14.25" customHeight="1">
      <c r="A124" s="15"/>
      <c r="B124" s="15"/>
      <c r="C124" s="15"/>
      <c r="D124" s="15"/>
      <c r="E124" s="15"/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t="14.25" customHeight="1">
      <c r="A125" s="15"/>
      <c r="B125" s="15"/>
      <c r="C125" s="15"/>
      <c r="D125" s="15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t="14.25" customHeight="1">
      <c r="A126" s="15"/>
      <c r="B126" s="15"/>
      <c r="C126" s="15"/>
      <c r="D126" s="15"/>
      <c r="E126" s="15"/>
      <c r="F126" s="15"/>
      <c r="G126" s="15"/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t="14.25" customHeight="1">
      <c r="A127" s="15"/>
      <c r="B127" s="15"/>
      <c r="C127" s="15"/>
      <c r="D127" s="15"/>
      <c r="E127" s="15"/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t="14.25" customHeight="1">
      <c r="A128" s="15"/>
      <c r="B128" s="15"/>
      <c r="C128" s="15"/>
      <c r="D128" s="15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t="14.25" customHeight="1">
      <c r="A129" s="15"/>
      <c r="B129" s="15"/>
      <c r="C129" s="15"/>
      <c r="D129" s="15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t="14.25" customHeight="1">
      <c r="A130" s="15"/>
      <c r="B130" s="15"/>
      <c r="C130" s="15"/>
      <c r="D130" s="15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t="14.25" customHeight="1">
      <c r="A131" s="15"/>
      <c r="B131" s="15"/>
      <c r="C131" s="15"/>
      <c r="D131" s="15"/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t="14.25" customHeight="1">
      <c r="A132" s="15"/>
      <c r="B132" s="15"/>
      <c r="C132" s="15"/>
      <c r="D132" s="15"/>
      <c r="E132" s="15"/>
      <c r="F132" s="15"/>
      <c r="G132" s="15"/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t="14.25" customHeight="1">
      <c r="A133" s="15"/>
      <c r="B133" s="15"/>
      <c r="C133" s="15"/>
      <c r="D133" s="15"/>
      <c r="E133" s="15"/>
      <c r="F133" s="15"/>
      <c r="G133" s="15"/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t="14.25" customHeight="1">
      <c r="A134" s="15"/>
      <c r="B134" s="15"/>
      <c r="C134" s="15"/>
      <c r="D134" s="15"/>
      <c r="E134" s="15"/>
      <c r="F134" s="15"/>
      <c r="G134" s="15"/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t="14.25" customHeight="1">
      <c r="A135" s="15"/>
      <c r="B135" s="15"/>
      <c r="C135" s="15"/>
      <c r="D135" s="15"/>
      <c r="E135" s="15"/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t="14.25" customHeight="1">
      <c r="A136" s="15"/>
      <c r="B136" s="15"/>
      <c r="C136" s="15"/>
      <c r="D136" s="15"/>
      <c r="E136" s="15"/>
      <c r="F136" s="15"/>
      <c r="G136" s="15"/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t="14.25" customHeight="1">
      <c r="A137" s="15"/>
      <c r="B137" s="15"/>
      <c r="C137" s="15"/>
      <c r="D137" s="15"/>
      <c r="E137" s="15"/>
      <c r="F137" s="15"/>
      <c r="G137" s="15"/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t="14.25" customHeight="1">
      <c r="A138" s="15"/>
      <c r="B138" s="15"/>
      <c r="C138" s="15"/>
      <c r="D138" s="15"/>
      <c r="E138" s="15"/>
      <c r="F138" s="15"/>
      <c r="G138" s="15"/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t="14.25" customHeight="1">
      <c r="A139" s="15"/>
      <c r="B139" s="15"/>
      <c r="C139" s="15"/>
      <c r="D139" s="15"/>
      <c r="E139" s="15"/>
      <c r="F139" s="15"/>
      <c r="G139" s="15"/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t="14.25" customHeight="1">
      <c r="A140" s="15"/>
      <c r="B140" s="15"/>
      <c r="C140" s="15"/>
      <c r="D140" s="15"/>
      <c r="E140" s="15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t="14.25" customHeight="1">
      <c r="A141" s="15"/>
      <c r="B141" s="15"/>
      <c r="C141" s="15"/>
      <c r="D141" s="15"/>
      <c r="E141" s="15"/>
      <c r="F141" s="15"/>
      <c r="G141" s="15"/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t="14.25" customHeight="1">
      <c r="A142" s="15"/>
      <c r="B142" s="15"/>
      <c r="C142" s="15"/>
      <c r="D142" s="15"/>
      <c r="E142" s="15"/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t="14.25" customHeight="1">
      <c r="A143" s="15"/>
      <c r="B143" s="15"/>
      <c r="C143" s="15"/>
      <c r="D143" s="15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t="14.25" customHeight="1">
      <c r="A144" s="15"/>
      <c r="B144" s="15"/>
      <c r="C144" s="15"/>
      <c r="D144" s="15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t="14.25" customHeight="1">
      <c r="A145" s="15"/>
      <c r="B145" s="15"/>
      <c r="C145" s="15"/>
      <c r="D145" s="15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t="14.25" customHeight="1">
      <c r="A146" s="15"/>
      <c r="B146" s="15"/>
      <c r="C146" s="15"/>
      <c r="D146" s="15"/>
      <c r="E146" s="15"/>
      <c r="F146" s="15"/>
      <c r="G146" s="15"/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t="14.25" customHeight="1">
      <c r="A147" s="15"/>
      <c r="B147" s="15"/>
      <c r="C147" s="15"/>
      <c r="D147" s="15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t="14.25" customHeight="1">
      <c r="A148" s="15"/>
      <c r="B148" s="15"/>
      <c r="C148" s="15"/>
      <c r="D148" s="15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t="14.25" customHeight="1">
      <c r="A149" s="15"/>
      <c r="B149" s="15"/>
      <c r="C149" s="15"/>
      <c r="D149" s="15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t="14.25" customHeight="1">
      <c r="A150" s="15"/>
      <c r="B150" s="15"/>
      <c r="C150" s="15"/>
      <c r="D150" s="15"/>
      <c r="E150" s="15"/>
      <c r="F150" s="15"/>
      <c r="G150" s="15"/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t="14.25" customHeight="1">
      <c r="A151" s="15"/>
      <c r="B151" s="15"/>
      <c r="C151" s="15"/>
      <c r="D151" s="15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t="14.25" customHeight="1">
      <c r="A152" s="15"/>
      <c r="B152" s="15"/>
      <c r="C152" s="15"/>
      <c r="D152" s="15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t="14.25" customHeight="1">
      <c r="A153" s="15"/>
      <c r="B153" s="15"/>
      <c r="C153" s="15"/>
      <c r="D153" s="15"/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t="14.25" customHeight="1">
      <c r="A154" s="15"/>
      <c r="B154" s="15"/>
      <c r="C154" s="15"/>
      <c r="D154" s="15"/>
      <c r="E154" s="15"/>
      <c r="F154" s="15"/>
      <c r="G154" s="15"/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t="14.25" customHeight="1">
      <c r="A155" s="15"/>
      <c r="B155" s="15"/>
      <c r="C155" s="15"/>
      <c r="D155" s="15"/>
      <c r="E155" s="15"/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t="14.25" customHeight="1">
      <c r="A156" s="15"/>
      <c r="B156" s="15"/>
      <c r="C156" s="15"/>
      <c r="D156" s="15"/>
      <c r="E156" s="15"/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t="14.25" customHeight="1">
      <c r="A157" s="15"/>
      <c r="B157" s="15"/>
      <c r="C157" s="15"/>
      <c r="D157" s="15"/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t="14.25" customHeight="1">
      <c r="A158" s="15"/>
      <c r="B158" s="15"/>
      <c r="C158" s="15"/>
      <c r="D158" s="15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t="14.25" customHeight="1">
      <c r="A159" s="15"/>
      <c r="B159" s="15"/>
      <c r="C159" s="15"/>
      <c r="D159" s="15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t="14.25" customHeight="1">
      <c r="A160" s="15"/>
      <c r="B160" s="15"/>
      <c r="C160" s="15"/>
      <c r="D160" s="15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t="14.25" customHeight="1">
      <c r="A161" s="15"/>
      <c r="B161" s="15"/>
      <c r="C161" s="15"/>
      <c r="D161" s="15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t="14.25" customHeight="1">
      <c r="A162" s="15"/>
      <c r="B162" s="15"/>
      <c r="C162" s="15"/>
      <c r="D162" s="15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t="14.25" customHeight="1">
      <c r="A163" s="15"/>
      <c r="B163" s="15"/>
      <c r="C163" s="15"/>
      <c r="D163" s="15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t="14.25" customHeight="1">
      <c r="A164" s="15"/>
      <c r="B164" s="15"/>
      <c r="C164" s="15"/>
      <c r="D164" s="15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t="14.25" customHeight="1">
      <c r="A165" s="15"/>
      <c r="B165" s="15"/>
      <c r="C165" s="15"/>
      <c r="D165" s="15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t="14.25" customHeight="1">
      <c r="A166" s="15"/>
      <c r="B166" s="15"/>
      <c r="C166" s="15"/>
      <c r="D166" s="15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t="14.25" customHeight="1">
      <c r="A167" s="15"/>
      <c r="B167" s="15"/>
      <c r="C167" s="15"/>
      <c r="D167" s="15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t="14.25" customHeight="1">
      <c r="A168" s="15"/>
      <c r="B168" s="15"/>
      <c r="C168" s="15"/>
      <c r="D168" s="15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t="14.25" customHeight="1">
      <c r="A169" s="15"/>
      <c r="B169" s="15"/>
      <c r="C169" s="15"/>
      <c r="D169" s="15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t="14.25" customHeight="1">
      <c r="A170" s="15"/>
      <c r="B170" s="15"/>
      <c r="C170" s="15"/>
      <c r="D170" s="15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t="14.25" customHeight="1">
      <c r="A171" s="15"/>
      <c r="B171" s="15"/>
      <c r="C171" s="15"/>
      <c r="D171" s="15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t="14.25" customHeight="1">
      <c r="A172" s="15"/>
      <c r="B172" s="15"/>
      <c r="C172" s="15"/>
      <c r="D172" s="15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t="14.25" customHeight="1">
      <c r="A173" s="15"/>
      <c r="B173" s="15"/>
      <c r="C173" s="15"/>
      <c r="D173" s="15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t="14.25" customHeight="1">
      <c r="A174" s="15"/>
      <c r="B174" s="15"/>
      <c r="C174" s="15"/>
      <c r="D174" s="15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t="14.25" customHeight="1">
      <c r="A175" s="15"/>
      <c r="B175" s="15"/>
      <c r="C175" s="15"/>
      <c r="D175" s="15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t="14.25" customHeight="1">
      <c r="A176" s="15"/>
      <c r="B176" s="15"/>
      <c r="C176" s="15"/>
      <c r="D176" s="15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t="14.25" customHeight="1">
      <c r="A177" s="15"/>
      <c r="B177" s="15"/>
      <c r="C177" s="15"/>
      <c r="D177" s="15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t="14.25" customHeight="1">
      <c r="A178" s="15"/>
      <c r="B178" s="15"/>
      <c r="C178" s="15"/>
      <c r="D178" s="15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t="14.25" customHeight="1">
      <c r="A179" s="15"/>
      <c r="B179" s="15"/>
      <c r="C179" s="15"/>
      <c r="D179" s="15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t="14.25" customHeight="1">
      <c r="A180" s="15"/>
      <c r="B180" s="15"/>
      <c r="C180" s="15"/>
      <c r="D180" s="15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t="14.25" customHeight="1">
      <c r="A181" s="15"/>
      <c r="B181" s="15"/>
      <c r="C181" s="15"/>
      <c r="D181" s="15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t="14.25" customHeight="1">
      <c r="A182" s="15"/>
      <c r="B182" s="15"/>
      <c r="C182" s="15"/>
      <c r="D182" s="15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t="14.25" customHeight="1">
      <c r="A183" s="15"/>
      <c r="B183" s="15"/>
      <c r="C183" s="15"/>
      <c r="D183" s="15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t="14.25" customHeight="1">
      <c r="A184" s="15"/>
      <c r="B184" s="15"/>
      <c r="C184" s="15"/>
      <c r="D184" s="15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t="14.25" customHeight="1">
      <c r="A185" s="15"/>
      <c r="B185" s="15"/>
      <c r="C185" s="15"/>
      <c r="D185" s="15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t="14.25" customHeight="1">
      <c r="A186" s="15"/>
      <c r="B186" s="15"/>
      <c r="C186" s="15"/>
      <c r="D186" s="15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t="14.25" customHeight="1">
      <c r="A187" s="15"/>
      <c r="B187" s="15"/>
      <c r="C187" s="15"/>
      <c r="D187" s="15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t="14.25" customHeight="1">
      <c r="A188" s="15"/>
      <c r="B188" s="15"/>
      <c r="C188" s="15"/>
      <c r="D188" s="15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t="14.25" customHeight="1">
      <c r="A189" s="15"/>
      <c r="B189" s="15"/>
      <c r="C189" s="15"/>
      <c r="D189" s="15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t="14.25" customHeight="1">
      <c r="A190" s="15"/>
      <c r="B190" s="15"/>
      <c r="C190" s="15"/>
      <c r="D190" s="15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t="14.25" customHeight="1">
      <c r="A191" s="15"/>
      <c r="B191" s="15"/>
      <c r="C191" s="15"/>
      <c r="D191" s="15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t="14.25" customHeight="1">
      <c r="A192" s="15"/>
      <c r="B192" s="15"/>
      <c r="C192" s="15"/>
      <c r="D192" s="15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t="14.25" customHeight="1">
      <c r="A193" s="15"/>
      <c r="B193" s="15"/>
      <c r="C193" s="15"/>
      <c r="D193" s="15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t="14.25" customHeight="1">
      <c r="A194" s="15"/>
      <c r="B194" s="15"/>
      <c r="C194" s="15"/>
      <c r="D194" s="15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t="14.25" customHeight="1">
      <c r="A195" s="15"/>
      <c r="B195" s="15"/>
      <c r="C195" s="15"/>
      <c r="D195" s="15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t="14.25" customHeight="1">
      <c r="A196" s="15"/>
      <c r="B196" s="15"/>
      <c r="C196" s="15"/>
      <c r="D196" s="15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t="14.25" customHeight="1">
      <c r="A197" s="15"/>
      <c r="B197" s="15"/>
      <c r="C197" s="15"/>
      <c r="D197" s="15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t="14.25" customHeight="1">
      <c r="A198" s="15"/>
      <c r="B198" s="15"/>
      <c r="C198" s="15"/>
      <c r="D198" s="15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t="14.25" customHeight="1">
      <c r="A199" s="15"/>
      <c r="B199" s="15"/>
      <c r="C199" s="15"/>
      <c r="D199" s="15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t="14.25" customHeight="1">
      <c r="A200" s="15"/>
      <c r="B200" s="15"/>
      <c r="C200" s="15"/>
      <c r="D200" s="15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t="14.25" customHeight="1">
      <c r="A201" s="15"/>
      <c r="B201" s="15"/>
      <c r="C201" s="15"/>
      <c r="D201" s="15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t="14.25" customHeight="1">
      <c r="A202" s="15"/>
      <c r="B202" s="15"/>
      <c r="C202" s="15"/>
      <c r="D202" s="15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t="14.25" customHeight="1">
      <c r="A203" s="15"/>
      <c r="B203" s="15"/>
      <c r="C203" s="15"/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t="14.25" customHeight="1">
      <c r="A204" s="15"/>
      <c r="B204" s="15"/>
      <c r="C204" s="15"/>
      <c r="D204" s="15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t="14.25" customHeight="1">
      <c r="A205" s="15"/>
      <c r="B205" s="15"/>
      <c r="C205" s="15"/>
      <c r="D205" s="15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t="14.25" customHeight="1">
      <c r="A206" s="15"/>
      <c r="B206" s="15"/>
      <c r="C206" s="15"/>
      <c r="D206" s="15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t="14.25" customHeight="1">
      <c r="A207" s="15"/>
      <c r="B207" s="15"/>
      <c r="C207" s="15"/>
      <c r="D207" s="15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t="14.25" customHeight="1">
      <c r="A208" s="15"/>
      <c r="B208" s="15"/>
      <c r="C208" s="15"/>
      <c r="D208" s="15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t="14.25" customHeight="1">
      <c r="A209" s="15"/>
      <c r="B209" s="15"/>
      <c r="C209" s="15"/>
      <c r="D209" s="15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t="14.25" customHeight="1">
      <c r="A210" s="15"/>
      <c r="B210" s="15"/>
      <c r="C210" s="15"/>
      <c r="D210" s="15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t="14.25" customHeight="1">
      <c r="A211" s="15"/>
      <c r="B211" s="15"/>
      <c r="C211" s="15"/>
      <c r="D211" s="15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t="14.25" customHeight="1">
      <c r="A212" s="15"/>
      <c r="B212" s="15"/>
      <c r="C212" s="15"/>
      <c r="D212" s="15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t="14.25" customHeight="1">
      <c r="A213" s="15"/>
      <c r="B213" s="15"/>
      <c r="C213" s="15"/>
      <c r="D213" s="15"/>
      <c r="E213" s="15"/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t="14.25" customHeight="1">
      <c r="A214" s="15"/>
      <c r="B214" s="15"/>
      <c r="C214" s="15"/>
      <c r="D214" s="15"/>
      <c r="E214" s="15"/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t="14.25" customHeight="1">
      <c r="A215" s="15"/>
      <c r="B215" s="15"/>
      <c r="C215" s="15"/>
      <c r="D215" s="15"/>
      <c r="E215" s="15"/>
      <c r="F215" s="15"/>
      <c r="G215" s="15"/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t="14.25" customHeight="1">
      <c r="A216" s="15"/>
      <c r="B216" s="15"/>
      <c r="C216" s="15"/>
      <c r="D216" s="15"/>
      <c r="E216" s="15"/>
      <c r="F216" s="15"/>
      <c r="G216" s="15"/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t="14.25" customHeight="1">
      <c r="A217" s="15"/>
      <c r="B217" s="15"/>
      <c r="C217" s="15"/>
      <c r="D217" s="15"/>
      <c r="E217" s="15"/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t="14.25" customHeight="1">
      <c r="A218" s="15"/>
      <c r="B218" s="15"/>
      <c r="C218" s="15"/>
      <c r="D218" s="15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t="14.25" customHeight="1">
      <c r="A219" s="15"/>
      <c r="B219" s="15"/>
      <c r="C219" s="15"/>
      <c r="D219" s="15"/>
      <c r="E219" s="15"/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t="14.25" customHeight="1">
      <c r="A220" s="15"/>
      <c r="B220" s="15"/>
      <c r="C220" s="15"/>
      <c r="D220" s="15"/>
      <c r="E220" s="15"/>
      <c r="F220" s="15"/>
      <c r="G220" s="15"/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t="14.25" customHeight="1">
      <c r="A221" s="15"/>
      <c r="B221" s="15"/>
      <c r="C221" s="15"/>
      <c r="D221" s="15"/>
      <c r="E221" s="15"/>
      <c r="F221" s="15"/>
      <c r="G221" s="15"/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t="14.25" customHeight="1">
      <c r="A222" s="15"/>
      <c r="B222" s="15"/>
      <c r="C222" s="15"/>
      <c r="D222" s="15"/>
      <c r="E222" s="15"/>
      <c r="F222" s="15"/>
      <c r="G222" s="15"/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t="14.25" customHeight="1">
      <c r="A223" s="15"/>
      <c r="B223" s="15"/>
      <c r="C223" s="15"/>
      <c r="D223" s="15"/>
      <c r="E223" s="15"/>
      <c r="F223" s="15"/>
      <c r="G223" s="15"/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t="14.25" customHeight="1">
      <c r="A224" s="15"/>
      <c r="B224" s="15"/>
      <c r="C224" s="15"/>
      <c r="D224" s="15"/>
      <c r="E224" s="15"/>
      <c r="F224" s="15"/>
      <c r="G224" s="15"/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t="14.25" customHeight="1">
      <c r="A225" s="15"/>
      <c r="B225" s="15"/>
      <c r="C225" s="15"/>
      <c r="D225" s="15"/>
      <c r="E225" s="15"/>
      <c r="F225" s="15"/>
      <c r="G225" s="15"/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t="14.25" customHeight="1">
      <c r="A226" s="15"/>
      <c r="B226" s="15"/>
      <c r="C226" s="15"/>
      <c r="D226" s="15"/>
      <c r="E226" s="15"/>
      <c r="F226" s="15"/>
      <c r="G226" s="15"/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t="14.25" customHeight="1">
      <c r="A227" s="15"/>
      <c r="B227" s="15"/>
      <c r="C227" s="15"/>
      <c r="D227" s="15"/>
      <c r="E227" s="15"/>
      <c r="F227" s="15"/>
      <c r="G227" s="15"/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t="14.25" customHeight="1">
      <c r="A228" s="15"/>
      <c r="B228" s="15"/>
      <c r="C228" s="15"/>
      <c r="D228" s="15"/>
      <c r="E228" s="15"/>
      <c r="F228" s="15"/>
      <c r="G228" s="15"/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t="14.25" customHeight="1">
      <c r="A229" s="15"/>
      <c r="B229" s="15"/>
      <c r="C229" s="15"/>
      <c r="D229" s="15"/>
      <c r="E229" s="15"/>
      <c r="F229" s="15"/>
      <c r="G229" s="15"/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t="14.25" customHeight="1">
      <c r="A230" s="15"/>
      <c r="B230" s="15"/>
      <c r="C230" s="15"/>
      <c r="D230" s="15"/>
      <c r="E230" s="15"/>
      <c r="F230" s="15"/>
      <c r="G230" s="15"/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t="14.25" customHeight="1">
      <c r="A231" s="15"/>
      <c r="B231" s="15"/>
      <c r="C231" s="15"/>
      <c r="D231" s="15"/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t="14.25" customHeight="1">
      <c r="A232" s="15"/>
      <c r="B232" s="15"/>
      <c r="C232" s="15"/>
      <c r="D232" s="15"/>
      <c r="E232" s="15"/>
      <c r="F232" s="15"/>
      <c r="G232" s="15"/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t="14.25" customHeight="1">
      <c r="A233" s="15"/>
      <c r="B233" s="15"/>
      <c r="C233" s="15"/>
      <c r="D233" s="15"/>
      <c r="E233" s="15"/>
      <c r="F233" s="15"/>
      <c r="G233" s="15"/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t="14.25" customHeight="1">
      <c r="A234" s="15"/>
      <c r="B234" s="15"/>
      <c r="C234" s="15"/>
      <c r="D234" s="15"/>
      <c r="E234" s="15"/>
      <c r="F234" s="15"/>
      <c r="G234" s="15"/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t="14.25" customHeight="1">
      <c r="A235" s="15"/>
      <c r="B235" s="15"/>
      <c r="C235" s="15"/>
      <c r="D235" s="15"/>
      <c r="E235" s="15"/>
      <c r="F235" s="15"/>
      <c r="G235" s="15"/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t="14.25" customHeight="1">
      <c r="A236" s="15"/>
      <c r="B236" s="15"/>
      <c r="C236" s="15"/>
      <c r="D236" s="15"/>
      <c r="E236" s="15"/>
      <c r="F236" s="15"/>
      <c r="G236" s="15"/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t="14.25" customHeight="1">
      <c r="A237" s="15"/>
      <c r="B237" s="15"/>
      <c r="C237" s="15"/>
      <c r="D237" s="15"/>
      <c r="E237" s="15"/>
      <c r="F237" s="15"/>
      <c r="G237" s="15"/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t="14.25" customHeight="1">
      <c r="A238" s="15"/>
      <c r="B238" s="15"/>
      <c r="C238" s="15"/>
      <c r="D238" s="15"/>
      <c r="E238" s="15"/>
      <c r="F238" s="15"/>
      <c r="G238" s="15"/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t="14.25" customHeight="1">
      <c r="A239" s="15"/>
      <c r="B239" s="15"/>
      <c r="C239" s="15"/>
      <c r="D239" s="15"/>
      <c r="E239" s="15"/>
      <c r="F239" s="15"/>
      <c r="G239" s="15"/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t="14.25" customHeight="1">
      <c r="A240" s="15"/>
      <c r="B240" s="15"/>
      <c r="C240" s="15"/>
      <c r="D240" s="15"/>
      <c r="E240" s="15"/>
      <c r="F240" s="15"/>
      <c r="G240" s="15"/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t="14.25" customHeight="1">
      <c r="A241" s="15"/>
      <c r="B241" s="15"/>
      <c r="C241" s="15"/>
      <c r="D241" s="15"/>
      <c r="E241" s="15"/>
      <c r="F241" s="15"/>
      <c r="G241" s="15"/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t="14.25" customHeight="1">
      <c r="A242" s="15"/>
      <c r="B242" s="15"/>
      <c r="C242" s="15"/>
      <c r="D242" s="15"/>
      <c r="E242" s="15"/>
      <c r="F242" s="15"/>
      <c r="G242" s="15"/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t="14.25" customHeight="1">
      <c r="A243" s="15"/>
      <c r="B243" s="15"/>
      <c r="C243" s="15"/>
      <c r="D243" s="15"/>
      <c r="E243" s="15"/>
      <c r="F243" s="15"/>
      <c r="G243" s="15"/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t="14.25" customHeight="1">
      <c r="A244" s="15"/>
      <c r="B244" s="15"/>
      <c r="C244" s="15"/>
      <c r="D244" s="15"/>
      <c r="E244" s="15"/>
      <c r="F244" s="15"/>
      <c r="G244" s="15"/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t="14.25" customHeight="1">
      <c r="A245" s="15"/>
      <c r="B245" s="15"/>
      <c r="C245" s="15"/>
      <c r="D245" s="15"/>
      <c r="E245" s="15"/>
      <c r="F245" s="15"/>
      <c r="G245" s="15"/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t="14.25" customHeight="1">
      <c r="A246" s="15"/>
      <c r="B246" s="15"/>
      <c r="C246" s="15"/>
      <c r="D246" s="15"/>
      <c r="E246" s="15"/>
      <c r="F246" s="15"/>
      <c r="G246" s="15"/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t="14.25" customHeight="1">
      <c r="A247" s="15"/>
      <c r="B247" s="15"/>
      <c r="C247" s="15"/>
      <c r="D247" s="15"/>
      <c r="E247" s="15"/>
      <c r="F247" s="15"/>
      <c r="G247" s="15"/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t="14.25" customHeight="1">
      <c r="A248" s="15"/>
      <c r="B248" s="15"/>
      <c r="C248" s="15"/>
      <c r="D248" s="15"/>
      <c r="E248" s="15"/>
      <c r="F248" s="15"/>
      <c r="G248" s="15"/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t="14.25" customHeight="1">
      <c r="A249" s="15"/>
      <c r="B249" s="15"/>
      <c r="C249" s="15"/>
      <c r="D249" s="15"/>
      <c r="E249" s="15"/>
      <c r="F249" s="15"/>
      <c r="G249" s="15"/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t="14.25" customHeight="1">
      <c r="A250" s="15"/>
      <c r="B250" s="15"/>
      <c r="C250" s="15"/>
      <c r="D250" s="15"/>
      <c r="E250" s="15"/>
      <c r="F250" s="15"/>
      <c r="G250" s="15"/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t="14.25" customHeight="1">
      <c r="A251" s="15"/>
      <c r="B251" s="15"/>
      <c r="C251" s="15"/>
      <c r="D251" s="15"/>
      <c r="E251" s="15"/>
      <c r="F251" s="15"/>
      <c r="G251" s="15"/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t="14.25" customHeight="1">
      <c r="A252" s="15"/>
      <c r="B252" s="15"/>
      <c r="C252" s="15"/>
      <c r="D252" s="15"/>
      <c r="E252" s="15"/>
      <c r="F252" s="15"/>
      <c r="G252" s="15"/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t="14.25" customHeight="1">
      <c r="A253" s="15"/>
      <c r="B253" s="15"/>
      <c r="C253" s="15"/>
      <c r="D253" s="15"/>
      <c r="E253" s="15"/>
      <c r="F253" s="15"/>
      <c r="G253" s="15"/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t="14.25" customHeight="1">
      <c r="A254" s="15"/>
      <c r="B254" s="15"/>
      <c r="C254" s="15"/>
      <c r="D254" s="15"/>
      <c r="E254" s="15"/>
      <c r="F254" s="15"/>
      <c r="G254" s="15"/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t="14.25" customHeight="1">
      <c r="A255" s="15"/>
      <c r="B255" s="15"/>
      <c r="C255" s="15"/>
      <c r="D255" s="15"/>
      <c r="E255" s="15"/>
      <c r="F255" s="15"/>
      <c r="G255" s="15"/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t="14.25" customHeight="1">
      <c r="A256" s="15"/>
      <c r="B256" s="15"/>
      <c r="C256" s="15"/>
      <c r="D256" s="15"/>
      <c r="E256" s="15"/>
      <c r="F256" s="15"/>
      <c r="G256" s="15"/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t="14.25" customHeight="1">
      <c r="A257" s="15"/>
      <c r="B257" s="15"/>
      <c r="C257" s="15"/>
      <c r="D257" s="15"/>
      <c r="E257" s="15"/>
      <c r="F257" s="15"/>
      <c r="G257" s="15"/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t="14.25" customHeight="1">
      <c r="A258" s="15"/>
      <c r="B258" s="15"/>
      <c r="C258" s="15"/>
      <c r="D258" s="15"/>
      <c r="E258" s="15"/>
      <c r="F258" s="15"/>
      <c r="G258" s="15"/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t="14.25" customHeight="1">
      <c r="A259" s="15"/>
      <c r="B259" s="15"/>
      <c r="C259" s="15"/>
      <c r="D259" s="15"/>
      <c r="E259" s="15"/>
      <c r="F259" s="15"/>
      <c r="G259" s="15"/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t="14.25" customHeight="1">
      <c r="A260" s="15"/>
      <c r="B260" s="15"/>
      <c r="C260" s="15"/>
      <c r="D260" s="15"/>
      <c r="E260" s="15"/>
      <c r="F260" s="15"/>
      <c r="G260" s="15"/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t="14.25" customHeight="1">
      <c r="A261" s="15"/>
      <c r="B261" s="15"/>
      <c r="C261" s="15"/>
      <c r="D261" s="15"/>
      <c r="E261" s="15"/>
      <c r="F261" s="15"/>
      <c r="G261" s="15"/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t="14.25" customHeight="1">
      <c r="A262" s="15"/>
      <c r="B262" s="15"/>
      <c r="C262" s="15"/>
      <c r="D262" s="15"/>
      <c r="E262" s="15"/>
      <c r="F262" s="15"/>
      <c r="G262" s="15"/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t="14.25" customHeight="1">
      <c r="A263" s="15"/>
      <c r="B263" s="15"/>
      <c r="C263" s="15"/>
      <c r="D263" s="15"/>
      <c r="E263" s="15"/>
      <c r="F263" s="15"/>
      <c r="G263" s="15"/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t="14.25" customHeight="1">
      <c r="A264" s="15"/>
      <c r="B264" s="15"/>
      <c r="C264" s="15"/>
      <c r="D264" s="15"/>
      <c r="E264" s="15"/>
      <c r="F264" s="15"/>
      <c r="G264" s="15"/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t="14.25" customHeight="1">
      <c r="A265" s="15"/>
      <c r="B265" s="15"/>
      <c r="C265" s="15"/>
      <c r="D265" s="15"/>
      <c r="E265" s="15"/>
      <c r="F265" s="15"/>
      <c r="G265" s="15"/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1">
    <mergeCell ref="G13:H15"/>
    <mergeCell ref="G16:H20"/>
    <mergeCell ref="G24:H26"/>
    <mergeCell ref="G27:H31"/>
    <mergeCell ref="A1:F1"/>
    <mergeCell ref="A7:A8"/>
    <mergeCell ref="B7:C7"/>
    <mergeCell ref="D7:E7"/>
    <mergeCell ref="F7:F8"/>
    <mergeCell ref="A13:A15"/>
    <mergeCell ref="A16:A20"/>
    <mergeCell ref="A24:A26"/>
    <mergeCell ref="A27:A31"/>
    <mergeCell ref="C41:D41"/>
    <mergeCell ref="E41:F41"/>
    <mergeCell ref="C42:D42"/>
    <mergeCell ref="E42:F42"/>
    <mergeCell ref="A35:A39"/>
    <mergeCell ref="C45:D45"/>
    <mergeCell ref="E45:F45"/>
    <mergeCell ref="C46:D46"/>
    <mergeCell ref="E46:F46"/>
    <mergeCell ref="H46:I48"/>
    <mergeCell ref="C47:D47"/>
    <mergeCell ref="E47:F47"/>
    <mergeCell ref="C54:D54"/>
    <mergeCell ref="C55:D55"/>
    <mergeCell ref="C56:D56"/>
    <mergeCell ref="C57:D57"/>
    <mergeCell ref="C58:D58"/>
    <mergeCell ref="E55:F55"/>
    <mergeCell ref="E56:F56"/>
    <mergeCell ref="E57:F57"/>
    <mergeCell ref="E58:F58"/>
    <mergeCell ref="C48:D48"/>
    <mergeCell ref="E48:F48"/>
    <mergeCell ref="E54:F54"/>
    <mergeCell ref="C50:D50"/>
    <mergeCell ref="E50:F50"/>
    <mergeCell ref="C51:D51"/>
    <mergeCell ref="E51:F51"/>
  </mergeCells>
  <conditionalFormatting sqref="G9">
    <cfRule type="notContainsBlanks" dxfId="0" priority="1">
      <formula>LEN(TRIM(G9))&gt;0</formula>
    </cfRule>
  </conditionalFormatting>
  <conditionalFormatting sqref="G13">
    <cfRule type="notContainsBlanks" dxfId="1" priority="2">
      <formula>LEN(TRIM(G13))&gt;0</formula>
    </cfRule>
  </conditionalFormatting>
  <conditionalFormatting sqref="G16">
    <cfRule type="notContainsBlanks" dxfId="1" priority="3">
      <formula>LEN(TRIM(G16))&gt;0</formula>
    </cfRule>
  </conditionalFormatting>
  <conditionalFormatting sqref="G24">
    <cfRule type="notContainsBlanks" dxfId="1" priority="4">
      <formula>LEN(TRIM(G24))&gt;0</formula>
    </cfRule>
  </conditionalFormatting>
  <conditionalFormatting sqref="G27">
    <cfRule type="notContainsBlanks" dxfId="1" priority="5">
      <formula>LEN(TRIM(G27))&gt;0</formula>
    </cfRule>
  </conditionalFormatting>
  <conditionalFormatting sqref="H46">
    <cfRule type="notContainsBlanks" dxfId="1" priority="6">
      <formula>LEN(TRIM(H46))&gt;0</formula>
    </cfRule>
  </conditionalFormatting>
  <conditionalFormatting sqref="I13:I20">
    <cfRule type="notContainsBlanks" dxfId="0" priority="7">
      <formula>LEN(TRIM(I13))&gt;0</formula>
    </cfRule>
  </conditionalFormatting>
  <conditionalFormatting sqref="I24:I31">
    <cfRule type="notContainsBlanks" dxfId="0" priority="8">
      <formula>LEN(TRIM(I24))&gt;0</formula>
    </cfRule>
  </conditionalFormatting>
  <conditionalFormatting sqref="J46:J48">
    <cfRule type="notContainsBlanks" dxfId="0" priority="9">
      <formula>LEN(TRIM(J46))&gt;0</formula>
    </cfRule>
  </conditionalFormatting>
  <printOptions/>
  <pageMargins bottom="0.75" footer="0.0" header="0.0" left="0.7" right="0.7" top="0.75"/>
  <pageSetup orientation="portrait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13.78"/>
    <col customWidth="1" min="2" max="2" width="25.0"/>
    <col customWidth="1" min="3" max="3" width="8.0"/>
    <col customWidth="1" min="4" max="4" width="11.33"/>
    <col customWidth="1" min="5" max="5" width="9.33"/>
    <col customWidth="1" min="6" max="6" width="6.0"/>
    <col customWidth="1" min="7" max="7" width="9.44"/>
    <col customWidth="1" min="8" max="8" width="20.33"/>
    <col customWidth="1" min="9" max="9" width="20.44"/>
    <col customWidth="1" min="10" max="10" width="11.0"/>
    <col customWidth="1" min="11" max="12" width="10.78"/>
    <col customWidth="1" min="13" max="26" width="11.0"/>
  </cols>
  <sheetData>
    <row r="1" ht="14.25" customHeight="1">
      <c r="A1" s="14" t="s">
        <v>38</v>
      </c>
      <c r="G1" s="15"/>
      <c r="H1" s="15"/>
      <c r="I1" s="16" t="s">
        <v>39</v>
      </c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14.25" customHeight="1">
      <c r="A2" s="15"/>
      <c r="B2" s="15"/>
      <c r="C2" s="15"/>
      <c r="D2" s="15"/>
      <c r="E2" s="15"/>
      <c r="F2" s="15"/>
      <c r="G2" s="15"/>
      <c r="H2" s="17" t="s">
        <v>40</v>
      </c>
      <c r="I2" s="18" t="str">
        <f>DATE(F3, 11, 1)</f>
        <v>#VALUE!</v>
      </c>
      <c r="J2" s="15"/>
      <c r="K2" s="19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t="14.25" customHeight="1">
      <c r="A3" s="15" t="s">
        <v>41</v>
      </c>
      <c r="B3" s="15"/>
      <c r="C3" s="20" t="s">
        <v>111</v>
      </c>
      <c r="D3" s="15"/>
      <c r="E3" s="15" t="s">
        <v>43</v>
      </c>
      <c r="F3" s="20" t="str">
        <f>YEAR(Results!E3)</f>
        <v>#VALUE!</v>
      </c>
      <c r="G3" s="15"/>
      <c r="H3" s="17" t="s">
        <v>44</v>
      </c>
      <c r="I3" s="18" t="str">
        <f>EOMONTH(I2,0)</f>
        <v>#VALUE!</v>
      </c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t="14.25" customHeight="1">
      <c r="A4" s="15" t="s">
        <v>45</v>
      </c>
      <c r="B4" s="15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t="14.25" customHeight="1">
      <c r="A5" s="15"/>
      <c r="B5" s="15"/>
      <c r="C5" s="15"/>
      <c r="D5" s="15"/>
      <c r="E5" s="15"/>
      <c r="F5" s="15"/>
      <c r="G5" s="15"/>
      <c r="H5" s="15"/>
      <c r="I5" s="15"/>
      <c r="J5" s="15"/>
      <c r="K5" s="15"/>
      <c r="L5" s="15"/>
      <c r="M5" s="15"/>
      <c r="N5" s="15"/>
      <c r="O5" s="21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t="14.25" customHeight="1">
      <c r="A6" s="15" t="s">
        <v>46</v>
      </c>
      <c r="B6" s="15"/>
      <c r="C6" s="15"/>
      <c r="D6" s="15"/>
      <c r="E6" s="15"/>
      <c r="F6" s="15"/>
      <c r="G6" s="15"/>
      <c r="H6" s="15"/>
      <c r="I6" s="20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t="14.25" customHeight="1">
      <c r="A7" s="22"/>
      <c r="B7" s="23" t="s">
        <v>47</v>
      </c>
      <c r="C7" s="24"/>
      <c r="D7" s="23" t="s">
        <v>48</v>
      </c>
      <c r="E7" s="24"/>
      <c r="F7" s="25" t="s">
        <v>49</v>
      </c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t="14.25" customHeight="1">
      <c r="A8" s="26"/>
      <c r="B8" s="27" t="s">
        <v>50</v>
      </c>
      <c r="C8" s="27" t="s">
        <v>51</v>
      </c>
      <c r="D8" s="27" t="s">
        <v>50</v>
      </c>
      <c r="E8" s="27" t="s">
        <v>51</v>
      </c>
      <c r="F8" s="26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t="14.25" customHeight="1">
      <c r="A9" s="28"/>
      <c r="B9" s="28">
        <f>COUNTIFS(Results!$E:$E,"&gt;="&amp;$I$2,Results!$E:$E,"&lt;="&amp;$I$3,Results!$I:$I,"Male",Results!$J:$J,"&lt;15", Results!$F:$F,"*tive")</f>
        <v>0</v>
      </c>
      <c r="C9" s="28">
        <f>COUNTIFS(Results!$E:$E,"&gt;="&amp;$I$2,Results!$E:$E,"&lt;="&amp;$I$3,Results!$I:$I,"Male",Results!$J:$J,"&gt;=15", Results!$F:$F,"*tive")</f>
        <v>0</v>
      </c>
      <c r="D9" s="28">
        <f>COUNTIFS(Results!$E:$E,"&gt;="&amp;$I$2,Results!$E:$E,"&lt;="&amp;$I$3,Results!$I:$I,"Female",Results!$J:$J,"&lt;15", Results!$F:$F,"*tive")</f>
        <v>0</v>
      </c>
      <c r="E9" s="28">
        <f>COUNTIFS(Results!$E:$E,"&gt;="&amp;$I$2,Results!$E:$E,"&lt;="&amp;$I$3,Results!$I:$I,"Female",Results!$J:$J,"&gt;=15", Results!$F:$F,"*tive")</f>
        <v>0</v>
      </c>
      <c r="F9" s="28">
        <f>COUNTIFS(Results!$E:$E,"&gt;="&amp;$I$2,Results!$E:$E,"&lt;="&amp;$I$3, Results!$F:$F,"*tive", Results!$J:$J,"&lt;&gt;Not on Form", Results!$J:$J,"&lt;&gt;N/A", Results!$I:$I,"&lt;&gt;Not on Form", Results!$I:$I,"&lt;&gt;N/A")</f>
        <v>0</v>
      </c>
      <c r="G9" s="15" t="str">
        <f>IF(SUM(B9:E9)=F9,"","Check Total Value &amp; Category")</f>
        <v/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t="14.25" customHeight="1">
      <c r="A10" s="15"/>
      <c r="B10" s="15"/>
      <c r="C10" s="15"/>
      <c r="D10" s="15"/>
      <c r="E10" s="15"/>
      <c r="F10" s="15"/>
      <c r="G10" s="15"/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t="14.25" customHeight="1">
      <c r="A11" s="15" t="s">
        <v>52</v>
      </c>
      <c r="B11" s="15"/>
      <c r="C11" s="15"/>
      <c r="D11" s="15"/>
      <c r="E11" s="15"/>
      <c r="F11" s="15"/>
      <c r="G11" s="15"/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t="14.25" customHeight="1">
      <c r="A12" s="28"/>
      <c r="B12" s="28"/>
      <c r="C12" s="29" t="s">
        <v>53</v>
      </c>
      <c r="D12" s="29" t="s">
        <v>54</v>
      </c>
      <c r="E12" s="29" t="s">
        <v>55</v>
      </c>
      <c r="F12" s="29" t="s">
        <v>49</v>
      </c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t="15.75" customHeight="1">
      <c r="A13" s="30" t="s">
        <v>56</v>
      </c>
      <c r="B13" s="28" t="s">
        <v>57</v>
      </c>
      <c r="C13" s="28">
        <f>COUNTIFS(Results!$E:$E,"&gt;="&amp;$I$2,Results!$E:$E,"&lt;="&amp;$I$3,Results!$L:$L,"Positive",Results!$K:$K,"No", Results!$F:$F,"*tive") + COUNTIFS(Results!$E:$E,"&gt;="&amp;$I$2,Results!$E:$E,"&lt;="&amp;$I$3,Results!$L:$L,"Positive",Results!$K:$K,"On Treatment", Results!$F:$F,"*tive")</f>
        <v>0</v>
      </c>
      <c r="D13" s="28">
        <f>COUNTIFS(Results!$E:$E,"&gt;="&amp;$I$2,Results!$E:$E,"&lt;="&amp;$I$3,Results!$L:$L,"Positive",Results!$K:$K,"Yes", Results!$F:$F,"*tive")</f>
        <v>0</v>
      </c>
      <c r="E13" s="28">
        <f>COUNTIFS(Results!$E:$E,"&gt;="&amp;$I$2,Results!$E:$E,"&lt;="&amp;$I$3,Results!$L:$L,"Positive",Results!$K:$K,"Unknown", Results!$F:$F,"*tive")</f>
        <v>0</v>
      </c>
      <c r="F13" s="28">
        <f>COUNTIFS(Results!$E:$E,"&gt;="&amp;$I$2,Results!$E:$E,"&lt;="&amp;$I$3,Results!$L:$L,"Positive", Results!$F:$F,"*tive", Results!$K:$K,"&lt;&gt;Not on Form", Results!$K:$K,"&lt;&gt;N/A", Results!$L:$L,"&lt;&gt;Not on Form", Results!$L:$L,"&lt;&gt;N/A")</f>
        <v>0</v>
      </c>
      <c r="G13" s="31" t="str">
        <f>IF($F$9=SUM(F13:F15),"","Error! Microscopy result does NOT match, cross check: Missing information in Microscopy Result")</f>
        <v/>
      </c>
      <c r="I13" s="15" t="str">
        <f t="shared" ref="I13:I18" si="1">IF(SUM(C13:E13)=F13,"","Check Total Value &amp; Category")</f>
        <v/>
      </c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t="14.25" customHeight="1">
      <c r="A14" s="32"/>
      <c r="B14" s="28" t="s">
        <v>58</v>
      </c>
      <c r="C14" s="28">
        <f>COUNTIFS(Results!$E:$E,"&gt;="&amp;$I$2,Results!$E:$E,"&lt;="&amp;$I$3,Results!$L:$L,"Negative",Results!$K:$K,"No", Results!$F:$F,"*tive") + COUNTIFS(Results!$E:$E,"&gt;="&amp;$I$2,Results!$E:$E,"&lt;="&amp;$I$3,Results!$L:$L,"Negative",Results!$K:$K,"On Treatment", Results!$F:$F,"*tive")</f>
        <v>0</v>
      </c>
      <c r="D14" s="28">
        <f>COUNTIFS(Results!$E:$E,"&gt;="&amp;$I$2,Results!$E:$E,"&lt;="&amp;$I$3,Results!$L:$L,"Negative",Results!$K:$K,"Yes", Results!$F:$F,"*tive")</f>
        <v>0</v>
      </c>
      <c r="E14" s="28">
        <f>COUNTIFS(Results!$E:$E,"&gt;="&amp;$I$2,Results!$E:$E,"&lt;="&amp;$I$3,Results!$L:$L,"Negative",Results!$K:$K,"Unknown", Results!$F:$F,"*tive")</f>
        <v>0</v>
      </c>
      <c r="F14" s="28">
        <f>COUNTIFS(Results!$E:$E,"&gt;="&amp;$I$2,Results!$E:$E,"&lt;="&amp;$I$3,Results!$L:$L,"Negative", Results!$F:$F,"*tive",Results!$K:$K,"&lt;&gt;Not on Form", Results!$K:$K,"&lt;&gt;N/A", Results!$L:$L,"&lt;&gt;Not on Form", Results!$L:$L,"&lt;&gt;N/A")</f>
        <v>0</v>
      </c>
      <c r="G14" s="33"/>
      <c r="I14" s="15" t="str">
        <f t="shared" si="1"/>
        <v/>
      </c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t="14.25" customHeight="1">
      <c r="A15" s="26"/>
      <c r="B15" s="28" t="s">
        <v>59</v>
      </c>
      <c r="C15" s="28">
        <f>COUNTIFS(Results!$E:$E,"&gt;="&amp;$I$2,Results!$E:$E,"&lt;="&amp;$I$3,Results!$L:$L,"Not Done",Results!$K:$K,"No", Results!$F:$F,"*tive") + COUNTIFS(Results!$E:$E,"&gt;="&amp;$I$2,Results!$E:$E,"&lt;="&amp;$I$3,Results!$L:$L,"Not Done",Results!$K:$K,"On Treatment", Results!$F:$F,"*tive")</f>
        <v>0</v>
      </c>
      <c r="D15" s="28">
        <f>COUNTIFS(Results!$E:$E,"&gt;="&amp;$I$2,Results!$E:$E,"&lt;="&amp;$I$3,Results!$L:$L,"Not Done",Results!$K:$K,"Yes", Results!$F:$F,"*tive")</f>
        <v>0</v>
      </c>
      <c r="E15" s="28">
        <f>COUNTIFS(Results!$E:$E,"&gt;="&amp;$I$2,Results!$E:$E,"&lt;="&amp;$I$3,Results!$L:$L,"Not Done",Results!$K:$K,"Unknown", Results!$F:$F,"*tive")</f>
        <v>0</v>
      </c>
      <c r="F15" s="28">
        <f>COUNTIFS(Results!$E:$E,"&gt;="&amp;$I$2,Results!$E:$E,"&lt;="&amp;$I$3,Results!$L:$L,"Not Done", Results!$F:$F,"*tive", Results!$K:$K,"&lt;&gt;Not on Form", Results!$K:$K,"&lt;&gt;N/A", Results!$L:$L,"&lt;&gt;Not on Form", Results!$L:$L,"&lt;&gt;N/A")</f>
        <v>0</v>
      </c>
      <c r="G15" s="33"/>
      <c r="I15" s="15" t="str">
        <f t="shared" si="1"/>
        <v/>
      </c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t="14.25" customHeight="1">
      <c r="A16" s="25" t="s">
        <v>60</v>
      </c>
      <c r="B16" s="28" t="s">
        <v>61</v>
      </c>
      <c r="C16" s="28">
        <f>COUNTIFS(Results!$E:$E,"&gt;="&amp;$I$2,Results!$E:$E,"&lt;="&amp;$I$3,Results!$F:$F,"Negative",Results!$K:$K,"No") + COUNTIFS(Results!$E:$E,"&gt;="&amp;$I$2,Results!$E:$E,"&lt;="&amp;$I$3,Results!$F:$F,"Negative",Results!$K:$K,"On Treatment")</f>
        <v>0</v>
      </c>
      <c r="D16" s="28">
        <f>COUNTIFS(Results!$E:$E,"&gt;="&amp;$I$2,Results!$E:$E,"&lt;="&amp;$I$3,Results!$F:$F,"Negative",Results!$K:$K,"Yes")</f>
        <v>0</v>
      </c>
      <c r="E16" s="28">
        <f>COUNTIFS(Results!$E:$E,"&gt;="&amp;$I$2,Results!$E:$E,"&lt;="&amp;$I$3,Results!$F:$F,"Negative",Results!$K:$K,"Unknown")</f>
        <v>0</v>
      </c>
      <c r="F16" s="28">
        <f>COUNTIFS(Results!$E:$E,"&gt;="&amp;$I$2,Results!$E:$E,"&lt;="&amp;$I$3,Results!$F:$F,"Negative", Results!$K:$K,"&lt;&gt;Not on Form", Results!$K:$K,"&lt;&gt;N/A")</f>
        <v>0</v>
      </c>
      <c r="G16" s="31" t="str">
        <f>IF($F$9=SUM(F16:F20),"","Error! Cross information between Xpert result and treatment category are not match; possibly there will be Erorr or missing information on MTB result OR RIF result")</f>
        <v/>
      </c>
      <c r="I16" s="15" t="str">
        <f t="shared" si="1"/>
        <v/>
      </c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t="14.25" customHeight="1">
      <c r="A17" s="32"/>
      <c r="B17" s="28" t="s">
        <v>62</v>
      </c>
      <c r="C17" s="28">
        <f>COUNTIFS(Results!$E:$E,"&gt;="&amp;$I$2,Results!$E:$E,"&lt;="&amp;$I$3,Results!$F:$F,"Positive",Results!$G:$G,"Negative",Results!$K:$K,"No") + COUNTIFS(Results!$E:$E,"&gt;="&amp;$I$2,Results!$E:$E,"&lt;="&amp;$I$3,Results!$F:$F,"Positive",Results!$G:$G,"Negative",Results!$K:$K,"On Treatment")</f>
        <v>0</v>
      </c>
      <c r="D17" s="28">
        <f>COUNTIFS(Results!$E:$E,"&gt;="&amp;$I$2,Results!$E:$E,"&lt;="&amp;$I$3,Results!$F:$F,"Positive",Results!$G:$G,"Negative",Results!$K:$K,"Yes")</f>
        <v>0</v>
      </c>
      <c r="E17" s="28">
        <f>COUNTIFS(Results!$E:$E,"&gt;="&amp;$I$2,Results!$E:$E,"&lt;="&amp;$I$3,Results!$F:$F,"Positive",Results!$G:$G,"Negative",Results!$K:$K,"Unknown")</f>
        <v>0</v>
      </c>
      <c r="F17" s="28">
        <f>COUNTIFS(Results!$E:$E,"&gt;="&amp;$I$2,Results!$E:$E,"&lt;="&amp;$I$3,Results!$F:$F,"Positive",Results!$G:$G,"Negative", Results!$K:$K,"&lt;&gt;Not on Form", Results!$K:$K,"&lt;&gt;N/A")</f>
        <v>0</v>
      </c>
      <c r="G17" s="33"/>
      <c r="I17" s="15" t="str">
        <f t="shared" si="1"/>
        <v/>
      </c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t="14.25" customHeight="1">
      <c r="A18" s="32"/>
      <c r="B18" s="28" t="s">
        <v>63</v>
      </c>
      <c r="C18" s="28">
        <f>COUNTIFS(Results!$E:$E,"&gt;="&amp;$I$2,Results!$E:$E,"&lt;="&amp;$I$3,Results!$F:$F,"Positive",Results!$G:$G,"Positive",Results!$K:$K,"No") + COUNTIFS(Results!$E:$E,"&gt;="&amp;$I$2,Results!$E:$E,"&lt;="&amp;$I$3,Results!$F:$F,"Positive",Results!$G:$G,"Positive",Results!$K:$K,"On Treatment")</f>
        <v>0</v>
      </c>
      <c r="D18" s="28">
        <f>COUNTIFS(Results!$E:$E,"&gt;="&amp;$I$2,Results!$E:$E,"&lt;="&amp;$I$3,Results!$F:$F,"Positive",Results!$G:$G,"Positive",Results!$K:$K,"Yes")</f>
        <v>0</v>
      </c>
      <c r="E18" s="28">
        <f>COUNTIFS(Results!$E:$E,"&gt;="&amp;$I$2,Results!$E:$E,"&lt;="&amp;$I$3,Results!$F:$F,"Positive",Results!$G:$G,"Positive",Results!$K:$K,"Unknown")</f>
        <v>0</v>
      </c>
      <c r="F18" s="28">
        <f>COUNTIFS(Results!$E:$E,"&gt;="&amp;$I$2,Results!$E:$E,"&lt;="&amp;$I$3,Results!$F:$F,"Positive",Results!$G:$G,"Positive", Results!$K:$K,"&lt;&gt;Not on Form", Results!$K:$K,"&lt;&gt;N/A")</f>
        <v>0</v>
      </c>
      <c r="G18" s="33"/>
      <c r="I18" s="15" t="str">
        <f t="shared" si="1"/>
        <v/>
      </c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t="14.25" customHeight="1">
      <c r="A19" s="32"/>
      <c r="B19" s="28" t="s">
        <v>64</v>
      </c>
      <c r="C19" s="28">
        <f>COUNTIFS(Results!$E:$E,"&gt;="&amp;$I$2,Results!$E:$E,"&lt;="&amp;$I$3,Results!$F:$F,"Positive",Results!$G:$G,"Indeterminate",Results!$K:$K,"No") + COUNTIFS(Results!$E:$E,"&gt;="&amp;$I$2,Results!$E:$E,"&lt;="&amp;$I$3,Results!$F:$F,"Positive",Results!$G:$G,"Indeterminate",Results!$K:$K,"On Treatment")</f>
        <v>0</v>
      </c>
      <c r="D19" s="28">
        <f>COUNTIFS(Results!$E:$E,"&gt;="&amp;$I$2,Results!$E:$E,"&lt;="&amp;$I$3,Results!$F:$F,"Positive",Results!$G:$G,"Indeterminate",Results!$K:$K,"Yes")</f>
        <v>0</v>
      </c>
      <c r="E19" s="28">
        <f>COUNTIFS(Results!$E:$E,"&gt;="&amp;$I$2,Results!$E:$E,"&lt;="&amp;$I$3,Results!$F:$F,"Positive",Results!$G:$G,"Indeterminate",Results!$K:$K,"Unknown")</f>
        <v>0</v>
      </c>
      <c r="F19" s="28">
        <f>COUNTIFS(Results!$E:$E,"&gt;="&amp;$I$2,Results!$E:$E,"&lt;="&amp;$I$3,Results!$F:$F,"Positive",Results!$G:$G,"Indeterminate", Results!$K:$K,"&lt;&gt;Not on Form", Results!$K:$K,"&lt;&gt;N/A")</f>
        <v>0</v>
      </c>
      <c r="G19" s="33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t="14.25" customHeight="1">
      <c r="A20" s="26"/>
      <c r="B20" s="28" t="s">
        <v>65</v>
      </c>
      <c r="C20" s="28">
        <f>COUNTIFS(Results!$E:$E,"&gt;="&amp;$I$2,Results!$E:$E,"&lt;="&amp;$I$3,Results!$F:$F,"Trace",Results!$G:$G,"Indeterminate",Results!$K:$K,"No") + COUNTIFS(Results!$E:$E,"&gt;="&amp;$I$2,Results!$E:$E,"&lt;="&amp;$I$3,Results!$F:$F,"Trace",Results!$G:$G,"Indeterminate",Results!$K:$K,"On Treatment")</f>
        <v>0</v>
      </c>
      <c r="D20" s="28">
        <f>COUNTIFS(Results!$E:$E,"&gt;="&amp;$I$2,Results!$E:$E,"&lt;="&amp;$I$3,Results!$F:$F,"Trace",Results!$G:$G,"Indeterminate",Results!$K:$K,"Yes")</f>
        <v>0</v>
      </c>
      <c r="E20" s="28">
        <f>COUNTIFS(Results!$E:$E,"&gt;="&amp;$I$2,Results!$E:$E,"&lt;="&amp;$I$3,Results!$F:$F,"Trace",Results!$G:$G,"Indeterminate",Results!$K:$K,"Unknown")</f>
        <v>0</v>
      </c>
      <c r="F20" s="28">
        <f>COUNTIFS(Results!$E:$E,"&gt;="&amp;$I$2,Results!$E:$E,"&lt;="&amp;$I$3,Results!$F:$F,"Trace",Results!$G:$G,"Indeterminate", Results!$K:$K,"&lt;&gt;Not on Form", Results!$K:$K,"&lt;&gt;N/A")</f>
        <v>0</v>
      </c>
      <c r="G20" s="33"/>
      <c r="I20" s="15" t="str">
        <f>IF(SUM(C20:E20)=F20,"","Check Total Value &amp; Category")</f>
        <v/>
      </c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t="14.25" customHeight="1">
      <c r="A21" s="15"/>
      <c r="B21" s="15"/>
      <c r="C21" s="15"/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t="14.25" customHeight="1">
      <c r="A22" s="15" t="s">
        <v>66</v>
      </c>
      <c r="B22" s="15"/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t="14.25" customHeight="1">
      <c r="A23" s="28"/>
      <c r="B23" s="28"/>
      <c r="C23" s="34" t="s">
        <v>67</v>
      </c>
      <c r="D23" s="34" t="s">
        <v>68</v>
      </c>
      <c r="E23" s="27" t="s">
        <v>55</v>
      </c>
      <c r="F23" s="27" t="s">
        <v>49</v>
      </c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t="15.75" hidden="1" customHeight="1">
      <c r="A24" s="30" t="s">
        <v>56</v>
      </c>
      <c r="B24" s="28" t="s">
        <v>57</v>
      </c>
      <c r="C24" s="28">
        <f>COUNTIFS(Results!$E:$E,"&gt;="&amp;$I$2,Results!$E:$E,"&lt;="&amp;$I$3,Results!$L:$L,"Positive",Results!$H:$H,"Positive", Results!$F:$F,"*tive")</f>
        <v>0</v>
      </c>
      <c r="D24" s="28">
        <f>COUNTIFS(Results!$E:$E,"&gt;="&amp;$I$2,Results!$E:$E,"&lt;="&amp;$I$3,Results!$L:$L,"Positive",Results!$H:$H,"Negative", Results!$F:$F,"*tive")</f>
        <v>0</v>
      </c>
      <c r="E24" s="28">
        <f>COUNTIFS(Results!$E:$E,"&gt;="&amp;$I$2,Results!$E:$E,"&lt;="&amp;$I$3,Results!$L:$L,"Positive",Results!$H:$H,"Unknown", Results!$F:$F,"*tive")</f>
        <v>0</v>
      </c>
      <c r="F24" s="28">
        <f>COUNTIFS(Results!$E:$E,"&gt;="&amp;$I$2,Results!$E:$E,"&lt;="&amp;$I$3,Results!$L:$L,"Positive", Results!$F:$F,"*tive", Results!$H:$H,"&lt;&gt;Not on Form", Results!$H:$H,"&lt;&gt;N/A", Results!$L:$L,"&lt;&gt;Not on Form", Results!$L:$L,"&lt;&gt;N/A")</f>
        <v>0</v>
      </c>
      <c r="G24" s="31" t="str">
        <f>IF($F$9=SUM(F24:F26),"","Error! Microscope Result and HIV Status do NOT match; Crosscheck for missing information in Microscope Result OR HIV Status")</f>
        <v/>
      </c>
      <c r="I24" s="15" t="str">
        <f t="shared" ref="I24:I29" si="2">IF(SUM(C24:E24)=F24,"","Check Total Value &amp; Category")</f>
        <v/>
      </c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t="14.25" hidden="1" customHeight="1">
      <c r="A25" s="32"/>
      <c r="B25" s="28" t="s">
        <v>58</v>
      </c>
      <c r="C25" s="28">
        <f>COUNTIFS(Results!$E:$E,"&gt;="&amp;$I$2,Results!$E:$E,"&lt;="&amp;$I$3,Results!$L:$L,"Negative",Results!$H:$H,"Positive", Results!$F:$F,"*tive")</f>
        <v>0</v>
      </c>
      <c r="D25" s="28">
        <f>COUNTIFS(Results!$E:$E,"&gt;="&amp;$I$2,Results!$E:$E,"&lt;="&amp;$I$3,Results!$L:$L,"Negative",Results!$H:$H,"Negative", Results!$F:$F,"*tive")</f>
        <v>0</v>
      </c>
      <c r="E25" s="28">
        <f>COUNTIFS(Results!$E:$E,"&gt;="&amp;$I$2,Results!$E:$E,"&lt;="&amp;$I$3,Results!$L:$L,"Negative",Results!$H:$H,"Unknown", Results!$F:$F,"*tive")</f>
        <v>0</v>
      </c>
      <c r="F25" s="28">
        <f>COUNTIFS(Results!$E:$E,"&gt;="&amp;$I$2,Results!$E:$E,"&lt;="&amp;$I$3,Results!$L:$L,"Negative", Results!$F:$F,"*tive",  Results!$H:$H,"&lt;&gt;Not on Form", Results!$H:$H,"&lt;&gt;N/A", Results!$L:$L,"&lt;&gt;Not on Form", Results!$L:$L,"&lt;&gt;N/A")</f>
        <v>0</v>
      </c>
      <c r="G25" s="33"/>
      <c r="I25" s="15" t="str">
        <f t="shared" si="2"/>
        <v/>
      </c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t="14.25" hidden="1" customHeight="1">
      <c r="A26" s="26"/>
      <c r="B26" s="28" t="s">
        <v>59</v>
      </c>
      <c r="C26" s="28">
        <f>COUNTIFS(Results!$E:$E,"&gt;="&amp;$I$2,Results!$E:$E,"&lt;="&amp;$I$3,Results!$L:$L,"Not Done",Results!$H:$H,"Positive", Results!$F:$F,"*tive")</f>
        <v>0</v>
      </c>
      <c r="D26" s="28">
        <f>COUNTIFS(Results!$E:$E,"&gt;="&amp;$I$2,Results!$E:$E,"&lt;="&amp;$I$3,Results!$L:$L,"Not Done",Results!$H:$H,"Negative", Results!$F:$F,"*tive")</f>
        <v>0</v>
      </c>
      <c r="E26" s="28">
        <f>COUNTIFS(Results!$E:$E,"&gt;="&amp;$I$2,Results!$E:$E,"&lt;="&amp;$I$3,Results!$L:$L,"Not Done",Results!$H:$H,"Unknown", Results!$F:$F,"*tive")</f>
        <v>0</v>
      </c>
      <c r="F26" s="28">
        <f>COUNTIFS(Results!$E:$E,"&gt;="&amp;$I$2,Results!$E:$E,"&lt;="&amp;$I$3,Results!$L:$L,"Not Done",Results!$F:$F,"*tive",  Results!$H:$H,"&lt;&gt;Not on Form", Results!$H:$H,"&lt;&gt;N/A", Results!$L:$L,"&lt;&gt;Not on Form", Results!$L:$L,"&lt;&gt;N/A")</f>
        <v>0</v>
      </c>
      <c r="G26" s="33"/>
      <c r="I26" s="15" t="str">
        <f t="shared" si="2"/>
        <v/>
      </c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t="14.25" customHeight="1">
      <c r="A27" s="25" t="s">
        <v>60</v>
      </c>
      <c r="B27" s="28" t="s">
        <v>61</v>
      </c>
      <c r="C27" s="28">
        <f>COUNTIFS(Results!$E:$E,"&gt;="&amp;$I$2,Results!$E:$E,"&lt;="&amp;$I$3,Results!$F:$F,"Negative",Results!$H:$H,"Positive")</f>
        <v>0</v>
      </c>
      <c r="D27" s="28">
        <f>COUNTIFS(Results!$E:$E,"&gt;="&amp;$I$2,Results!$E:$E,"&lt;="&amp;$I$3,Results!$F:$F,"Negative",Results!$H:$H,"Negative")</f>
        <v>0</v>
      </c>
      <c r="E27" s="28">
        <f>COUNTIFS(Results!$E:$E,"&gt;="&amp;$I$2,Results!$E:$E,"&lt;="&amp;$I$3,Results!$F:$F,"Negative",Results!$H:$H,"Unknown")</f>
        <v>0</v>
      </c>
      <c r="F27" s="28">
        <f>COUNTIFS(Results!$E:$E,"&gt;="&amp;$I$2,Results!$E:$E,"&lt;="&amp;$I$3,Results!$F:$F,"Negative", Results!$H:$H,"&lt;&gt;Not on Form", Results!$H:$H,"&lt;&gt;N/A")</f>
        <v>0</v>
      </c>
      <c r="G27" s="31" t="str">
        <f>IF($F$9=SUM(F27:F31),"","Error! Cross information between Xpert result and HIV Status are not match; possibly there will be Erorr or missing information on MTB result OR HIV Status")</f>
        <v/>
      </c>
      <c r="I27" s="15" t="str">
        <f t="shared" si="2"/>
        <v/>
      </c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t="14.25" customHeight="1">
      <c r="A28" s="32"/>
      <c r="B28" s="28" t="s">
        <v>62</v>
      </c>
      <c r="C28" s="28">
        <f>COUNTIFS(Results!$E:$E,"&gt;="&amp;$I$2,Results!$E:$E,"&lt;="&amp;$I$3,Results!$F:$F,"Positive",Results!$G:$G,"Negative",Results!$H:$H,"Positive")</f>
        <v>0</v>
      </c>
      <c r="D28" s="28">
        <f>COUNTIFS(Results!$E:$E,"&gt;="&amp;$I$2,Results!$E:$E,"&lt;="&amp;$I$3,Results!$F:$F,"Positive",Results!$G:$G,"Negative",Results!$H:$H,"Negative")</f>
        <v>0</v>
      </c>
      <c r="E28" s="28">
        <f>COUNTIFS(Results!$E:$E,"&gt;="&amp;$I$2,Results!$E:$E,"&lt;="&amp;$I$3,Results!$F:$F,"Positive",Results!$G:$G,"Negative",Results!$H:$H,"Unknown")</f>
        <v>0</v>
      </c>
      <c r="F28" s="28">
        <f>COUNTIFS(Results!$E:$E,"&gt;="&amp;$I$2,Results!$E:$E,"&lt;="&amp;$I$3,Results!$F:$F,"Positive",Results!$G:$G,"Negative", Results!$H:$H,"&lt;&gt;Not on Form", Results!$H:$H,"&lt;&gt;N/A")</f>
        <v>0</v>
      </c>
      <c r="G28" s="33"/>
      <c r="I28" s="15" t="str">
        <f t="shared" si="2"/>
        <v/>
      </c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t="14.25" customHeight="1">
      <c r="A29" s="32"/>
      <c r="B29" s="28" t="s">
        <v>63</v>
      </c>
      <c r="C29" s="28">
        <f>COUNTIFS(Results!$E:$E,"&gt;="&amp;$I$2,Results!$E:$E,"&lt;="&amp;$I$3,Results!$F:$F,"Positive",Results!$G:$G,"Positive",Results!$H:$H,"Positive")</f>
        <v>0</v>
      </c>
      <c r="D29" s="28">
        <f>COUNTIFS(Results!$E:$E,"&gt;="&amp;$I$2,Results!$E:$E,"&lt;="&amp;$I$3,Results!$F:$F,"Positive",Results!$G:$G,"Positive",Results!$H:$H,"Negative")</f>
        <v>0</v>
      </c>
      <c r="E29" s="28">
        <f>COUNTIFS(Results!$E:$E,"&gt;="&amp;$I$2,Results!$E:$E,"&lt;="&amp;$I$3,Results!$F:$F,"Positive",Results!$G:$G,"Positive",Results!$H:$H,"Unknown")</f>
        <v>0</v>
      </c>
      <c r="F29" s="28">
        <f>COUNTIFS(Results!$E:$E,"&gt;="&amp;$I$2,Results!$E:$E,"&lt;="&amp;$I$3,Results!$F:$F,"Positive",Results!$G:$G,"Positive", Results!$H:$H,"&lt;&gt;Not on Form", Results!$H:$H,"&lt;&gt;N/A")</f>
        <v>0</v>
      </c>
      <c r="G29" s="33"/>
      <c r="I29" s="15" t="str">
        <f t="shared" si="2"/>
        <v/>
      </c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t="14.25" customHeight="1">
      <c r="A30" s="32"/>
      <c r="B30" s="28" t="s">
        <v>64</v>
      </c>
      <c r="C30" s="28">
        <f>COUNTIFS(Results!$E:$E,"&gt;="&amp;$I$2,Results!$E:$E,"&lt;="&amp;$I$3,Results!$F:$F,"Positive",Results!$G:$G,"Indeterminate",Results!$H:$H,"Positive")</f>
        <v>0</v>
      </c>
      <c r="D30" s="28">
        <f>COUNTIFS(Results!$E:$E,"&gt;="&amp;$I$2,Results!$E:$E,"&lt;="&amp;$I$3,Results!$F:$F,"Positive",Results!$G:$G,"Indeterminate",Results!$H:$H,"Negative")</f>
        <v>0</v>
      </c>
      <c r="E30" s="28">
        <f>COUNTIFS(Results!$E:$E,"&gt;="&amp;$I$2,Results!$E:$E,"&lt;="&amp;$I$3,Results!$F:$F,"Positive",Results!$G:$G,"Indeterminate",Results!$H:$H,"Unknown")</f>
        <v>0</v>
      </c>
      <c r="F30" s="28">
        <f>COUNTIFS(Results!$E:$E,"&gt;="&amp;$I$2,Results!$E:$E,"&lt;="&amp;$I$3,Results!$F:$F,"Positive",Results!$G:$G,"Indeterminate", Results!$H:$H,"&lt;&gt;Not on Form", Results!$H:$H,"&lt;&gt;N/A")</f>
        <v>0</v>
      </c>
      <c r="G30" s="33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t="14.25" customHeight="1">
      <c r="A31" s="26"/>
      <c r="B31" s="28" t="s">
        <v>65</v>
      </c>
      <c r="C31" s="28">
        <f>COUNTIFS(Results!$E:$E,"&gt;="&amp;$I$2,Results!$E:$E,"&lt;="&amp;$I$3,Results!$F:$F,"Trace",Results!$G:$G,"Indeterminate",Results!$H:$H,"Positive")</f>
        <v>0</v>
      </c>
      <c r="D31" s="28">
        <f>COUNTIFS(Results!$E:$E,"&gt;="&amp;$I$2,Results!$E:$E,"&lt;="&amp;$I$3,Results!$F:$F,"Trace",Results!$G:$G,"Indeterminate",Results!$H:$H,"Negative")</f>
        <v>0</v>
      </c>
      <c r="E31" s="28">
        <f>COUNTIFS(Results!$E:$E,"&gt;="&amp;$I$2,Results!$E:$E,"&lt;="&amp;$I$3,Results!$F:$F,"Trace",Results!$G:$G,"Indeterminate",Results!$H:$H,"Unknown")</f>
        <v>0</v>
      </c>
      <c r="F31" s="28">
        <f>COUNTIFS(Results!$E:$E,"&gt;="&amp;$I$2,Results!$E:$E,"&lt;="&amp;$I$3,Results!$F:$F,"Trace",Results!$G:$G,"Indeterminate", Results!$H:$H,"&lt;&gt;Not on Form", Results!$H:$H,"&lt;&gt;N/A")</f>
        <v>0</v>
      </c>
      <c r="G31" s="33"/>
      <c r="I31" s="15" t="str">
        <f>IF(SUM(C31:E31)=F31,"","Check Total Value &amp; Category")</f>
        <v/>
      </c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t="14.25" customHeight="1">
      <c r="A32" s="15"/>
      <c r="B32" s="15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t="14.25" customHeight="1">
      <c r="A33" s="35" t="s">
        <v>69</v>
      </c>
      <c r="B33" s="36"/>
      <c r="C33" s="36"/>
      <c r="D33" s="36"/>
      <c r="E33" s="36"/>
      <c r="F33" s="36"/>
      <c r="G33" s="36"/>
      <c r="H33" s="36"/>
      <c r="I33" s="36"/>
      <c r="J33" s="36"/>
      <c r="K33" s="36"/>
      <c r="L33" s="36"/>
      <c r="M33" s="36"/>
      <c r="N33" s="36"/>
      <c r="O33" s="36"/>
      <c r="P33" s="36"/>
      <c r="Q33" s="36"/>
      <c r="R33" s="36"/>
      <c r="S33" s="36"/>
      <c r="T33" s="36"/>
      <c r="U33" s="36"/>
      <c r="V33" s="36"/>
      <c r="W33" s="36"/>
      <c r="X33" s="36"/>
      <c r="Y33" s="36"/>
      <c r="Z33" s="36"/>
    </row>
    <row r="34" ht="14.25" customHeight="1">
      <c r="A34" s="37"/>
      <c r="B34" s="37"/>
      <c r="C34" s="38" t="s">
        <v>70</v>
      </c>
      <c r="D34" s="38" t="s">
        <v>71</v>
      </c>
      <c r="E34" s="38" t="s">
        <v>72</v>
      </c>
      <c r="F34" s="38" t="s">
        <v>73</v>
      </c>
      <c r="G34" s="38" t="s">
        <v>74</v>
      </c>
      <c r="H34" s="39" t="s">
        <v>49</v>
      </c>
      <c r="I34" s="40"/>
      <c r="J34" s="40"/>
      <c r="K34" s="40"/>
      <c r="L34" s="40"/>
      <c r="M34" s="40"/>
      <c r="N34" s="40"/>
      <c r="O34" s="40"/>
      <c r="P34" s="40"/>
      <c r="Q34" s="40"/>
      <c r="R34" s="40"/>
      <c r="S34" s="40"/>
      <c r="T34" s="40"/>
      <c r="U34" s="40"/>
      <c r="V34" s="40"/>
      <c r="W34" s="40"/>
      <c r="X34" s="40"/>
      <c r="Y34" s="40"/>
      <c r="Z34" s="40"/>
    </row>
    <row r="35" ht="14.25" customHeight="1">
      <c r="A35" s="41" t="s">
        <v>60</v>
      </c>
      <c r="B35" s="42" t="s">
        <v>61</v>
      </c>
      <c r="C35" s="43">
        <f>COUNTIFS(Results!$E:$E,"&gt;="&amp;$I$2,Results!$E:$E,"&lt;="&amp;$I$3,Results!$F:$F,"Negative",Results!$S:$S,"*DX*")</f>
        <v>0</v>
      </c>
      <c r="D35" s="43">
        <f>COUNTIFS(Results!$E:$E,"&gt;="&amp;$I$2,Results!$E:$E,"&lt;="&amp;$I$3,Results!$F:$F,"Negative",Results!$S:$S,"*fu*")</f>
        <v>0</v>
      </c>
      <c r="E35" s="43">
        <f>COUNTIFS(Results!$E:$E,"&gt;="&amp;$I$2,Results!$E:$E,"&lt;="&amp;$I$3,Results!$F:$F,"Negative",Results!$S:$S,"*mdr*")</f>
        <v>0</v>
      </c>
      <c r="F35" s="43">
        <f>COUNTIFS(Results!$E:$E,"&gt;="&amp;$I$2,Results!$E:$E,"&lt;="&amp;$I$3,Results!$F:$F,"Negative",Results!$S:$S,"*dm*")</f>
        <v>0</v>
      </c>
      <c r="G35" s="43">
        <f>COUNTIFS(Results!$E:$E,"&gt;="&amp;$I$2,Results!$E:$E,"&lt;="&amp;$I$3,Results!$F:$F,"Negative",Results!$S:$S,"*na*")</f>
        <v>0</v>
      </c>
      <c r="H35" s="43">
        <f>COUNTIFS(Results!$E:$E,"&gt;="&amp;$I$2,Results!$E:$E,"&lt;="&amp;$I$3,Results!$F:$F,"Negative", Results!$O:$O,"&lt;&gt;Not on Form", Results!$O:$O,"&lt;&gt;N/A")</f>
        <v>0</v>
      </c>
      <c r="I35" s="40"/>
      <c r="J35" s="40"/>
      <c r="K35" s="40"/>
      <c r="L35" s="40"/>
      <c r="M35" s="40"/>
      <c r="N35" s="40"/>
      <c r="O35" s="40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</row>
    <row r="36" ht="14.25" customHeight="1">
      <c r="A36" s="32"/>
      <c r="B36" s="42" t="s">
        <v>62</v>
      </c>
      <c r="C36" s="43">
        <f>COUNTIFS(Results!$E:$E,"&gt;="&amp;$I$2,Results!$E:$E,"&lt;="&amp;$I$3,Results!$F:$F,"Positive",Results!$G:$G,"Negative",Results!$S:$S,"*DX*")</f>
        <v>0</v>
      </c>
      <c r="D36" s="43">
        <f>COUNTIFS(Results!$E:$E,"&gt;="&amp;$I$2,Results!$E:$E,"&lt;="&amp;$I$3,Results!$F:$F,"Positive",Results!$G:$G,"Negative",Results!$S:$S,"*fu*")</f>
        <v>0</v>
      </c>
      <c r="E36" s="43">
        <f>COUNTIFS(Results!$E:$E,"&gt;="&amp;$I$2,Results!$E:$E,"&lt;="&amp;$I$3,Results!$F:$F,"Positive",Results!$G:$G,"Negative",Results!$S:$S,"*mdr*")</f>
        <v>0</v>
      </c>
      <c r="F36" s="43">
        <f>COUNTIFS(Results!$E:$E,"&gt;="&amp;$I$2,Results!$E:$E,"&lt;="&amp;$I$3,Results!$F:$F,"Positive",Results!$G:$G,"Negative",Results!$S:$S,"*Dm*")</f>
        <v>0</v>
      </c>
      <c r="G36" s="43">
        <f>COUNTIFS(Results!$E:$E,"&gt;="&amp;$I$2,Results!$E:$E,"&lt;="&amp;$I$3,Results!$F:$F,"Positive",Results!$G:$G,"Negative",Results!$S:$S,"*na*")</f>
        <v>0</v>
      </c>
      <c r="H36" s="43">
        <f>COUNTIFS(Results!$E:$E,"&gt;="&amp;$I$2,Results!$E:$E,"&lt;="&amp;$I$3,Results!$F:$F,"Positive",Results!$G:$G,"Negative", Results!$O:$O,"&lt;&gt;Not on Form", Results!$O:$O,"&lt;&gt;N/A")</f>
        <v>0</v>
      </c>
      <c r="I36" s="40"/>
      <c r="J36" s="40"/>
      <c r="K36" s="40"/>
      <c r="L36" s="40"/>
      <c r="M36" s="40"/>
      <c r="N36" s="40"/>
      <c r="O36" s="40"/>
      <c r="P36" s="40"/>
      <c r="Q36" s="40"/>
      <c r="R36" s="40"/>
      <c r="S36" s="40"/>
      <c r="T36" s="40"/>
      <c r="U36" s="40"/>
      <c r="V36" s="40"/>
      <c r="W36" s="40"/>
      <c r="X36" s="40"/>
      <c r="Y36" s="40"/>
      <c r="Z36" s="40"/>
    </row>
    <row r="37" ht="14.25" customHeight="1">
      <c r="A37" s="32"/>
      <c r="B37" s="42" t="s">
        <v>63</v>
      </c>
      <c r="C37" s="43">
        <f>COUNTIFS(Results!$E:$E,"&gt;="&amp;$I$2,Results!$E:$E,"&lt;="&amp;$I$3,Results!$F:$F,"Positive",Results!$G:$G,"Positive",Results!$S:$S,"*DX*")</f>
        <v>0</v>
      </c>
      <c r="D37" s="43">
        <f>COUNTIFS(Results!$E:$E,"&gt;="&amp;$I$2,Results!$E:$E,"&lt;="&amp;$I$3,Results!$F:$F,"Positive",Results!$G:$G,"Positive",Results!$S:$S,"*fu*")</f>
        <v>0</v>
      </c>
      <c r="E37" s="43">
        <f>COUNTIFS(Results!$E:$E,"&gt;="&amp;$I$2,Results!$E:$E,"&lt;="&amp;$I$3,Results!$F:$F,"Positive",Results!$G:$G,"Positive",Results!$S:$S,"*mdr*")</f>
        <v>0</v>
      </c>
      <c r="F37" s="43">
        <f>COUNTIFS(Results!$E:$E,"&gt;="&amp;$I$2,Results!$E:$E,"&lt;="&amp;$I$3,Results!$F:$F,"Positive",Results!$G:$G,"Positive",Results!$S:$S,"*dm*")</f>
        <v>0</v>
      </c>
      <c r="G37" s="43">
        <f>COUNTIFS(Results!$E:$E,"&gt;="&amp;$I$2,Results!$E:$E,"&lt;="&amp;$I$3,Results!$F:$F,"Positive",Results!$G:$G,"Positive",Results!$S:$S,"*na*")</f>
        <v>0</v>
      </c>
      <c r="H37" s="43">
        <f>COUNTIFS(Results!$E:$E,"&gt;="&amp;$I$2,Results!$E:$E,"&lt;="&amp;$I$3,Results!$F:$F,"Positive",Results!$G:$G,"Positive", Results!$O:$O,"&lt;&gt;Not on Form", Results!$O:$O,"&lt;&gt;N/A")</f>
        <v>0</v>
      </c>
      <c r="I37" s="40"/>
      <c r="J37" s="40"/>
      <c r="K37" s="40"/>
      <c r="L37" s="40"/>
      <c r="M37" s="40"/>
      <c r="N37" s="40"/>
      <c r="O37" s="40"/>
      <c r="P37" s="40"/>
      <c r="Q37" s="40"/>
      <c r="R37" s="40"/>
      <c r="S37" s="40"/>
      <c r="T37" s="40"/>
      <c r="U37" s="40"/>
      <c r="V37" s="40"/>
      <c r="W37" s="40"/>
      <c r="X37" s="40"/>
      <c r="Y37" s="40"/>
      <c r="Z37" s="40"/>
    </row>
    <row r="38" ht="14.25" customHeight="1">
      <c r="A38" s="32"/>
      <c r="B38" s="42" t="s">
        <v>64</v>
      </c>
      <c r="C38" s="43">
        <f>COUNTIFS(Results!$E:$E,"&gt;="&amp;$I$2,Results!$E:$E,"&lt;="&amp;$I$3,Results!$F:$F,"Positive",Results!$G:$G,"Indeterminate",Results!$S:$S,"*DX*")</f>
        <v>0</v>
      </c>
      <c r="D38" s="43">
        <f>COUNTIFS(Results!$E:$E,"&gt;="&amp;$I$2,Results!$E:$E,"&lt;="&amp;$I$3,Results!$F:$F,"Positive",Results!$G:$G,"Indeterminate",Results!$S:$S,"*fu*")</f>
        <v>0</v>
      </c>
      <c r="E38" s="43">
        <f>COUNTIFS(Results!$E:$E,"&gt;="&amp;$I$2,Results!$E:$E,"&lt;="&amp;$I$3,Results!$F:$F,"Positive",Results!$G:$G,"Indeterminate",Results!$S:$S,"*mdr*")</f>
        <v>0</v>
      </c>
      <c r="F38" s="43">
        <f>COUNTIFS(Results!$E:$E,"&gt;="&amp;$I$2,Results!$E:$E,"&lt;="&amp;$I$3,Results!$F:$F,"Positive",Results!$G:$G,"Indeterminate",Results!$S:$S,"*dm*")</f>
        <v>0</v>
      </c>
      <c r="G38" s="43">
        <f>COUNTIFS(Results!$E:$E,"&gt;="&amp;$I$2,Results!$E:$E,"&lt;="&amp;$I$3,Results!$F:$F,"Positive",Results!$G:$G,"Indeterminate",Results!$S:$S,"*na*")</f>
        <v>0</v>
      </c>
      <c r="H38" s="43">
        <f>COUNTIFS(Results!$E:$E,"&gt;="&amp;$I$2,Results!$E:$E,"&lt;="&amp;$I$3,Results!$F:$F,"Positive",Results!$G:$G,"Indeterminate", Results!$O:$O,"&lt;&gt;Not on Form", Results!$O:$O,"&lt;&gt;N/A")</f>
        <v>0</v>
      </c>
      <c r="I38" s="40"/>
      <c r="J38" s="40"/>
      <c r="K38" s="40"/>
      <c r="L38" s="40"/>
      <c r="M38" s="40"/>
      <c r="N38" s="40"/>
      <c r="O38" s="40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</row>
    <row r="39" ht="14.25" customHeight="1">
      <c r="A39" s="26"/>
      <c r="B39" s="42" t="s">
        <v>75</v>
      </c>
      <c r="C39" s="43">
        <f>COUNTIFS(Results!$E:$E,"&gt;="&amp;$I$2,Results!$E:$E,"&lt;="&amp;$I$3,Results!$F:$F,"Trace",Results!$G:$G,"Indeterminate",Results!$S:$S,"*DX*")</f>
        <v>0</v>
      </c>
      <c r="D39" s="43">
        <f>COUNTIFS(Results!$E:$E,"&gt;="&amp;$I$2,Results!$E:$E,"&lt;="&amp;$I$3,Results!$F:$F,"Trace",Results!$G:$G,"Indeterminate",Results!$S:$S,"*fu*")</f>
        <v>0</v>
      </c>
      <c r="E39" s="43">
        <f>COUNTIFS(Results!$E:$E,"&gt;="&amp;$I$2,Results!$E:$E,"&lt;="&amp;$I$3,Results!$F:$F,"Trace",Results!$G:$G,"Indeterminate",Results!$S:$S,"*mdr*")</f>
        <v>0</v>
      </c>
      <c r="F39" s="43">
        <f>COUNTIFS(Results!$E:$E,"&gt;="&amp;$I$2,Results!$E:$E,"&lt;="&amp;$I$3,Results!$F:$F,"Trace",Results!$G:$G,"Indeterminate",Results!$S:$S,"*dm*")</f>
        <v>0</v>
      </c>
      <c r="G39" s="43">
        <f>COUNTIFS(Results!$E:$E,"&gt;="&amp;$I$2,Results!$E:$E,"&lt;="&amp;$I$3,Results!$F:$F,"Trace",Results!$G:$G,"Indeterminate",Results!$S:$S,"*na*")</f>
        <v>0</v>
      </c>
      <c r="H39" s="43">
        <f>COUNTIFS(Results!$E:$E,"&gt;="&amp;$I$2,Results!$E:$E,"&lt;="&amp;$I$3,Results!$F:$F,"Trace",Results!$G:$G,"Indeterminate", Results!$O:$O,"&lt;&gt;Not on Form", Results!$O:$O,"&lt;&gt;N/A")</f>
        <v>0</v>
      </c>
      <c r="I39" s="40"/>
      <c r="J39" s="40"/>
      <c r="K39" s="40"/>
      <c r="L39" s="40"/>
      <c r="M39" s="40"/>
      <c r="N39" s="40"/>
      <c r="O39" s="40"/>
      <c r="P39" s="40"/>
      <c r="Q39" s="40"/>
      <c r="R39" s="40"/>
      <c r="S39" s="40"/>
      <c r="T39" s="40"/>
      <c r="U39" s="40"/>
      <c r="V39" s="40"/>
      <c r="W39" s="40"/>
      <c r="X39" s="40"/>
      <c r="Y39" s="40"/>
      <c r="Z39" s="40"/>
    </row>
    <row r="40" ht="14.25" customHeight="1">
      <c r="A40" s="15"/>
      <c r="B40" s="15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t="14.25" customHeight="1">
      <c r="A41" s="15"/>
      <c r="B41" s="15"/>
      <c r="C41" s="23" t="s">
        <v>47</v>
      </c>
      <c r="D41" s="24"/>
      <c r="E41" s="23" t="s">
        <v>48</v>
      </c>
      <c r="F41" s="24"/>
      <c r="G41" s="22" t="s">
        <v>49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t="14.25" customHeight="1">
      <c r="A42" s="28" t="s">
        <v>76</v>
      </c>
      <c r="B42" s="28"/>
      <c r="C42" s="23">
        <f>COUNTIFS(Results!$E:$E,"&gt;="&amp;$I$2,Results!$E:$E,"&lt;="&amp;$I$3,Results!$I:$I,"Male",Results!$F:$F,"Positive",Results!$G:$G,"Positive")</f>
        <v>0</v>
      </c>
      <c r="D42" s="24"/>
      <c r="E42" s="23">
        <f>COUNTIFS(Results!$E:$E,"&gt;="&amp;$I$2,Results!$E:$E,"&lt;="&amp;$I$3,Results!$I:$I,"Female",Results!$F:$F,"Positive",Results!$G:$G,"Positive")</f>
        <v>0</v>
      </c>
      <c r="F42" s="24"/>
      <c r="G42" s="28">
        <f>COUNTIFS(Results!$E:$E,"&gt;="&amp;$I$2,Results!$E:$E,"&lt;="&amp;$I$3,Results!$F:$F,"Positive",Results!$G:$G,"Positive", Results!$I:$I,"&lt;&gt;Not on Form", Results!$I:$I,"&lt;&gt;N/A")</f>
        <v>0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t="14.25" customHeight="1">
      <c r="A43" s="15"/>
      <c r="B43" s="15"/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t="14.25" customHeight="1">
      <c r="A44" s="15" t="s">
        <v>77</v>
      </c>
      <c r="B44" s="15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t="14.25" customHeight="1">
      <c r="A45" s="28"/>
      <c r="B45" s="28"/>
      <c r="C45" s="23" t="s">
        <v>78</v>
      </c>
      <c r="D45" s="24"/>
      <c r="E45" s="23" t="s">
        <v>79</v>
      </c>
      <c r="F45" s="24"/>
      <c r="G45" s="28" t="s">
        <v>49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t="14.25" customHeight="1">
      <c r="A46" s="44" t="s">
        <v>80</v>
      </c>
      <c r="B46" s="45"/>
      <c r="C46" s="23">
        <f>COUNTIFS(Results!$E:$E,"&gt;="&amp;$I$2,Results!$E:$E,"&lt;="&amp;$I$3,Results!$F:$F,"Positive",Results!$L:$L,"Positive")</f>
        <v>0</v>
      </c>
      <c r="D46" s="24"/>
      <c r="E46" s="23">
        <f>COUNTIFS(Results!$E:$E,"&gt;="&amp;$I$2,Results!$E:$E,"&lt;="&amp;$I$3,Results!$F:$F,"Negative",Results!$L:$L,"Positive")</f>
        <v>0</v>
      </c>
      <c r="F46" s="24"/>
      <c r="G46" s="28">
        <f>COUNTIFS(Results!$E:$E,"&gt;="&amp;$I$2,Results!$E:$E,"&lt;="&amp;$I$3,Results!$L:$L,"Positive", Results!$F:$F,"*tive", Results!$L:$L,"&lt;&gt;Not on Form", Results!$L:$L,"&lt;&gt;N/A")</f>
        <v>0</v>
      </c>
      <c r="H46" s="31" t="s">
        <v>81</v>
      </c>
      <c r="J46" s="15" t="str">
        <f t="shared" ref="J46:J48" si="3">IF(SUM(C46:F46)=G46,"","Check Total Value &amp; Category")</f>
        <v/>
      </c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t="14.25" customHeight="1">
      <c r="A47" s="44" t="s">
        <v>82</v>
      </c>
      <c r="B47" s="45"/>
      <c r="C47" s="23">
        <f>COUNTIFS(Results!$E:$E,"&gt;="&amp;$I$2,Results!$E:$E,"&lt;="&amp;$I$3,Results!$F:$F,"Positive",Results!$L:$L,"Negative")</f>
        <v>0</v>
      </c>
      <c r="D47" s="24"/>
      <c r="E47" s="23">
        <f>COUNTIFS(Results!$E:$E,"&gt;="&amp;$I$2,Results!$E:$E,"&lt;="&amp;$I$3,Results!$F:$F,"Negative",Results!$L:$L,"Negative")</f>
        <v>0</v>
      </c>
      <c r="F47" s="24"/>
      <c r="G47" s="28">
        <f>COUNTIFS(Results!$E:$E,"&gt;="&amp;$I$2,Results!$E:$E,"&lt;="&amp;$I$3,Results!$L:$L,"Negative", Results!$F:$F,"*tive", Results!$F:$F,"*tive", Results!$L:$L,"&lt;&gt;Not on Form", Results!$L:$L,"&lt;&gt;N/A")</f>
        <v>0</v>
      </c>
      <c r="H47" s="33"/>
      <c r="J47" s="15" t="str">
        <f t="shared" si="3"/>
        <v/>
      </c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t="14.25" customHeight="1">
      <c r="A48" s="44" t="s">
        <v>83</v>
      </c>
      <c r="B48" s="45"/>
      <c r="C48" s="23">
        <f>COUNTIFS(Results!$E:$E,"&gt;="&amp;$I$2,Results!$E:$E,"&lt;="&amp;$I$3,Results!$F:$F,"Positive",Results!$L:$L,"Not Done")</f>
        <v>0</v>
      </c>
      <c r="D48" s="24"/>
      <c r="E48" s="23">
        <f>COUNTIFS(Results!$E:$E,"&gt;="&amp;$I$2,Results!$E:$E,"&lt;="&amp;$I$3,Results!$F:$F,"Negative",Results!$L:$L,"Not Done")</f>
        <v>0</v>
      </c>
      <c r="F48" s="24"/>
      <c r="G48" s="28">
        <f>COUNTIFS(Results!$E:$E,"&gt;="&amp;$I$2,Results!$E:$E,"&lt;="&amp;$I$3,Results!$L:$L,"Not Done", Results!$F:$F,"*tive", Results!$F:$F,"*tive", Results!$L:$L,"&lt;&gt;Not on Form", Results!$L:$L,"&lt;&gt;N/A")</f>
        <v>0</v>
      </c>
      <c r="H48" s="33"/>
      <c r="J48" s="15" t="str">
        <f t="shared" si="3"/>
        <v/>
      </c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t="14.25" customHeight="1">
      <c r="A49" s="15"/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t="14.25" customHeight="1">
      <c r="A50" s="36"/>
      <c r="B50" s="36"/>
      <c r="C50" s="46" t="s">
        <v>78</v>
      </c>
      <c r="D50" s="24"/>
      <c r="E50" s="46" t="s">
        <v>79</v>
      </c>
      <c r="F50" s="24"/>
      <c r="G50" s="47" t="s">
        <v>49</v>
      </c>
      <c r="H50" s="36"/>
      <c r="I50" s="36"/>
      <c r="J50" s="36"/>
      <c r="K50" s="36"/>
      <c r="L50" s="36"/>
      <c r="M50" s="36"/>
      <c r="N50" s="36"/>
      <c r="O50" s="36"/>
      <c r="P50" s="36"/>
      <c r="Q50" s="36"/>
      <c r="R50" s="36"/>
      <c r="S50" s="36"/>
      <c r="T50" s="36"/>
      <c r="U50" s="36"/>
      <c r="V50" s="36"/>
      <c r="W50" s="36"/>
      <c r="X50" s="36"/>
      <c r="Y50" s="36"/>
      <c r="Z50" s="36"/>
    </row>
    <row r="51" ht="14.25" customHeight="1">
      <c r="A51" s="42" t="s">
        <v>84</v>
      </c>
      <c r="B51" s="37"/>
      <c r="C51" s="48">
        <f>COUNTIFS(Results!$E:$E,"&gt;="&amp;$I$2,Results!$E:$E,"&lt;="&amp;$I$3,Results!$F:$F,"Positive",Results!$P:$P,"CXR")</f>
        <v>0</v>
      </c>
      <c r="D51" s="24"/>
      <c r="E51" s="48">
        <f>COUNTIFS(Results!$E:$E,"&gt;="&amp;$I$2,Results!$E:$E,"&lt;="&amp;$I$3,Results!$F:$F,"Negative",Results!$P:$P,"CXR")</f>
        <v>0</v>
      </c>
      <c r="F51" s="24"/>
      <c r="G51" s="49">
        <f>COUNTIFS(Results!$E:$E,"&gt;="&amp;$I$2,Results!$E:$E,"&lt;="&amp;$I$3,Results!$F:$F,"Negative",Results!$P:$P,"CXR")</f>
        <v>0</v>
      </c>
      <c r="H51" s="40"/>
      <c r="I51" s="40"/>
      <c r="J51" s="40"/>
      <c r="K51" s="40"/>
      <c r="L51" s="40"/>
      <c r="M51" s="40"/>
      <c r="N51" s="40"/>
      <c r="O51" s="40"/>
      <c r="P51" s="40"/>
      <c r="Q51" s="40"/>
      <c r="R51" s="40"/>
      <c r="S51" s="40"/>
      <c r="T51" s="40"/>
      <c r="U51" s="40"/>
      <c r="V51" s="40"/>
      <c r="W51" s="40"/>
      <c r="X51" s="40"/>
      <c r="Y51" s="40"/>
      <c r="Z51" s="40"/>
    </row>
    <row r="52" ht="14.25" customHeight="1">
      <c r="A52" s="15"/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t="14.25" customHeight="1">
      <c r="A53" s="15" t="s">
        <v>85</v>
      </c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t="14.25" customHeight="1">
      <c r="A54" s="28"/>
      <c r="B54" s="28"/>
      <c r="C54" s="23" t="s">
        <v>86</v>
      </c>
      <c r="D54" s="24"/>
      <c r="E54" s="23" t="s">
        <v>87</v>
      </c>
      <c r="F54" s="24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t="14.25" customHeight="1">
      <c r="A55" s="44" t="s">
        <v>88</v>
      </c>
      <c r="B55" s="45"/>
      <c r="C55" s="23"/>
      <c r="D55" s="24"/>
      <c r="E55" s="23"/>
      <c r="F55" s="24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t="14.25" customHeight="1">
      <c r="A56" s="44" t="s">
        <v>89</v>
      </c>
      <c r="B56" s="45"/>
      <c r="C56" s="23"/>
      <c r="D56" s="24"/>
      <c r="E56" s="23"/>
      <c r="F56" s="24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t="14.25" customHeight="1">
      <c r="A57" s="44" t="s">
        <v>90</v>
      </c>
      <c r="B57" s="45"/>
      <c r="C57" s="23">
        <f>COUNTIFS(Results!$E:$E,"&gt;="&amp;$I$2,Results!$E:$E,"&lt;="&amp;$I$3)</f>
        <v>0</v>
      </c>
      <c r="D57" s="24"/>
      <c r="E57" s="23"/>
      <c r="F57" s="24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t="14.25" customHeight="1">
      <c r="A58" s="44" t="s">
        <v>91</v>
      </c>
      <c r="B58" s="45"/>
      <c r="C58" s="23">
        <f>C55+C56-C57</f>
        <v>0</v>
      </c>
      <c r="D58" s="24"/>
      <c r="E58" s="23"/>
      <c r="F58" s="24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t="14.25" customHeight="1">
      <c r="A59" s="50" t="s">
        <v>92</v>
      </c>
      <c r="B59" s="50"/>
      <c r="C59" s="50">
        <f>COUNTIFS(Results!$E:$E,"&gt;="&amp;$I$2,Results!$E:$E,"&lt;="&amp;$I$3,Results!$F:$F,"Error")+COUNTIFS(Results!$E:$E,"&gt;="&amp;$I$2,Results!$E:$E,"&lt;="&amp;$I$3,Results!$F:$F,"Invalid")</f>
        <v>0</v>
      </c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t="14.25" customHeight="1">
      <c r="A60" s="50" t="s">
        <v>93</v>
      </c>
      <c r="B60" s="15"/>
      <c r="C60" s="50">
        <f>COUNTIFS(Results!$E:$E,"&gt;="&amp;$I$2,Results!$E:$E,"&lt;="&amp;$I$3,Results!$F:$F,"No Result")</f>
        <v>0</v>
      </c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t="14.25" customHeight="1">
      <c r="A61" s="15"/>
      <c r="B61" s="15"/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t="14.25" customHeight="1">
      <c r="A62" s="15"/>
      <c r="B62" s="15"/>
      <c r="C62" s="15"/>
      <c r="D62" s="15"/>
      <c r="E62" s="15" t="s">
        <v>94</v>
      </c>
      <c r="F62" s="51"/>
      <c r="G62" s="51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t="14.25" customHeight="1">
      <c r="A63" s="15"/>
      <c r="B63" s="15"/>
      <c r="C63" s="15"/>
      <c r="D63" s="15"/>
      <c r="E63" s="15" t="s">
        <v>95</v>
      </c>
      <c r="F63" s="52"/>
      <c r="G63" s="52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t="14.25" customHeight="1">
      <c r="A64" s="15"/>
      <c r="B64" s="15"/>
      <c r="C64" s="15"/>
      <c r="D64" s="15"/>
      <c r="E64" s="15" t="s">
        <v>96</v>
      </c>
      <c r="F64" s="52"/>
      <c r="G64" s="52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t="14.25" customHeight="1">
      <c r="A65" s="15"/>
      <c r="B65" s="15"/>
      <c r="C65" s="15"/>
      <c r="D65" s="15"/>
      <c r="E65" s="15" t="s">
        <v>97</v>
      </c>
      <c r="F65" s="52"/>
      <c r="G65" s="52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t="14.25" customHeight="1">
      <c r="A66" s="15"/>
      <c r="B66" s="15"/>
      <c r="C66" s="15"/>
      <c r="D66" s="15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t="14.25" customHeight="1">
      <c r="A67" s="15"/>
      <c r="B67" s="15"/>
      <c r="C67" s="15"/>
      <c r="D67" s="15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t="14.25" customHeight="1">
      <c r="A68" s="15"/>
      <c r="B68" s="15"/>
      <c r="C68" s="15"/>
      <c r="D68" s="15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t="14.25" customHeight="1">
      <c r="A69" s="15"/>
      <c r="B69" s="15"/>
      <c r="C69" s="15"/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t="14.25" customHeight="1">
      <c r="A70" s="15"/>
      <c r="B70" s="15"/>
      <c r="C70" s="15"/>
      <c r="D70" s="15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t="14.25" customHeight="1">
      <c r="A71" s="15"/>
      <c r="B71" s="15"/>
      <c r="C71" s="15"/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t="14.25" customHeight="1">
      <c r="A72" s="15"/>
      <c r="B72" s="15"/>
      <c r="C72" s="15"/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t="14.25" customHeight="1">
      <c r="A73" s="15"/>
      <c r="B73" s="15"/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t="14.25" customHeight="1">
      <c r="A74" s="15"/>
      <c r="B74" s="15"/>
      <c r="C74" s="15"/>
      <c r="D74" s="15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t="14.25" customHeight="1">
      <c r="A75" s="15"/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t="14.25" customHeight="1">
      <c r="A76" s="15"/>
      <c r="B76" s="15"/>
      <c r="C76" s="15"/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t="14.25" customHeight="1">
      <c r="A77" s="15"/>
      <c r="B77" s="15"/>
      <c r="C77" s="15"/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t="14.25" customHeight="1">
      <c r="A78" s="15"/>
      <c r="B78" s="15"/>
      <c r="C78" s="15"/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t="14.25" customHeight="1">
      <c r="A79" s="15"/>
      <c r="B79" s="15"/>
      <c r="C79" s="15"/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t="14.25" customHeight="1">
      <c r="A80" s="15"/>
      <c r="B80" s="15"/>
      <c r="C80" s="15"/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t="14.25" customHeight="1">
      <c r="A81" s="15"/>
      <c r="B81" s="15"/>
      <c r="C81" s="15"/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t="14.25" customHeight="1">
      <c r="A82" s="15"/>
      <c r="B82" s="15"/>
      <c r="C82" s="15"/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t="14.25" customHeight="1">
      <c r="A83" s="15"/>
      <c r="B83" s="15"/>
      <c r="C83" s="15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t="14.25" customHeight="1">
      <c r="A84" s="15"/>
      <c r="B84" s="15"/>
      <c r="C84" s="15"/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t="14.25" customHeight="1">
      <c r="A85" s="15"/>
      <c r="B85" s="15"/>
      <c r="C85" s="15"/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t="14.25" customHeight="1">
      <c r="A86" s="15"/>
      <c r="B86" s="15"/>
      <c r="C86" s="15"/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t="14.25" customHeight="1">
      <c r="A87" s="15"/>
      <c r="B87" s="15"/>
      <c r="C87" s="15"/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t="14.25" customHeight="1">
      <c r="A88" s="15"/>
      <c r="B88" s="15"/>
      <c r="C88" s="15"/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t="14.25" customHeight="1">
      <c r="A89" s="15"/>
      <c r="B89" s="15"/>
      <c r="C89" s="15"/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t="14.25" customHeight="1">
      <c r="A90" s="15"/>
      <c r="B90" s="15"/>
      <c r="C90" s="15"/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t="14.25" customHeight="1">
      <c r="A91" s="15"/>
      <c r="B91" s="15"/>
      <c r="C91" s="15"/>
      <c r="D91" s="15"/>
      <c r="E91" s="15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t="14.25" customHeight="1">
      <c r="A92" s="15"/>
      <c r="B92" s="15"/>
      <c r="C92" s="15"/>
      <c r="D92" s="15"/>
      <c r="E92" s="15"/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t="14.25" customHeight="1">
      <c r="A93" s="15"/>
      <c r="B93" s="15"/>
      <c r="C93" s="15"/>
      <c r="D93" s="15"/>
      <c r="E93" s="15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t="14.25" customHeight="1">
      <c r="A94" s="15"/>
      <c r="B94" s="15"/>
      <c r="C94" s="15"/>
      <c r="D94" s="15"/>
      <c r="E94" s="15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t="14.25" customHeight="1">
      <c r="A95" s="15"/>
      <c r="B95" s="15"/>
      <c r="C95" s="15"/>
      <c r="D95" s="15"/>
      <c r="E95" s="15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t="14.25" customHeight="1">
      <c r="A96" s="15"/>
      <c r="B96" s="15"/>
      <c r="C96" s="15"/>
      <c r="D96" s="15"/>
      <c r="E96" s="15"/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t="14.25" customHeight="1">
      <c r="A97" s="15"/>
      <c r="B97" s="15"/>
      <c r="C97" s="15"/>
      <c r="D97" s="15"/>
      <c r="E97" s="15"/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t="14.25" customHeight="1">
      <c r="A98" s="15"/>
      <c r="B98" s="15"/>
      <c r="C98" s="15"/>
      <c r="D98" s="15"/>
      <c r="E98" s="15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t="14.25" customHeight="1">
      <c r="A99" s="15"/>
      <c r="B99" s="15"/>
      <c r="C99" s="15"/>
      <c r="D99" s="15"/>
      <c r="E99" s="15"/>
      <c r="F99" s="15"/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t="14.25" customHeight="1">
      <c r="A100" s="15"/>
      <c r="B100" s="15"/>
      <c r="C100" s="15"/>
      <c r="D100" s="15"/>
      <c r="E100" s="15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t="14.25" customHeight="1">
      <c r="A101" s="15"/>
      <c r="B101" s="15"/>
      <c r="C101" s="15"/>
      <c r="D101" s="15"/>
      <c r="E101" s="15"/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t="14.25" customHeight="1">
      <c r="A102" s="15"/>
      <c r="B102" s="15"/>
      <c r="C102" s="15"/>
      <c r="D102" s="15"/>
      <c r="E102" s="15"/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t="14.25" customHeight="1">
      <c r="A103" s="15"/>
      <c r="B103" s="15"/>
      <c r="C103" s="15"/>
      <c r="D103" s="15"/>
      <c r="E103" s="15"/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t="14.25" customHeight="1">
      <c r="A104" s="15"/>
      <c r="B104" s="15"/>
      <c r="C104" s="15"/>
      <c r="D104" s="15"/>
      <c r="E104" s="15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t="14.25" customHeight="1">
      <c r="A105" s="15"/>
      <c r="B105" s="15"/>
      <c r="C105" s="15"/>
      <c r="D105" s="15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t="14.25" customHeight="1">
      <c r="A106" s="15"/>
      <c r="B106" s="15"/>
      <c r="C106" s="15"/>
      <c r="D106" s="15"/>
      <c r="E106" s="15"/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t="14.25" customHeight="1">
      <c r="A107" s="15"/>
      <c r="B107" s="15"/>
      <c r="C107" s="15"/>
      <c r="D107" s="15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t="14.25" customHeight="1">
      <c r="A108" s="15"/>
      <c r="B108" s="15"/>
      <c r="C108" s="15"/>
      <c r="D108" s="15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t="14.25" customHeight="1">
      <c r="A109" s="15"/>
      <c r="B109" s="15"/>
      <c r="C109" s="15"/>
      <c r="D109" s="15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t="14.25" customHeight="1">
      <c r="A110" s="15"/>
      <c r="B110" s="15"/>
      <c r="C110" s="15"/>
      <c r="D110" s="15"/>
      <c r="E110" s="15"/>
      <c r="F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t="14.25" customHeight="1">
      <c r="A111" s="15"/>
      <c r="B111" s="15"/>
      <c r="C111" s="15"/>
      <c r="D111" s="15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t="14.25" customHeight="1">
      <c r="A112" s="15"/>
      <c r="B112" s="15"/>
      <c r="C112" s="15"/>
      <c r="D112" s="15"/>
      <c r="E112" s="15"/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t="14.25" customHeight="1">
      <c r="A113" s="15"/>
      <c r="B113" s="15"/>
      <c r="C113" s="15"/>
      <c r="D113" s="15"/>
      <c r="E113" s="15"/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t="14.25" customHeight="1">
      <c r="A114" s="15"/>
      <c r="B114" s="15"/>
      <c r="C114" s="15"/>
      <c r="D114" s="15"/>
      <c r="E114" s="15"/>
      <c r="F114" s="15"/>
      <c r="G114" s="15"/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t="14.25" customHeight="1">
      <c r="A115" s="15"/>
      <c r="B115" s="15"/>
      <c r="C115" s="15"/>
      <c r="D115" s="15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t="14.25" customHeight="1">
      <c r="A116" s="15"/>
      <c r="B116" s="15"/>
      <c r="C116" s="15"/>
      <c r="D116" s="15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t="14.25" customHeight="1">
      <c r="A117" s="15"/>
      <c r="B117" s="15"/>
      <c r="C117" s="15"/>
      <c r="D117" s="15"/>
      <c r="E117" s="15"/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t="14.25" customHeight="1">
      <c r="A118" s="15"/>
      <c r="B118" s="15"/>
      <c r="C118" s="15"/>
      <c r="D118" s="15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t="14.25" customHeight="1">
      <c r="A119" s="15"/>
      <c r="B119" s="15"/>
      <c r="C119" s="15"/>
      <c r="D119" s="15"/>
      <c r="E119" s="15"/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t="14.25" customHeight="1">
      <c r="A120" s="15"/>
      <c r="B120" s="15"/>
      <c r="C120" s="15"/>
      <c r="D120" s="15"/>
      <c r="E120" s="15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t="14.25" customHeight="1">
      <c r="A121" s="15"/>
      <c r="B121" s="15"/>
      <c r="C121" s="15"/>
      <c r="D121" s="15"/>
      <c r="E121" s="15"/>
      <c r="F121" s="15"/>
      <c r="G121" s="15"/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t="14.25" customHeight="1">
      <c r="A122" s="15"/>
      <c r="B122" s="15"/>
      <c r="C122" s="15"/>
      <c r="D122" s="15"/>
      <c r="E122" s="15"/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t="14.25" customHeight="1">
      <c r="A123" s="15"/>
      <c r="B123" s="15"/>
      <c r="C123" s="15"/>
      <c r="D123" s="15"/>
      <c r="E123" s="15"/>
      <c r="F123" s="15"/>
      <c r="G123" s="15"/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t="14.25" customHeight="1">
      <c r="A124" s="15"/>
      <c r="B124" s="15"/>
      <c r="C124" s="15"/>
      <c r="D124" s="15"/>
      <c r="E124" s="15"/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t="14.25" customHeight="1">
      <c r="A125" s="15"/>
      <c r="B125" s="15"/>
      <c r="C125" s="15"/>
      <c r="D125" s="15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t="14.25" customHeight="1">
      <c r="A126" s="15"/>
      <c r="B126" s="15"/>
      <c r="C126" s="15"/>
      <c r="D126" s="15"/>
      <c r="E126" s="15"/>
      <c r="F126" s="15"/>
      <c r="G126" s="15"/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t="14.25" customHeight="1">
      <c r="A127" s="15"/>
      <c r="B127" s="15"/>
      <c r="C127" s="15"/>
      <c r="D127" s="15"/>
      <c r="E127" s="15"/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t="14.25" customHeight="1">
      <c r="A128" s="15"/>
      <c r="B128" s="15"/>
      <c r="C128" s="15"/>
      <c r="D128" s="15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t="14.25" customHeight="1">
      <c r="A129" s="15"/>
      <c r="B129" s="15"/>
      <c r="C129" s="15"/>
      <c r="D129" s="15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t="14.25" customHeight="1">
      <c r="A130" s="15"/>
      <c r="B130" s="15"/>
      <c r="C130" s="15"/>
      <c r="D130" s="15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t="14.25" customHeight="1">
      <c r="A131" s="15"/>
      <c r="B131" s="15"/>
      <c r="C131" s="15"/>
      <c r="D131" s="15"/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t="14.25" customHeight="1">
      <c r="A132" s="15"/>
      <c r="B132" s="15"/>
      <c r="C132" s="15"/>
      <c r="D132" s="15"/>
      <c r="E132" s="15"/>
      <c r="F132" s="15"/>
      <c r="G132" s="15"/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t="14.25" customHeight="1">
      <c r="A133" s="15"/>
      <c r="B133" s="15"/>
      <c r="C133" s="15"/>
      <c r="D133" s="15"/>
      <c r="E133" s="15"/>
      <c r="F133" s="15"/>
      <c r="G133" s="15"/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t="14.25" customHeight="1">
      <c r="A134" s="15"/>
      <c r="B134" s="15"/>
      <c r="C134" s="15"/>
      <c r="D134" s="15"/>
      <c r="E134" s="15"/>
      <c r="F134" s="15"/>
      <c r="G134" s="15"/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t="14.25" customHeight="1">
      <c r="A135" s="15"/>
      <c r="B135" s="15"/>
      <c r="C135" s="15"/>
      <c r="D135" s="15"/>
      <c r="E135" s="15"/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t="14.25" customHeight="1">
      <c r="A136" s="15"/>
      <c r="B136" s="15"/>
      <c r="C136" s="15"/>
      <c r="D136" s="15"/>
      <c r="E136" s="15"/>
      <c r="F136" s="15"/>
      <c r="G136" s="15"/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t="14.25" customHeight="1">
      <c r="A137" s="15"/>
      <c r="B137" s="15"/>
      <c r="C137" s="15"/>
      <c r="D137" s="15"/>
      <c r="E137" s="15"/>
      <c r="F137" s="15"/>
      <c r="G137" s="15"/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t="14.25" customHeight="1">
      <c r="A138" s="15"/>
      <c r="B138" s="15"/>
      <c r="C138" s="15"/>
      <c r="D138" s="15"/>
      <c r="E138" s="15"/>
      <c r="F138" s="15"/>
      <c r="G138" s="15"/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t="14.25" customHeight="1">
      <c r="A139" s="15"/>
      <c r="B139" s="15"/>
      <c r="C139" s="15"/>
      <c r="D139" s="15"/>
      <c r="E139" s="15"/>
      <c r="F139" s="15"/>
      <c r="G139" s="15"/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t="14.25" customHeight="1">
      <c r="A140" s="15"/>
      <c r="B140" s="15"/>
      <c r="C140" s="15"/>
      <c r="D140" s="15"/>
      <c r="E140" s="15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t="14.25" customHeight="1">
      <c r="A141" s="15"/>
      <c r="B141" s="15"/>
      <c r="C141" s="15"/>
      <c r="D141" s="15"/>
      <c r="E141" s="15"/>
      <c r="F141" s="15"/>
      <c r="G141" s="15"/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t="14.25" customHeight="1">
      <c r="A142" s="15"/>
      <c r="B142" s="15"/>
      <c r="C142" s="15"/>
      <c r="D142" s="15"/>
      <c r="E142" s="15"/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t="14.25" customHeight="1">
      <c r="A143" s="15"/>
      <c r="B143" s="15"/>
      <c r="C143" s="15"/>
      <c r="D143" s="15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t="14.25" customHeight="1">
      <c r="A144" s="15"/>
      <c r="B144" s="15"/>
      <c r="C144" s="15"/>
      <c r="D144" s="15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t="14.25" customHeight="1">
      <c r="A145" s="15"/>
      <c r="B145" s="15"/>
      <c r="C145" s="15"/>
      <c r="D145" s="15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t="14.25" customHeight="1">
      <c r="A146" s="15"/>
      <c r="B146" s="15"/>
      <c r="C146" s="15"/>
      <c r="D146" s="15"/>
      <c r="E146" s="15"/>
      <c r="F146" s="15"/>
      <c r="G146" s="15"/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t="14.25" customHeight="1">
      <c r="A147" s="15"/>
      <c r="B147" s="15"/>
      <c r="C147" s="15"/>
      <c r="D147" s="15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t="14.25" customHeight="1">
      <c r="A148" s="15"/>
      <c r="B148" s="15"/>
      <c r="C148" s="15"/>
      <c r="D148" s="15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t="14.25" customHeight="1">
      <c r="A149" s="15"/>
      <c r="B149" s="15"/>
      <c r="C149" s="15"/>
      <c r="D149" s="15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t="14.25" customHeight="1">
      <c r="A150" s="15"/>
      <c r="B150" s="15"/>
      <c r="C150" s="15"/>
      <c r="D150" s="15"/>
      <c r="E150" s="15"/>
      <c r="F150" s="15"/>
      <c r="G150" s="15"/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t="14.25" customHeight="1">
      <c r="A151" s="15"/>
      <c r="B151" s="15"/>
      <c r="C151" s="15"/>
      <c r="D151" s="15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t="14.25" customHeight="1">
      <c r="A152" s="15"/>
      <c r="B152" s="15"/>
      <c r="C152" s="15"/>
      <c r="D152" s="15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t="14.25" customHeight="1">
      <c r="A153" s="15"/>
      <c r="B153" s="15"/>
      <c r="C153" s="15"/>
      <c r="D153" s="15"/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t="14.25" customHeight="1">
      <c r="A154" s="15"/>
      <c r="B154" s="15"/>
      <c r="C154" s="15"/>
      <c r="D154" s="15"/>
      <c r="E154" s="15"/>
      <c r="F154" s="15"/>
      <c r="G154" s="15"/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t="14.25" customHeight="1">
      <c r="A155" s="15"/>
      <c r="B155" s="15"/>
      <c r="C155" s="15"/>
      <c r="D155" s="15"/>
      <c r="E155" s="15"/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t="14.25" customHeight="1">
      <c r="A156" s="15"/>
      <c r="B156" s="15"/>
      <c r="C156" s="15"/>
      <c r="D156" s="15"/>
      <c r="E156" s="15"/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t="14.25" customHeight="1">
      <c r="A157" s="15"/>
      <c r="B157" s="15"/>
      <c r="C157" s="15"/>
      <c r="D157" s="15"/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t="14.25" customHeight="1">
      <c r="A158" s="15"/>
      <c r="B158" s="15"/>
      <c r="C158" s="15"/>
      <c r="D158" s="15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t="14.25" customHeight="1">
      <c r="A159" s="15"/>
      <c r="B159" s="15"/>
      <c r="C159" s="15"/>
      <c r="D159" s="15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t="14.25" customHeight="1">
      <c r="A160" s="15"/>
      <c r="B160" s="15"/>
      <c r="C160" s="15"/>
      <c r="D160" s="15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t="14.25" customHeight="1">
      <c r="A161" s="15"/>
      <c r="B161" s="15"/>
      <c r="C161" s="15"/>
      <c r="D161" s="15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t="14.25" customHeight="1">
      <c r="A162" s="15"/>
      <c r="B162" s="15"/>
      <c r="C162" s="15"/>
      <c r="D162" s="15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t="14.25" customHeight="1">
      <c r="A163" s="15"/>
      <c r="B163" s="15"/>
      <c r="C163" s="15"/>
      <c r="D163" s="15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t="14.25" customHeight="1">
      <c r="A164" s="15"/>
      <c r="B164" s="15"/>
      <c r="C164" s="15"/>
      <c r="D164" s="15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t="14.25" customHeight="1">
      <c r="A165" s="15"/>
      <c r="B165" s="15"/>
      <c r="C165" s="15"/>
      <c r="D165" s="15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t="14.25" customHeight="1">
      <c r="A166" s="15"/>
      <c r="B166" s="15"/>
      <c r="C166" s="15"/>
      <c r="D166" s="15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t="14.25" customHeight="1">
      <c r="A167" s="15"/>
      <c r="B167" s="15"/>
      <c r="C167" s="15"/>
      <c r="D167" s="15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t="14.25" customHeight="1">
      <c r="A168" s="15"/>
      <c r="B168" s="15"/>
      <c r="C168" s="15"/>
      <c r="D168" s="15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t="14.25" customHeight="1">
      <c r="A169" s="15"/>
      <c r="B169" s="15"/>
      <c r="C169" s="15"/>
      <c r="D169" s="15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t="14.25" customHeight="1">
      <c r="A170" s="15"/>
      <c r="B170" s="15"/>
      <c r="C170" s="15"/>
      <c r="D170" s="15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t="14.25" customHeight="1">
      <c r="A171" s="15"/>
      <c r="B171" s="15"/>
      <c r="C171" s="15"/>
      <c r="D171" s="15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t="14.25" customHeight="1">
      <c r="A172" s="15"/>
      <c r="B172" s="15"/>
      <c r="C172" s="15"/>
      <c r="D172" s="15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t="14.25" customHeight="1">
      <c r="A173" s="15"/>
      <c r="B173" s="15"/>
      <c r="C173" s="15"/>
      <c r="D173" s="15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t="14.25" customHeight="1">
      <c r="A174" s="15"/>
      <c r="B174" s="15"/>
      <c r="C174" s="15"/>
      <c r="D174" s="15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t="14.25" customHeight="1">
      <c r="A175" s="15"/>
      <c r="B175" s="15"/>
      <c r="C175" s="15"/>
      <c r="D175" s="15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t="14.25" customHeight="1">
      <c r="A176" s="15"/>
      <c r="B176" s="15"/>
      <c r="C176" s="15"/>
      <c r="D176" s="15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t="14.25" customHeight="1">
      <c r="A177" s="15"/>
      <c r="B177" s="15"/>
      <c r="C177" s="15"/>
      <c r="D177" s="15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t="14.25" customHeight="1">
      <c r="A178" s="15"/>
      <c r="B178" s="15"/>
      <c r="C178" s="15"/>
      <c r="D178" s="15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t="14.25" customHeight="1">
      <c r="A179" s="15"/>
      <c r="B179" s="15"/>
      <c r="C179" s="15"/>
      <c r="D179" s="15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t="14.25" customHeight="1">
      <c r="A180" s="15"/>
      <c r="B180" s="15"/>
      <c r="C180" s="15"/>
      <c r="D180" s="15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t="14.25" customHeight="1">
      <c r="A181" s="15"/>
      <c r="B181" s="15"/>
      <c r="C181" s="15"/>
      <c r="D181" s="15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t="14.25" customHeight="1">
      <c r="A182" s="15"/>
      <c r="B182" s="15"/>
      <c r="C182" s="15"/>
      <c r="D182" s="15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t="14.25" customHeight="1">
      <c r="A183" s="15"/>
      <c r="B183" s="15"/>
      <c r="C183" s="15"/>
      <c r="D183" s="15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t="14.25" customHeight="1">
      <c r="A184" s="15"/>
      <c r="B184" s="15"/>
      <c r="C184" s="15"/>
      <c r="D184" s="15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t="14.25" customHeight="1">
      <c r="A185" s="15"/>
      <c r="B185" s="15"/>
      <c r="C185" s="15"/>
      <c r="D185" s="15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t="14.25" customHeight="1">
      <c r="A186" s="15"/>
      <c r="B186" s="15"/>
      <c r="C186" s="15"/>
      <c r="D186" s="15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t="14.25" customHeight="1">
      <c r="A187" s="15"/>
      <c r="B187" s="15"/>
      <c r="C187" s="15"/>
      <c r="D187" s="15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t="14.25" customHeight="1">
      <c r="A188" s="15"/>
      <c r="B188" s="15"/>
      <c r="C188" s="15"/>
      <c r="D188" s="15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t="14.25" customHeight="1">
      <c r="A189" s="15"/>
      <c r="B189" s="15"/>
      <c r="C189" s="15"/>
      <c r="D189" s="15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t="14.25" customHeight="1">
      <c r="A190" s="15"/>
      <c r="B190" s="15"/>
      <c r="C190" s="15"/>
      <c r="D190" s="15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t="14.25" customHeight="1">
      <c r="A191" s="15"/>
      <c r="B191" s="15"/>
      <c r="C191" s="15"/>
      <c r="D191" s="15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t="14.25" customHeight="1">
      <c r="A192" s="15"/>
      <c r="B192" s="15"/>
      <c r="C192" s="15"/>
      <c r="D192" s="15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t="14.25" customHeight="1">
      <c r="A193" s="15"/>
      <c r="B193" s="15"/>
      <c r="C193" s="15"/>
      <c r="D193" s="15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t="14.25" customHeight="1">
      <c r="A194" s="15"/>
      <c r="B194" s="15"/>
      <c r="C194" s="15"/>
      <c r="D194" s="15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t="14.25" customHeight="1">
      <c r="A195" s="15"/>
      <c r="B195" s="15"/>
      <c r="C195" s="15"/>
      <c r="D195" s="15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t="14.25" customHeight="1">
      <c r="A196" s="15"/>
      <c r="B196" s="15"/>
      <c r="C196" s="15"/>
      <c r="D196" s="15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t="14.25" customHeight="1">
      <c r="A197" s="15"/>
      <c r="B197" s="15"/>
      <c r="C197" s="15"/>
      <c r="D197" s="15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t="14.25" customHeight="1">
      <c r="A198" s="15"/>
      <c r="B198" s="15"/>
      <c r="C198" s="15"/>
      <c r="D198" s="15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t="14.25" customHeight="1">
      <c r="A199" s="15"/>
      <c r="B199" s="15"/>
      <c r="C199" s="15"/>
      <c r="D199" s="15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t="14.25" customHeight="1">
      <c r="A200" s="15"/>
      <c r="B200" s="15"/>
      <c r="C200" s="15"/>
      <c r="D200" s="15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t="14.25" customHeight="1">
      <c r="A201" s="15"/>
      <c r="B201" s="15"/>
      <c r="C201" s="15"/>
      <c r="D201" s="15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t="14.25" customHeight="1">
      <c r="A202" s="15"/>
      <c r="B202" s="15"/>
      <c r="C202" s="15"/>
      <c r="D202" s="15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t="14.25" customHeight="1">
      <c r="A203" s="15"/>
      <c r="B203" s="15"/>
      <c r="C203" s="15"/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t="14.25" customHeight="1">
      <c r="A204" s="15"/>
      <c r="B204" s="15"/>
      <c r="C204" s="15"/>
      <c r="D204" s="15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t="14.25" customHeight="1">
      <c r="A205" s="15"/>
      <c r="B205" s="15"/>
      <c r="C205" s="15"/>
      <c r="D205" s="15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t="14.25" customHeight="1">
      <c r="A206" s="15"/>
      <c r="B206" s="15"/>
      <c r="C206" s="15"/>
      <c r="D206" s="15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t="14.25" customHeight="1">
      <c r="A207" s="15"/>
      <c r="B207" s="15"/>
      <c r="C207" s="15"/>
      <c r="D207" s="15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t="14.25" customHeight="1">
      <c r="A208" s="15"/>
      <c r="B208" s="15"/>
      <c r="C208" s="15"/>
      <c r="D208" s="15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t="14.25" customHeight="1">
      <c r="A209" s="15"/>
      <c r="B209" s="15"/>
      <c r="C209" s="15"/>
      <c r="D209" s="15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t="14.25" customHeight="1">
      <c r="A210" s="15"/>
      <c r="B210" s="15"/>
      <c r="C210" s="15"/>
      <c r="D210" s="15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t="14.25" customHeight="1">
      <c r="A211" s="15"/>
      <c r="B211" s="15"/>
      <c r="C211" s="15"/>
      <c r="D211" s="15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t="14.25" customHeight="1">
      <c r="A212" s="15"/>
      <c r="B212" s="15"/>
      <c r="C212" s="15"/>
      <c r="D212" s="15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t="14.25" customHeight="1">
      <c r="A213" s="15"/>
      <c r="B213" s="15"/>
      <c r="C213" s="15"/>
      <c r="D213" s="15"/>
      <c r="E213" s="15"/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t="14.25" customHeight="1">
      <c r="A214" s="15"/>
      <c r="B214" s="15"/>
      <c r="C214" s="15"/>
      <c r="D214" s="15"/>
      <c r="E214" s="15"/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t="14.25" customHeight="1">
      <c r="A215" s="15"/>
      <c r="B215" s="15"/>
      <c r="C215" s="15"/>
      <c r="D215" s="15"/>
      <c r="E215" s="15"/>
      <c r="F215" s="15"/>
      <c r="G215" s="15"/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t="14.25" customHeight="1">
      <c r="A216" s="15"/>
      <c r="B216" s="15"/>
      <c r="C216" s="15"/>
      <c r="D216" s="15"/>
      <c r="E216" s="15"/>
      <c r="F216" s="15"/>
      <c r="G216" s="15"/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t="14.25" customHeight="1">
      <c r="A217" s="15"/>
      <c r="B217" s="15"/>
      <c r="C217" s="15"/>
      <c r="D217" s="15"/>
      <c r="E217" s="15"/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t="14.25" customHeight="1">
      <c r="A218" s="15"/>
      <c r="B218" s="15"/>
      <c r="C218" s="15"/>
      <c r="D218" s="15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t="14.25" customHeight="1">
      <c r="A219" s="15"/>
      <c r="B219" s="15"/>
      <c r="C219" s="15"/>
      <c r="D219" s="15"/>
      <c r="E219" s="15"/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t="14.25" customHeight="1">
      <c r="A220" s="15"/>
      <c r="B220" s="15"/>
      <c r="C220" s="15"/>
      <c r="D220" s="15"/>
      <c r="E220" s="15"/>
      <c r="F220" s="15"/>
      <c r="G220" s="15"/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t="14.25" customHeight="1">
      <c r="A221" s="15"/>
      <c r="B221" s="15"/>
      <c r="C221" s="15"/>
      <c r="D221" s="15"/>
      <c r="E221" s="15"/>
      <c r="F221" s="15"/>
      <c r="G221" s="15"/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t="14.25" customHeight="1">
      <c r="A222" s="15"/>
      <c r="B222" s="15"/>
      <c r="C222" s="15"/>
      <c r="D222" s="15"/>
      <c r="E222" s="15"/>
      <c r="F222" s="15"/>
      <c r="G222" s="15"/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t="14.25" customHeight="1">
      <c r="A223" s="15"/>
      <c r="B223" s="15"/>
      <c r="C223" s="15"/>
      <c r="D223" s="15"/>
      <c r="E223" s="15"/>
      <c r="F223" s="15"/>
      <c r="G223" s="15"/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t="14.25" customHeight="1">
      <c r="A224" s="15"/>
      <c r="B224" s="15"/>
      <c r="C224" s="15"/>
      <c r="D224" s="15"/>
      <c r="E224" s="15"/>
      <c r="F224" s="15"/>
      <c r="G224" s="15"/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t="14.25" customHeight="1">
      <c r="A225" s="15"/>
      <c r="B225" s="15"/>
      <c r="C225" s="15"/>
      <c r="D225" s="15"/>
      <c r="E225" s="15"/>
      <c r="F225" s="15"/>
      <c r="G225" s="15"/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t="14.25" customHeight="1">
      <c r="A226" s="15"/>
      <c r="B226" s="15"/>
      <c r="C226" s="15"/>
      <c r="D226" s="15"/>
      <c r="E226" s="15"/>
      <c r="F226" s="15"/>
      <c r="G226" s="15"/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t="14.25" customHeight="1">
      <c r="A227" s="15"/>
      <c r="B227" s="15"/>
      <c r="C227" s="15"/>
      <c r="D227" s="15"/>
      <c r="E227" s="15"/>
      <c r="F227" s="15"/>
      <c r="G227" s="15"/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t="14.25" customHeight="1">
      <c r="A228" s="15"/>
      <c r="B228" s="15"/>
      <c r="C228" s="15"/>
      <c r="D228" s="15"/>
      <c r="E228" s="15"/>
      <c r="F228" s="15"/>
      <c r="G228" s="15"/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t="14.25" customHeight="1">
      <c r="A229" s="15"/>
      <c r="B229" s="15"/>
      <c r="C229" s="15"/>
      <c r="D229" s="15"/>
      <c r="E229" s="15"/>
      <c r="F229" s="15"/>
      <c r="G229" s="15"/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t="14.25" customHeight="1">
      <c r="A230" s="15"/>
      <c r="B230" s="15"/>
      <c r="C230" s="15"/>
      <c r="D230" s="15"/>
      <c r="E230" s="15"/>
      <c r="F230" s="15"/>
      <c r="G230" s="15"/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t="14.25" customHeight="1">
      <c r="A231" s="15"/>
      <c r="B231" s="15"/>
      <c r="C231" s="15"/>
      <c r="D231" s="15"/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t="14.25" customHeight="1">
      <c r="A232" s="15"/>
      <c r="B232" s="15"/>
      <c r="C232" s="15"/>
      <c r="D232" s="15"/>
      <c r="E232" s="15"/>
      <c r="F232" s="15"/>
      <c r="G232" s="15"/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t="14.25" customHeight="1">
      <c r="A233" s="15"/>
      <c r="B233" s="15"/>
      <c r="C233" s="15"/>
      <c r="D233" s="15"/>
      <c r="E233" s="15"/>
      <c r="F233" s="15"/>
      <c r="G233" s="15"/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t="14.25" customHeight="1">
      <c r="A234" s="15"/>
      <c r="B234" s="15"/>
      <c r="C234" s="15"/>
      <c r="D234" s="15"/>
      <c r="E234" s="15"/>
      <c r="F234" s="15"/>
      <c r="G234" s="15"/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t="14.25" customHeight="1">
      <c r="A235" s="15"/>
      <c r="B235" s="15"/>
      <c r="C235" s="15"/>
      <c r="D235" s="15"/>
      <c r="E235" s="15"/>
      <c r="F235" s="15"/>
      <c r="G235" s="15"/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t="14.25" customHeight="1">
      <c r="A236" s="15"/>
      <c r="B236" s="15"/>
      <c r="C236" s="15"/>
      <c r="D236" s="15"/>
      <c r="E236" s="15"/>
      <c r="F236" s="15"/>
      <c r="G236" s="15"/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t="14.25" customHeight="1">
      <c r="A237" s="15"/>
      <c r="B237" s="15"/>
      <c r="C237" s="15"/>
      <c r="D237" s="15"/>
      <c r="E237" s="15"/>
      <c r="F237" s="15"/>
      <c r="G237" s="15"/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t="14.25" customHeight="1">
      <c r="A238" s="15"/>
      <c r="B238" s="15"/>
      <c r="C238" s="15"/>
      <c r="D238" s="15"/>
      <c r="E238" s="15"/>
      <c r="F238" s="15"/>
      <c r="G238" s="15"/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t="14.25" customHeight="1">
      <c r="A239" s="15"/>
      <c r="B239" s="15"/>
      <c r="C239" s="15"/>
      <c r="D239" s="15"/>
      <c r="E239" s="15"/>
      <c r="F239" s="15"/>
      <c r="G239" s="15"/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t="14.25" customHeight="1">
      <c r="A240" s="15"/>
      <c r="B240" s="15"/>
      <c r="C240" s="15"/>
      <c r="D240" s="15"/>
      <c r="E240" s="15"/>
      <c r="F240" s="15"/>
      <c r="G240" s="15"/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t="14.25" customHeight="1">
      <c r="A241" s="15"/>
      <c r="B241" s="15"/>
      <c r="C241" s="15"/>
      <c r="D241" s="15"/>
      <c r="E241" s="15"/>
      <c r="F241" s="15"/>
      <c r="G241" s="15"/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t="14.25" customHeight="1">
      <c r="A242" s="15"/>
      <c r="B242" s="15"/>
      <c r="C242" s="15"/>
      <c r="D242" s="15"/>
      <c r="E242" s="15"/>
      <c r="F242" s="15"/>
      <c r="G242" s="15"/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t="14.25" customHeight="1">
      <c r="A243" s="15"/>
      <c r="B243" s="15"/>
      <c r="C243" s="15"/>
      <c r="D243" s="15"/>
      <c r="E243" s="15"/>
      <c r="F243" s="15"/>
      <c r="G243" s="15"/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t="14.25" customHeight="1">
      <c r="A244" s="15"/>
      <c r="B244" s="15"/>
      <c r="C244" s="15"/>
      <c r="D244" s="15"/>
      <c r="E244" s="15"/>
      <c r="F244" s="15"/>
      <c r="G244" s="15"/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t="14.25" customHeight="1">
      <c r="A245" s="15"/>
      <c r="B245" s="15"/>
      <c r="C245" s="15"/>
      <c r="D245" s="15"/>
      <c r="E245" s="15"/>
      <c r="F245" s="15"/>
      <c r="G245" s="15"/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t="14.25" customHeight="1">
      <c r="A246" s="15"/>
      <c r="B246" s="15"/>
      <c r="C246" s="15"/>
      <c r="D246" s="15"/>
      <c r="E246" s="15"/>
      <c r="F246" s="15"/>
      <c r="G246" s="15"/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t="14.25" customHeight="1">
      <c r="A247" s="15"/>
      <c r="B247" s="15"/>
      <c r="C247" s="15"/>
      <c r="D247" s="15"/>
      <c r="E247" s="15"/>
      <c r="F247" s="15"/>
      <c r="G247" s="15"/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t="14.25" customHeight="1">
      <c r="A248" s="15"/>
      <c r="B248" s="15"/>
      <c r="C248" s="15"/>
      <c r="D248" s="15"/>
      <c r="E248" s="15"/>
      <c r="F248" s="15"/>
      <c r="G248" s="15"/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t="14.25" customHeight="1">
      <c r="A249" s="15"/>
      <c r="B249" s="15"/>
      <c r="C249" s="15"/>
      <c r="D249" s="15"/>
      <c r="E249" s="15"/>
      <c r="F249" s="15"/>
      <c r="G249" s="15"/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t="14.25" customHeight="1">
      <c r="A250" s="15"/>
      <c r="B250" s="15"/>
      <c r="C250" s="15"/>
      <c r="D250" s="15"/>
      <c r="E250" s="15"/>
      <c r="F250" s="15"/>
      <c r="G250" s="15"/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t="14.25" customHeight="1">
      <c r="A251" s="15"/>
      <c r="B251" s="15"/>
      <c r="C251" s="15"/>
      <c r="D251" s="15"/>
      <c r="E251" s="15"/>
      <c r="F251" s="15"/>
      <c r="G251" s="15"/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t="14.25" customHeight="1">
      <c r="A252" s="15"/>
      <c r="B252" s="15"/>
      <c r="C252" s="15"/>
      <c r="D252" s="15"/>
      <c r="E252" s="15"/>
      <c r="F252" s="15"/>
      <c r="G252" s="15"/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t="14.25" customHeight="1">
      <c r="A253" s="15"/>
      <c r="B253" s="15"/>
      <c r="C253" s="15"/>
      <c r="D253" s="15"/>
      <c r="E253" s="15"/>
      <c r="F253" s="15"/>
      <c r="G253" s="15"/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t="14.25" customHeight="1">
      <c r="A254" s="15"/>
      <c r="B254" s="15"/>
      <c r="C254" s="15"/>
      <c r="D254" s="15"/>
      <c r="E254" s="15"/>
      <c r="F254" s="15"/>
      <c r="G254" s="15"/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t="14.25" customHeight="1">
      <c r="A255" s="15"/>
      <c r="B255" s="15"/>
      <c r="C255" s="15"/>
      <c r="D255" s="15"/>
      <c r="E255" s="15"/>
      <c r="F255" s="15"/>
      <c r="G255" s="15"/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t="14.25" customHeight="1">
      <c r="A256" s="15"/>
      <c r="B256" s="15"/>
      <c r="C256" s="15"/>
      <c r="D256" s="15"/>
      <c r="E256" s="15"/>
      <c r="F256" s="15"/>
      <c r="G256" s="15"/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t="14.25" customHeight="1">
      <c r="A257" s="15"/>
      <c r="B257" s="15"/>
      <c r="C257" s="15"/>
      <c r="D257" s="15"/>
      <c r="E257" s="15"/>
      <c r="F257" s="15"/>
      <c r="G257" s="15"/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t="14.25" customHeight="1">
      <c r="A258" s="15"/>
      <c r="B258" s="15"/>
      <c r="C258" s="15"/>
      <c r="D258" s="15"/>
      <c r="E258" s="15"/>
      <c r="F258" s="15"/>
      <c r="G258" s="15"/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t="14.25" customHeight="1">
      <c r="A259" s="15"/>
      <c r="B259" s="15"/>
      <c r="C259" s="15"/>
      <c r="D259" s="15"/>
      <c r="E259" s="15"/>
      <c r="F259" s="15"/>
      <c r="G259" s="15"/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t="14.25" customHeight="1">
      <c r="A260" s="15"/>
      <c r="B260" s="15"/>
      <c r="C260" s="15"/>
      <c r="D260" s="15"/>
      <c r="E260" s="15"/>
      <c r="F260" s="15"/>
      <c r="G260" s="15"/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t="14.25" customHeight="1">
      <c r="A261" s="15"/>
      <c r="B261" s="15"/>
      <c r="C261" s="15"/>
      <c r="D261" s="15"/>
      <c r="E261" s="15"/>
      <c r="F261" s="15"/>
      <c r="G261" s="15"/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t="14.25" customHeight="1">
      <c r="A262" s="15"/>
      <c r="B262" s="15"/>
      <c r="C262" s="15"/>
      <c r="D262" s="15"/>
      <c r="E262" s="15"/>
      <c r="F262" s="15"/>
      <c r="G262" s="15"/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t="14.25" customHeight="1">
      <c r="A263" s="15"/>
      <c r="B263" s="15"/>
      <c r="C263" s="15"/>
      <c r="D263" s="15"/>
      <c r="E263" s="15"/>
      <c r="F263" s="15"/>
      <c r="G263" s="15"/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t="14.25" customHeight="1">
      <c r="A264" s="15"/>
      <c r="B264" s="15"/>
      <c r="C264" s="15"/>
      <c r="D264" s="15"/>
      <c r="E264" s="15"/>
      <c r="F264" s="15"/>
      <c r="G264" s="15"/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t="14.25" customHeight="1">
      <c r="A265" s="15"/>
      <c r="B265" s="15"/>
      <c r="C265" s="15"/>
      <c r="D265" s="15"/>
      <c r="E265" s="15"/>
      <c r="F265" s="15"/>
      <c r="G265" s="15"/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1">
    <mergeCell ref="G13:H15"/>
    <mergeCell ref="G16:H20"/>
    <mergeCell ref="G24:H26"/>
    <mergeCell ref="G27:H31"/>
    <mergeCell ref="A1:F1"/>
    <mergeCell ref="A7:A8"/>
    <mergeCell ref="B7:C7"/>
    <mergeCell ref="D7:E7"/>
    <mergeCell ref="F7:F8"/>
    <mergeCell ref="A13:A15"/>
    <mergeCell ref="A16:A20"/>
    <mergeCell ref="A24:A26"/>
    <mergeCell ref="A27:A31"/>
    <mergeCell ref="C41:D41"/>
    <mergeCell ref="E41:F41"/>
    <mergeCell ref="C42:D42"/>
    <mergeCell ref="E42:F42"/>
    <mergeCell ref="A35:A39"/>
    <mergeCell ref="C45:D45"/>
    <mergeCell ref="E45:F45"/>
    <mergeCell ref="C46:D46"/>
    <mergeCell ref="E46:F46"/>
    <mergeCell ref="H46:I48"/>
    <mergeCell ref="C47:D47"/>
    <mergeCell ref="E47:F47"/>
    <mergeCell ref="C54:D54"/>
    <mergeCell ref="C55:D55"/>
    <mergeCell ref="C56:D56"/>
    <mergeCell ref="C57:D57"/>
    <mergeCell ref="C58:D58"/>
    <mergeCell ref="E55:F55"/>
    <mergeCell ref="E56:F56"/>
    <mergeCell ref="E57:F57"/>
    <mergeCell ref="E58:F58"/>
    <mergeCell ref="C48:D48"/>
    <mergeCell ref="E48:F48"/>
    <mergeCell ref="E54:F54"/>
    <mergeCell ref="C50:D50"/>
    <mergeCell ref="E50:F50"/>
    <mergeCell ref="C51:D51"/>
    <mergeCell ref="E51:F51"/>
  </mergeCells>
  <conditionalFormatting sqref="G9">
    <cfRule type="notContainsBlanks" dxfId="0" priority="1">
      <formula>LEN(TRIM(G9))&gt;0</formula>
    </cfRule>
  </conditionalFormatting>
  <conditionalFormatting sqref="G13">
    <cfRule type="notContainsBlanks" dxfId="1" priority="2">
      <formula>LEN(TRIM(G13))&gt;0</formula>
    </cfRule>
  </conditionalFormatting>
  <conditionalFormatting sqref="G16">
    <cfRule type="notContainsBlanks" dxfId="1" priority="3">
      <formula>LEN(TRIM(G16))&gt;0</formula>
    </cfRule>
  </conditionalFormatting>
  <conditionalFormatting sqref="G24">
    <cfRule type="notContainsBlanks" dxfId="1" priority="4">
      <formula>LEN(TRIM(G24))&gt;0</formula>
    </cfRule>
  </conditionalFormatting>
  <conditionalFormatting sqref="G27">
    <cfRule type="notContainsBlanks" dxfId="1" priority="5">
      <formula>LEN(TRIM(G27))&gt;0</formula>
    </cfRule>
  </conditionalFormatting>
  <conditionalFormatting sqref="H46">
    <cfRule type="notContainsBlanks" dxfId="1" priority="6">
      <formula>LEN(TRIM(H46))&gt;0</formula>
    </cfRule>
  </conditionalFormatting>
  <conditionalFormatting sqref="I13:I20">
    <cfRule type="notContainsBlanks" dxfId="0" priority="7">
      <formula>LEN(TRIM(I13))&gt;0</formula>
    </cfRule>
  </conditionalFormatting>
  <conditionalFormatting sqref="I24:I31">
    <cfRule type="notContainsBlanks" dxfId="0" priority="8">
      <formula>LEN(TRIM(I24))&gt;0</formula>
    </cfRule>
  </conditionalFormatting>
  <conditionalFormatting sqref="J46:J48">
    <cfRule type="notContainsBlanks" dxfId="0" priority="9">
      <formula>LEN(TRIM(J46))&gt;0</formula>
    </cfRule>
  </conditionalFormatting>
  <printOptions/>
  <pageMargins bottom="0.75" footer="0.0" header="0.0" left="0.7" right="0.7" top="0.75"/>
  <pageSetup orientation="portrait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13.78"/>
    <col customWidth="1" min="2" max="2" width="25.0"/>
    <col customWidth="1" min="3" max="3" width="8.0"/>
    <col customWidth="1" min="4" max="4" width="11.33"/>
    <col customWidth="1" min="5" max="5" width="9.33"/>
    <col customWidth="1" min="6" max="6" width="6.0"/>
    <col customWidth="1" min="7" max="7" width="9.44"/>
    <col customWidth="1" min="8" max="8" width="20.33"/>
    <col customWidth="1" min="9" max="9" width="20.44"/>
    <col customWidth="1" min="10" max="10" width="11.0"/>
    <col customWidth="1" min="11" max="12" width="10.78"/>
    <col customWidth="1" min="13" max="26" width="11.0"/>
  </cols>
  <sheetData>
    <row r="1" ht="14.25" customHeight="1">
      <c r="A1" s="14" t="s">
        <v>38</v>
      </c>
      <c r="G1" s="15"/>
      <c r="H1" s="15"/>
      <c r="I1" s="16" t="s">
        <v>39</v>
      </c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14.25" customHeight="1">
      <c r="A2" s="15"/>
      <c r="B2" s="15"/>
      <c r="C2" s="15"/>
      <c r="D2" s="15"/>
      <c r="E2" s="15"/>
      <c r="F2" s="15"/>
      <c r="G2" s="15"/>
      <c r="H2" s="17" t="s">
        <v>40</v>
      </c>
      <c r="I2" s="18" t="str">
        <f>DATE(F3, 12, 1)</f>
        <v>#VALUE!</v>
      </c>
      <c r="J2" s="15"/>
      <c r="K2" s="19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t="14.25" customHeight="1">
      <c r="A3" s="15" t="s">
        <v>41</v>
      </c>
      <c r="B3" s="15"/>
      <c r="C3" s="20" t="s">
        <v>112</v>
      </c>
      <c r="D3" s="15"/>
      <c r="E3" s="15" t="s">
        <v>43</v>
      </c>
      <c r="F3" s="20" t="str">
        <f>YEAR(Results!E3)</f>
        <v>#VALUE!</v>
      </c>
      <c r="G3" s="15"/>
      <c r="H3" s="17" t="s">
        <v>44</v>
      </c>
      <c r="I3" s="18" t="str">
        <f>EOMONTH(I2,0)</f>
        <v>#VALUE!</v>
      </c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t="14.25" customHeight="1">
      <c r="A4" s="15" t="s">
        <v>45</v>
      </c>
      <c r="B4" s="15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t="14.25" customHeight="1">
      <c r="A5" s="15"/>
      <c r="B5" s="15"/>
      <c r="C5" s="15"/>
      <c r="D5" s="15"/>
      <c r="E5" s="15"/>
      <c r="F5" s="15"/>
      <c r="G5" s="15"/>
      <c r="H5" s="15"/>
      <c r="I5" s="15"/>
      <c r="J5" s="15"/>
      <c r="K5" s="15"/>
      <c r="L5" s="15"/>
      <c r="M5" s="15"/>
      <c r="N5" s="15"/>
      <c r="O5" s="21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t="14.25" customHeight="1">
      <c r="A6" s="15" t="s">
        <v>46</v>
      </c>
      <c r="B6" s="15"/>
      <c r="C6" s="15"/>
      <c r="D6" s="15"/>
      <c r="E6" s="15"/>
      <c r="F6" s="15"/>
      <c r="G6" s="15"/>
      <c r="H6" s="15"/>
      <c r="I6" s="20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t="14.25" customHeight="1">
      <c r="A7" s="22"/>
      <c r="B7" s="23" t="s">
        <v>47</v>
      </c>
      <c r="C7" s="24"/>
      <c r="D7" s="23" t="s">
        <v>48</v>
      </c>
      <c r="E7" s="24"/>
      <c r="F7" s="25" t="s">
        <v>49</v>
      </c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t="14.25" customHeight="1">
      <c r="A8" s="26"/>
      <c r="B8" s="27" t="s">
        <v>50</v>
      </c>
      <c r="C8" s="27" t="s">
        <v>51</v>
      </c>
      <c r="D8" s="27" t="s">
        <v>50</v>
      </c>
      <c r="E8" s="27" t="s">
        <v>51</v>
      </c>
      <c r="F8" s="26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t="14.25" customHeight="1">
      <c r="A9" s="28"/>
      <c r="B9" s="28">
        <f>COUNTIFS(Results!$E:$E,"&gt;="&amp;$I$2,Results!$E:$E,"&lt;="&amp;$I$3,Results!$I:$I,"Male",Results!$J:$J,"&lt;15", Results!$F:$F,"*tive")</f>
        <v>0</v>
      </c>
      <c r="C9" s="28">
        <f>COUNTIFS(Results!$E:$E,"&gt;="&amp;$I$2,Results!$E:$E,"&lt;="&amp;$I$3,Results!$I:$I,"Male",Results!$J:$J,"&gt;=15", Results!$F:$F,"*tive")</f>
        <v>0</v>
      </c>
      <c r="D9" s="28">
        <f>COUNTIFS(Results!$E:$E,"&gt;="&amp;$I$2,Results!$E:$E,"&lt;="&amp;$I$3,Results!$I:$I,"Female",Results!$J:$J,"&lt;15", Results!$F:$F,"*tive")</f>
        <v>0</v>
      </c>
      <c r="E9" s="28">
        <f>COUNTIFS(Results!$E:$E,"&gt;="&amp;$I$2,Results!$E:$E,"&lt;="&amp;$I$3,Results!$I:$I,"Female",Results!$J:$J,"&gt;=15", Results!$F:$F,"*tive")</f>
        <v>0</v>
      </c>
      <c r="F9" s="28">
        <f>COUNTIFS(Results!$E:$E,"&gt;="&amp;$I$2,Results!$E:$E,"&lt;="&amp;$I$3, Results!$F:$F,"*tive", Results!$J:$J,"&lt;&gt;Not on Form", Results!$J:$J,"&lt;&gt;N/A", Results!$I:$I,"&lt;&gt;Not on Form", Results!$I:$I,"&lt;&gt;N/A")</f>
        <v>0</v>
      </c>
      <c r="G9" s="15" t="str">
        <f>IF(SUM(B9:E9)=F9,"","Check Total Value &amp; Category")</f>
        <v/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t="14.25" customHeight="1">
      <c r="A10" s="15"/>
      <c r="B10" s="15"/>
      <c r="C10" s="15"/>
      <c r="D10" s="15"/>
      <c r="E10" s="15"/>
      <c r="F10" s="15"/>
      <c r="G10" s="15"/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t="14.25" customHeight="1">
      <c r="A11" s="15" t="s">
        <v>52</v>
      </c>
      <c r="B11" s="15"/>
      <c r="C11" s="15"/>
      <c r="D11" s="15"/>
      <c r="E11" s="15"/>
      <c r="F11" s="15"/>
      <c r="G11" s="15"/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t="14.25" customHeight="1">
      <c r="A12" s="28"/>
      <c r="B12" s="28"/>
      <c r="C12" s="29" t="s">
        <v>53</v>
      </c>
      <c r="D12" s="29" t="s">
        <v>54</v>
      </c>
      <c r="E12" s="29" t="s">
        <v>55</v>
      </c>
      <c r="F12" s="29" t="s">
        <v>49</v>
      </c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t="15.75" customHeight="1">
      <c r="A13" s="30" t="s">
        <v>56</v>
      </c>
      <c r="B13" s="28" t="s">
        <v>57</v>
      </c>
      <c r="C13" s="28">
        <f>COUNTIFS(Results!$E:$E,"&gt;="&amp;$I$2,Results!$E:$E,"&lt;="&amp;$I$3,Results!$L:$L,"Positive",Results!$K:$K,"No", Results!$F:$F,"*tive") + COUNTIFS(Results!$E:$E,"&gt;="&amp;$I$2,Results!$E:$E,"&lt;="&amp;$I$3,Results!$L:$L,"Positive",Results!$K:$K,"On Treatment", Results!$F:$F,"*tive")</f>
        <v>0</v>
      </c>
      <c r="D13" s="28">
        <f>COUNTIFS(Results!$E:$E,"&gt;="&amp;$I$2,Results!$E:$E,"&lt;="&amp;$I$3,Results!$L:$L,"Positive",Results!$K:$K,"Yes", Results!$F:$F,"*tive")</f>
        <v>0</v>
      </c>
      <c r="E13" s="28">
        <f>COUNTIFS(Results!$E:$E,"&gt;="&amp;$I$2,Results!$E:$E,"&lt;="&amp;$I$3,Results!$L:$L,"Positive",Results!$K:$K,"Unknown", Results!$F:$F,"*tive")</f>
        <v>0</v>
      </c>
      <c r="F13" s="28">
        <f>COUNTIFS(Results!$E:$E,"&gt;="&amp;$I$2,Results!$E:$E,"&lt;="&amp;$I$3,Results!$L:$L,"Positive", Results!$F:$F,"*tive", Results!$K:$K,"&lt;&gt;Not on Form", Results!$K:$K,"&lt;&gt;N/A", Results!$L:$L,"&lt;&gt;Not on Form", Results!$L:$L,"&lt;&gt;N/A")</f>
        <v>0</v>
      </c>
      <c r="G13" s="31" t="str">
        <f>IF($F$9=SUM(F13:F15),"","Error! Microscopy result does NOT match, cross check: Missing information in Microscopy Result")</f>
        <v/>
      </c>
      <c r="I13" s="15" t="str">
        <f t="shared" ref="I13:I18" si="1">IF(SUM(C13:E13)=F13,"","Check Total Value &amp; Category")</f>
        <v/>
      </c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t="14.25" customHeight="1">
      <c r="A14" s="32"/>
      <c r="B14" s="28" t="s">
        <v>58</v>
      </c>
      <c r="C14" s="28">
        <f>COUNTIFS(Results!$E:$E,"&gt;="&amp;$I$2,Results!$E:$E,"&lt;="&amp;$I$3,Results!$L:$L,"Negative",Results!$K:$K,"No", Results!$F:$F,"*tive") + COUNTIFS(Results!$E:$E,"&gt;="&amp;$I$2,Results!$E:$E,"&lt;="&amp;$I$3,Results!$L:$L,"Negative",Results!$K:$K,"On Treatment", Results!$F:$F,"*tive")</f>
        <v>0</v>
      </c>
      <c r="D14" s="28">
        <f>COUNTIFS(Results!$E:$E,"&gt;="&amp;$I$2,Results!$E:$E,"&lt;="&amp;$I$3,Results!$L:$L,"Negative",Results!$K:$K,"Yes", Results!$F:$F,"*tive")</f>
        <v>0</v>
      </c>
      <c r="E14" s="28">
        <f>COUNTIFS(Results!$E:$E,"&gt;="&amp;$I$2,Results!$E:$E,"&lt;="&amp;$I$3,Results!$L:$L,"Negative",Results!$K:$K,"Unknown", Results!$F:$F,"*tive")</f>
        <v>0</v>
      </c>
      <c r="F14" s="28">
        <f>COUNTIFS(Results!$E:$E,"&gt;="&amp;$I$2,Results!$E:$E,"&lt;="&amp;$I$3,Results!$L:$L,"Negative", Results!$F:$F,"*tive",Results!$K:$K,"&lt;&gt;Not on Form", Results!$K:$K,"&lt;&gt;N/A", Results!$L:$L,"&lt;&gt;Not on Form", Results!$L:$L,"&lt;&gt;N/A")</f>
        <v>0</v>
      </c>
      <c r="G14" s="33"/>
      <c r="I14" s="15" t="str">
        <f t="shared" si="1"/>
        <v/>
      </c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t="14.25" customHeight="1">
      <c r="A15" s="26"/>
      <c r="B15" s="28" t="s">
        <v>59</v>
      </c>
      <c r="C15" s="28">
        <f>COUNTIFS(Results!$E:$E,"&gt;="&amp;$I$2,Results!$E:$E,"&lt;="&amp;$I$3,Results!$L:$L,"Not Done",Results!$K:$K,"No", Results!$F:$F,"*tive") + COUNTIFS(Results!$E:$E,"&gt;="&amp;$I$2,Results!$E:$E,"&lt;="&amp;$I$3,Results!$L:$L,"Not Done",Results!$K:$K,"On Treatment", Results!$F:$F,"*tive")</f>
        <v>0</v>
      </c>
      <c r="D15" s="28">
        <f>COUNTIFS(Results!$E:$E,"&gt;="&amp;$I$2,Results!$E:$E,"&lt;="&amp;$I$3,Results!$L:$L,"Not Done",Results!$K:$K,"Yes", Results!$F:$F,"*tive")</f>
        <v>0</v>
      </c>
      <c r="E15" s="28">
        <f>COUNTIFS(Results!$E:$E,"&gt;="&amp;$I$2,Results!$E:$E,"&lt;="&amp;$I$3,Results!$L:$L,"Not Done",Results!$K:$K,"Unknown", Results!$F:$F,"*tive")</f>
        <v>0</v>
      </c>
      <c r="F15" s="28">
        <f>COUNTIFS(Results!$E:$E,"&gt;="&amp;$I$2,Results!$E:$E,"&lt;="&amp;$I$3,Results!$L:$L,"Not Done", Results!$F:$F,"*tive", Results!$K:$K,"&lt;&gt;Not on Form", Results!$K:$K,"&lt;&gt;N/A", Results!$L:$L,"&lt;&gt;Not on Form", Results!$L:$L,"&lt;&gt;N/A")</f>
        <v>0</v>
      </c>
      <c r="G15" s="33"/>
      <c r="I15" s="15" t="str">
        <f t="shared" si="1"/>
        <v/>
      </c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t="14.25" customHeight="1">
      <c r="A16" s="25" t="s">
        <v>60</v>
      </c>
      <c r="B16" s="28" t="s">
        <v>61</v>
      </c>
      <c r="C16" s="28">
        <f>COUNTIFS(Results!$E:$E,"&gt;="&amp;$I$2,Results!$E:$E,"&lt;="&amp;$I$3,Results!$F:$F,"Negative",Results!$K:$K,"No") + COUNTIFS(Results!$E:$E,"&gt;="&amp;$I$2,Results!$E:$E,"&lt;="&amp;$I$3,Results!$F:$F,"Negative",Results!$K:$K,"On Treatment")</f>
        <v>0</v>
      </c>
      <c r="D16" s="28">
        <f>COUNTIFS(Results!$E:$E,"&gt;="&amp;$I$2,Results!$E:$E,"&lt;="&amp;$I$3,Results!$F:$F,"Negative",Results!$K:$K,"Yes")</f>
        <v>0</v>
      </c>
      <c r="E16" s="28">
        <f>COUNTIFS(Results!$E:$E,"&gt;="&amp;$I$2,Results!$E:$E,"&lt;="&amp;$I$3,Results!$F:$F,"Negative",Results!$K:$K,"Unknown")</f>
        <v>0</v>
      </c>
      <c r="F16" s="28">
        <f>COUNTIFS(Results!$E:$E,"&gt;="&amp;$I$2,Results!$E:$E,"&lt;="&amp;$I$3,Results!$F:$F,"Negative", Results!$K:$K,"&lt;&gt;Not on Form", Results!$K:$K,"&lt;&gt;N/A")</f>
        <v>0</v>
      </c>
      <c r="G16" s="31" t="str">
        <f>IF($F$9=SUM(F16:F20),"","Error! Cross information between Xpert result and treatment category are not match; possibly there will be Erorr or missing information on MTB result OR RIF result")</f>
        <v/>
      </c>
      <c r="I16" s="15" t="str">
        <f t="shared" si="1"/>
        <v/>
      </c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t="14.25" customHeight="1">
      <c r="A17" s="32"/>
      <c r="B17" s="28" t="s">
        <v>62</v>
      </c>
      <c r="C17" s="28">
        <f>COUNTIFS(Results!$E:$E,"&gt;="&amp;$I$2,Results!$E:$E,"&lt;="&amp;$I$3,Results!$F:$F,"Positive",Results!$G:$G,"Negative",Results!$K:$K,"No") + COUNTIFS(Results!$E:$E,"&gt;="&amp;$I$2,Results!$E:$E,"&lt;="&amp;$I$3,Results!$F:$F,"Positive",Results!$G:$G,"Negative",Results!$K:$K,"On Treatment")</f>
        <v>0</v>
      </c>
      <c r="D17" s="28">
        <f>COUNTIFS(Results!$E:$E,"&gt;="&amp;$I$2,Results!$E:$E,"&lt;="&amp;$I$3,Results!$F:$F,"Positive",Results!$G:$G,"Negative",Results!$K:$K,"Yes")</f>
        <v>0</v>
      </c>
      <c r="E17" s="28">
        <f>COUNTIFS(Results!$E:$E,"&gt;="&amp;$I$2,Results!$E:$E,"&lt;="&amp;$I$3,Results!$F:$F,"Positive",Results!$G:$G,"Negative",Results!$K:$K,"Unknown")</f>
        <v>0</v>
      </c>
      <c r="F17" s="28">
        <f>COUNTIFS(Results!$E:$E,"&gt;="&amp;$I$2,Results!$E:$E,"&lt;="&amp;$I$3,Results!$F:$F,"Positive",Results!$G:$G,"Negative", Results!$K:$K,"&lt;&gt;Not on Form", Results!$K:$K,"&lt;&gt;N/A")</f>
        <v>0</v>
      </c>
      <c r="G17" s="33"/>
      <c r="I17" s="15" t="str">
        <f t="shared" si="1"/>
        <v/>
      </c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t="14.25" customHeight="1">
      <c r="A18" s="32"/>
      <c r="B18" s="28" t="s">
        <v>63</v>
      </c>
      <c r="C18" s="28">
        <f>COUNTIFS(Results!$E:$E,"&gt;="&amp;$I$2,Results!$E:$E,"&lt;="&amp;$I$3,Results!$F:$F,"Positive",Results!$G:$G,"Positive",Results!$K:$K,"No") + COUNTIFS(Results!$E:$E,"&gt;="&amp;$I$2,Results!$E:$E,"&lt;="&amp;$I$3,Results!$F:$F,"Positive",Results!$G:$G,"Positive",Results!$K:$K,"On Treatment")</f>
        <v>0</v>
      </c>
      <c r="D18" s="28">
        <f>COUNTIFS(Results!$E:$E,"&gt;="&amp;$I$2,Results!$E:$E,"&lt;="&amp;$I$3,Results!$F:$F,"Positive",Results!$G:$G,"Positive",Results!$K:$K,"Yes")</f>
        <v>0</v>
      </c>
      <c r="E18" s="28">
        <f>COUNTIFS(Results!$E:$E,"&gt;="&amp;$I$2,Results!$E:$E,"&lt;="&amp;$I$3,Results!$F:$F,"Positive",Results!$G:$G,"Positive",Results!$K:$K,"Unknown")</f>
        <v>0</v>
      </c>
      <c r="F18" s="28">
        <f>COUNTIFS(Results!$E:$E,"&gt;="&amp;$I$2,Results!$E:$E,"&lt;="&amp;$I$3,Results!$F:$F,"Positive",Results!$G:$G,"Positive", Results!$K:$K,"&lt;&gt;Not on Form", Results!$K:$K,"&lt;&gt;N/A")</f>
        <v>0</v>
      </c>
      <c r="G18" s="33"/>
      <c r="I18" s="15" t="str">
        <f t="shared" si="1"/>
        <v/>
      </c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t="14.25" customHeight="1">
      <c r="A19" s="32"/>
      <c r="B19" s="28" t="s">
        <v>64</v>
      </c>
      <c r="C19" s="28">
        <f>COUNTIFS(Results!$E:$E,"&gt;="&amp;$I$2,Results!$E:$E,"&lt;="&amp;$I$3,Results!$F:$F,"Positive",Results!$G:$G,"Indeterminate",Results!$K:$K,"No") + COUNTIFS(Results!$E:$E,"&gt;="&amp;$I$2,Results!$E:$E,"&lt;="&amp;$I$3,Results!$F:$F,"Positive",Results!$G:$G,"Indeterminate",Results!$K:$K,"On Treatment")</f>
        <v>0</v>
      </c>
      <c r="D19" s="28">
        <f>COUNTIFS(Results!$E:$E,"&gt;="&amp;$I$2,Results!$E:$E,"&lt;="&amp;$I$3,Results!$F:$F,"Positive",Results!$G:$G,"Indeterminate",Results!$K:$K,"Yes")</f>
        <v>0</v>
      </c>
      <c r="E19" s="28">
        <f>COUNTIFS(Results!$E:$E,"&gt;="&amp;$I$2,Results!$E:$E,"&lt;="&amp;$I$3,Results!$F:$F,"Positive",Results!$G:$G,"Indeterminate",Results!$K:$K,"Unknown")</f>
        <v>0</v>
      </c>
      <c r="F19" s="28">
        <f>COUNTIFS(Results!$E:$E,"&gt;="&amp;$I$2,Results!$E:$E,"&lt;="&amp;$I$3,Results!$F:$F,"Positive",Results!$G:$G,"Indeterminate", Results!$K:$K,"&lt;&gt;Not on Form", Results!$K:$K,"&lt;&gt;N/A")</f>
        <v>0</v>
      </c>
      <c r="G19" s="33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t="14.25" customHeight="1">
      <c r="A20" s="26"/>
      <c r="B20" s="28" t="s">
        <v>65</v>
      </c>
      <c r="C20" s="28">
        <f>COUNTIFS(Results!$E:$E,"&gt;="&amp;$I$2,Results!$E:$E,"&lt;="&amp;$I$3,Results!$F:$F,"Trace",Results!$G:$G,"Indeterminate",Results!$K:$K,"No") + COUNTIFS(Results!$E:$E,"&gt;="&amp;$I$2,Results!$E:$E,"&lt;="&amp;$I$3,Results!$F:$F,"Trace",Results!$G:$G,"Indeterminate",Results!$K:$K,"On Treatment")</f>
        <v>0</v>
      </c>
      <c r="D20" s="28">
        <f>COUNTIFS(Results!$E:$E,"&gt;="&amp;$I$2,Results!$E:$E,"&lt;="&amp;$I$3,Results!$F:$F,"Trace",Results!$G:$G,"Indeterminate",Results!$K:$K,"Yes")</f>
        <v>0</v>
      </c>
      <c r="E20" s="28">
        <f>COUNTIFS(Results!$E:$E,"&gt;="&amp;$I$2,Results!$E:$E,"&lt;="&amp;$I$3,Results!$F:$F,"Trace",Results!$G:$G,"Indeterminate",Results!$K:$K,"Unknown")</f>
        <v>0</v>
      </c>
      <c r="F20" s="28">
        <f>COUNTIFS(Results!$E:$E,"&gt;="&amp;$I$2,Results!$E:$E,"&lt;="&amp;$I$3,Results!$F:$F,"Trace",Results!$G:$G,"Indeterminate", Results!$K:$K,"&lt;&gt;Not on Form", Results!$K:$K,"&lt;&gt;N/A")</f>
        <v>0</v>
      </c>
      <c r="G20" s="33"/>
      <c r="I20" s="15" t="str">
        <f>IF(SUM(C20:E20)=F20,"","Check Total Value &amp; Category")</f>
        <v/>
      </c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t="14.25" customHeight="1">
      <c r="A21" s="15"/>
      <c r="B21" s="15"/>
      <c r="C21" s="15"/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t="14.25" customHeight="1">
      <c r="A22" s="15" t="s">
        <v>66</v>
      </c>
      <c r="B22" s="15"/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t="14.25" customHeight="1">
      <c r="A23" s="28"/>
      <c r="B23" s="28"/>
      <c r="C23" s="34" t="s">
        <v>67</v>
      </c>
      <c r="D23" s="34" t="s">
        <v>68</v>
      </c>
      <c r="E23" s="27" t="s">
        <v>55</v>
      </c>
      <c r="F23" s="27" t="s">
        <v>49</v>
      </c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t="15.75" hidden="1" customHeight="1">
      <c r="A24" s="30" t="s">
        <v>56</v>
      </c>
      <c r="B24" s="28" t="s">
        <v>57</v>
      </c>
      <c r="C24" s="28">
        <f>COUNTIFS(Results!$E:$E,"&gt;="&amp;$I$2,Results!$E:$E,"&lt;="&amp;$I$3,Results!$L:$L,"Positive",Results!$H:$H,"Positive", Results!$F:$F,"*tive")</f>
        <v>0</v>
      </c>
      <c r="D24" s="28">
        <f>COUNTIFS(Results!$E:$E,"&gt;="&amp;$I$2,Results!$E:$E,"&lt;="&amp;$I$3,Results!$L:$L,"Positive",Results!$H:$H,"Negative", Results!$F:$F,"*tive")</f>
        <v>0</v>
      </c>
      <c r="E24" s="28">
        <f>COUNTIFS(Results!$E:$E,"&gt;="&amp;$I$2,Results!$E:$E,"&lt;="&amp;$I$3,Results!$L:$L,"Positive",Results!$H:$H,"Unknown", Results!$F:$F,"*tive")</f>
        <v>0</v>
      </c>
      <c r="F24" s="28">
        <f>COUNTIFS(Results!$E:$E,"&gt;="&amp;$I$2,Results!$E:$E,"&lt;="&amp;$I$3,Results!$L:$L,"Positive", Results!$F:$F,"*tive", Results!$H:$H,"&lt;&gt;Not on Form", Results!$H:$H,"&lt;&gt;N/A", Results!$L:$L,"&lt;&gt;Not on Form", Results!$L:$L,"&lt;&gt;N/A")</f>
        <v>0</v>
      </c>
      <c r="G24" s="31" t="str">
        <f>IF($F$9=SUM(F24:F26),"","Error! Microscope Result and HIV Status do NOT match; Crosscheck for missing information in Microscope Result OR HIV Status")</f>
        <v/>
      </c>
      <c r="I24" s="15" t="str">
        <f t="shared" ref="I24:I29" si="2">IF(SUM(C24:E24)=F24,"","Check Total Value &amp; Category")</f>
        <v/>
      </c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t="14.25" hidden="1" customHeight="1">
      <c r="A25" s="32"/>
      <c r="B25" s="28" t="s">
        <v>58</v>
      </c>
      <c r="C25" s="28">
        <f>COUNTIFS(Results!$E:$E,"&gt;="&amp;$I$2,Results!$E:$E,"&lt;="&amp;$I$3,Results!$L:$L,"Negative",Results!$H:$H,"Positive", Results!$F:$F,"*tive")</f>
        <v>0</v>
      </c>
      <c r="D25" s="28">
        <f>COUNTIFS(Results!$E:$E,"&gt;="&amp;$I$2,Results!$E:$E,"&lt;="&amp;$I$3,Results!$L:$L,"Negative",Results!$H:$H,"Negative", Results!$F:$F,"*tive")</f>
        <v>0</v>
      </c>
      <c r="E25" s="28">
        <f>COUNTIFS(Results!$E:$E,"&gt;="&amp;$I$2,Results!$E:$E,"&lt;="&amp;$I$3,Results!$L:$L,"Negative",Results!$H:$H,"Unknown", Results!$F:$F,"*tive")</f>
        <v>0</v>
      </c>
      <c r="F25" s="28">
        <f>COUNTIFS(Results!$E:$E,"&gt;="&amp;$I$2,Results!$E:$E,"&lt;="&amp;$I$3,Results!$L:$L,"Negative", Results!$F:$F,"*tive",  Results!$H:$H,"&lt;&gt;Not on Form", Results!$H:$H,"&lt;&gt;N/A", Results!$L:$L,"&lt;&gt;Not on Form", Results!$L:$L,"&lt;&gt;N/A")</f>
        <v>0</v>
      </c>
      <c r="G25" s="33"/>
      <c r="I25" s="15" t="str">
        <f t="shared" si="2"/>
        <v/>
      </c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t="14.25" hidden="1" customHeight="1">
      <c r="A26" s="26"/>
      <c r="B26" s="28" t="s">
        <v>59</v>
      </c>
      <c r="C26" s="28">
        <f>COUNTIFS(Results!$E:$E,"&gt;="&amp;$I$2,Results!$E:$E,"&lt;="&amp;$I$3,Results!$L:$L,"Not Done",Results!$H:$H,"Positive", Results!$F:$F,"*tive")</f>
        <v>0</v>
      </c>
      <c r="D26" s="28">
        <f>COUNTIFS(Results!$E:$E,"&gt;="&amp;$I$2,Results!$E:$E,"&lt;="&amp;$I$3,Results!$L:$L,"Not Done",Results!$H:$H,"Negative", Results!$F:$F,"*tive")</f>
        <v>0</v>
      </c>
      <c r="E26" s="28">
        <f>COUNTIFS(Results!$E:$E,"&gt;="&amp;$I$2,Results!$E:$E,"&lt;="&amp;$I$3,Results!$L:$L,"Not Done",Results!$H:$H,"Unknown", Results!$F:$F,"*tive")</f>
        <v>0</v>
      </c>
      <c r="F26" s="28">
        <f>COUNTIFS(Results!$E:$E,"&gt;="&amp;$I$2,Results!$E:$E,"&lt;="&amp;$I$3,Results!$L:$L,"Not Done",Results!$F:$F,"*tive",  Results!$H:$H,"&lt;&gt;Not on Form", Results!$H:$H,"&lt;&gt;N/A", Results!$L:$L,"&lt;&gt;Not on Form", Results!$L:$L,"&lt;&gt;N/A")</f>
        <v>0</v>
      </c>
      <c r="G26" s="33"/>
      <c r="I26" s="15" t="str">
        <f t="shared" si="2"/>
        <v/>
      </c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t="14.25" customHeight="1">
      <c r="A27" s="25" t="s">
        <v>60</v>
      </c>
      <c r="B27" s="28" t="s">
        <v>61</v>
      </c>
      <c r="C27" s="28">
        <f>COUNTIFS(Results!$E:$E,"&gt;="&amp;$I$2,Results!$E:$E,"&lt;="&amp;$I$3,Results!$F:$F,"Negative",Results!$H:$H,"Positive")</f>
        <v>0</v>
      </c>
      <c r="D27" s="28">
        <f>COUNTIFS(Results!$E:$E,"&gt;="&amp;$I$2,Results!$E:$E,"&lt;="&amp;$I$3,Results!$F:$F,"Negative",Results!$H:$H,"Negative")</f>
        <v>0</v>
      </c>
      <c r="E27" s="28">
        <f>COUNTIFS(Results!$E:$E,"&gt;="&amp;$I$2,Results!$E:$E,"&lt;="&amp;$I$3,Results!$F:$F,"Negative",Results!$H:$H,"Unknown")</f>
        <v>0</v>
      </c>
      <c r="F27" s="28">
        <f>COUNTIFS(Results!$E:$E,"&gt;="&amp;$I$2,Results!$E:$E,"&lt;="&amp;$I$3,Results!$F:$F,"Negative", Results!$H:$H,"&lt;&gt;Not on Form", Results!$H:$H,"&lt;&gt;N/A")</f>
        <v>0</v>
      </c>
      <c r="G27" s="31" t="str">
        <f>IF($F$9=SUM(F27:F31),"","Error! Cross information between Xpert result and HIV Status are not match; possibly there will be Erorr or missing information on MTB result OR HIV Status")</f>
        <v/>
      </c>
      <c r="I27" s="15" t="str">
        <f t="shared" si="2"/>
        <v/>
      </c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t="14.25" customHeight="1">
      <c r="A28" s="32"/>
      <c r="B28" s="28" t="s">
        <v>62</v>
      </c>
      <c r="C28" s="28">
        <f>COUNTIFS(Results!$E:$E,"&gt;="&amp;$I$2,Results!$E:$E,"&lt;="&amp;$I$3,Results!$F:$F,"Positive",Results!$G:$G,"Negative",Results!$H:$H,"Positive")</f>
        <v>0</v>
      </c>
      <c r="D28" s="28">
        <f>COUNTIFS(Results!$E:$E,"&gt;="&amp;$I$2,Results!$E:$E,"&lt;="&amp;$I$3,Results!$F:$F,"Positive",Results!$G:$G,"Negative",Results!$H:$H,"Negative")</f>
        <v>0</v>
      </c>
      <c r="E28" s="28">
        <f>COUNTIFS(Results!$E:$E,"&gt;="&amp;$I$2,Results!$E:$E,"&lt;="&amp;$I$3,Results!$F:$F,"Positive",Results!$G:$G,"Negative",Results!$H:$H,"Unknown")</f>
        <v>0</v>
      </c>
      <c r="F28" s="28">
        <f>COUNTIFS(Results!$E:$E,"&gt;="&amp;$I$2,Results!$E:$E,"&lt;="&amp;$I$3,Results!$F:$F,"Positive",Results!$G:$G,"Negative", Results!$H:$H,"&lt;&gt;Not on Form", Results!$H:$H,"&lt;&gt;N/A")</f>
        <v>0</v>
      </c>
      <c r="G28" s="33"/>
      <c r="I28" s="15" t="str">
        <f t="shared" si="2"/>
        <v/>
      </c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t="14.25" customHeight="1">
      <c r="A29" s="32"/>
      <c r="B29" s="28" t="s">
        <v>63</v>
      </c>
      <c r="C29" s="28">
        <f>COUNTIFS(Results!$E:$E,"&gt;="&amp;$I$2,Results!$E:$E,"&lt;="&amp;$I$3,Results!$F:$F,"Positive",Results!$G:$G,"Positive",Results!$H:$H,"Positive")</f>
        <v>0</v>
      </c>
      <c r="D29" s="28">
        <f>COUNTIFS(Results!$E:$E,"&gt;="&amp;$I$2,Results!$E:$E,"&lt;="&amp;$I$3,Results!$F:$F,"Positive",Results!$G:$G,"Positive",Results!$H:$H,"Negative")</f>
        <v>0</v>
      </c>
      <c r="E29" s="28">
        <f>COUNTIFS(Results!$E:$E,"&gt;="&amp;$I$2,Results!$E:$E,"&lt;="&amp;$I$3,Results!$F:$F,"Positive",Results!$G:$G,"Positive",Results!$H:$H,"Unknown")</f>
        <v>0</v>
      </c>
      <c r="F29" s="28">
        <f>COUNTIFS(Results!$E:$E,"&gt;="&amp;$I$2,Results!$E:$E,"&lt;="&amp;$I$3,Results!$F:$F,"Positive",Results!$G:$G,"Positive", Results!$H:$H,"&lt;&gt;Not on Form", Results!$H:$H,"&lt;&gt;N/A")</f>
        <v>0</v>
      </c>
      <c r="G29" s="33"/>
      <c r="I29" s="15" t="str">
        <f t="shared" si="2"/>
        <v/>
      </c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t="14.25" customHeight="1">
      <c r="A30" s="32"/>
      <c r="B30" s="28" t="s">
        <v>64</v>
      </c>
      <c r="C30" s="28">
        <f>COUNTIFS(Results!$E:$E,"&gt;="&amp;$I$2,Results!$E:$E,"&lt;="&amp;$I$3,Results!$F:$F,"Positive",Results!$G:$G,"Indeterminate",Results!$H:$H,"Positive")</f>
        <v>0</v>
      </c>
      <c r="D30" s="28">
        <f>COUNTIFS(Results!$E:$E,"&gt;="&amp;$I$2,Results!$E:$E,"&lt;="&amp;$I$3,Results!$F:$F,"Positive",Results!$G:$G,"Indeterminate",Results!$H:$H,"Negative")</f>
        <v>0</v>
      </c>
      <c r="E30" s="28">
        <f>COUNTIFS(Results!$E:$E,"&gt;="&amp;$I$2,Results!$E:$E,"&lt;="&amp;$I$3,Results!$F:$F,"Positive",Results!$G:$G,"Indeterminate",Results!$H:$H,"Unknown")</f>
        <v>0</v>
      </c>
      <c r="F30" s="28">
        <f>COUNTIFS(Results!$E:$E,"&gt;="&amp;$I$2,Results!$E:$E,"&lt;="&amp;$I$3,Results!$F:$F,"Positive",Results!$G:$G,"Indeterminate", Results!$H:$H,"&lt;&gt;Not on Form", Results!$H:$H,"&lt;&gt;N/A")</f>
        <v>0</v>
      </c>
      <c r="G30" s="33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t="14.25" customHeight="1">
      <c r="A31" s="26"/>
      <c r="B31" s="28" t="s">
        <v>65</v>
      </c>
      <c r="C31" s="28">
        <f>COUNTIFS(Results!$E:$E,"&gt;="&amp;$I$2,Results!$E:$E,"&lt;="&amp;$I$3,Results!$F:$F,"Trace",Results!$G:$G,"Indeterminate",Results!$H:$H,"Positive")</f>
        <v>0</v>
      </c>
      <c r="D31" s="28">
        <f>COUNTIFS(Results!$E:$E,"&gt;="&amp;$I$2,Results!$E:$E,"&lt;="&amp;$I$3,Results!$F:$F,"Trace",Results!$G:$G,"Indeterminate",Results!$H:$H,"Negative")</f>
        <v>0</v>
      </c>
      <c r="E31" s="28">
        <f>COUNTIFS(Results!$E:$E,"&gt;="&amp;$I$2,Results!$E:$E,"&lt;="&amp;$I$3,Results!$F:$F,"Trace",Results!$G:$G,"Indeterminate",Results!$H:$H,"Unknown")</f>
        <v>0</v>
      </c>
      <c r="F31" s="28">
        <f>COUNTIFS(Results!$E:$E,"&gt;="&amp;$I$2,Results!$E:$E,"&lt;="&amp;$I$3,Results!$F:$F,"Trace",Results!$G:$G,"Indeterminate", Results!$H:$H,"&lt;&gt;Not on Form", Results!$H:$H,"&lt;&gt;N/A")</f>
        <v>0</v>
      </c>
      <c r="G31" s="33"/>
      <c r="I31" s="15" t="str">
        <f>IF(SUM(C31:E31)=F31,"","Check Total Value &amp; Category")</f>
        <v/>
      </c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t="14.25" customHeight="1">
      <c r="A32" s="15"/>
      <c r="B32" s="15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t="14.25" customHeight="1">
      <c r="A33" s="35" t="s">
        <v>69</v>
      </c>
      <c r="B33" s="36"/>
      <c r="C33" s="36"/>
      <c r="D33" s="36"/>
      <c r="E33" s="36"/>
      <c r="F33" s="36"/>
      <c r="G33" s="36"/>
      <c r="H33" s="36"/>
      <c r="I33" s="36"/>
      <c r="J33" s="36"/>
      <c r="K33" s="36"/>
      <c r="L33" s="36"/>
      <c r="M33" s="36"/>
      <c r="N33" s="36"/>
      <c r="O33" s="36"/>
      <c r="P33" s="36"/>
      <c r="Q33" s="36"/>
      <c r="R33" s="36"/>
      <c r="S33" s="36"/>
      <c r="T33" s="36"/>
      <c r="U33" s="36"/>
      <c r="V33" s="36"/>
      <c r="W33" s="36"/>
      <c r="X33" s="36"/>
      <c r="Y33" s="36"/>
      <c r="Z33" s="36"/>
    </row>
    <row r="34" ht="14.25" customHeight="1">
      <c r="A34" s="37"/>
      <c r="B34" s="37"/>
      <c r="C34" s="38" t="s">
        <v>70</v>
      </c>
      <c r="D34" s="38" t="s">
        <v>71</v>
      </c>
      <c r="E34" s="38" t="s">
        <v>72</v>
      </c>
      <c r="F34" s="38" t="s">
        <v>73</v>
      </c>
      <c r="G34" s="38" t="s">
        <v>74</v>
      </c>
      <c r="H34" s="39" t="s">
        <v>49</v>
      </c>
      <c r="I34" s="40"/>
      <c r="J34" s="40"/>
      <c r="K34" s="40"/>
      <c r="L34" s="40"/>
      <c r="M34" s="40"/>
      <c r="N34" s="40"/>
      <c r="O34" s="40"/>
      <c r="P34" s="40"/>
      <c r="Q34" s="40"/>
      <c r="R34" s="40"/>
      <c r="S34" s="40"/>
      <c r="T34" s="40"/>
      <c r="U34" s="40"/>
      <c r="V34" s="40"/>
      <c r="W34" s="40"/>
      <c r="X34" s="40"/>
      <c r="Y34" s="40"/>
      <c r="Z34" s="40"/>
    </row>
    <row r="35" ht="14.25" customHeight="1">
      <c r="A35" s="41" t="s">
        <v>60</v>
      </c>
      <c r="B35" s="42" t="s">
        <v>61</v>
      </c>
      <c r="C35" s="43">
        <f>COUNTIFS(Results!$E:$E,"&gt;="&amp;$I$2,Results!$E:$E,"&lt;="&amp;$I$3,Results!$F:$F,"Negative",Results!$S:$S,"*DX*")</f>
        <v>0</v>
      </c>
      <c r="D35" s="43">
        <f>COUNTIFS(Results!$E:$E,"&gt;="&amp;$I$2,Results!$E:$E,"&lt;="&amp;$I$3,Results!$F:$F,"Negative",Results!$S:$S,"*fu*")</f>
        <v>0</v>
      </c>
      <c r="E35" s="43">
        <f>COUNTIFS(Results!$E:$E,"&gt;="&amp;$I$2,Results!$E:$E,"&lt;="&amp;$I$3,Results!$F:$F,"Negative",Results!$S:$S,"*mdr*")</f>
        <v>0</v>
      </c>
      <c r="F35" s="43">
        <f>COUNTIFS(Results!$E:$E,"&gt;="&amp;$I$2,Results!$E:$E,"&lt;="&amp;$I$3,Results!$F:$F,"Negative",Results!$S:$S,"*dm*")</f>
        <v>0</v>
      </c>
      <c r="G35" s="43">
        <f>COUNTIFS(Results!$E:$E,"&gt;="&amp;$I$2,Results!$E:$E,"&lt;="&amp;$I$3,Results!$F:$F,"Negative",Results!$S:$S,"*na*")</f>
        <v>0</v>
      </c>
      <c r="H35" s="43">
        <f>COUNTIFS(Results!$E:$E,"&gt;="&amp;$I$2,Results!$E:$E,"&lt;="&amp;$I$3,Results!$F:$F,"Negative", Results!$O:$O,"&lt;&gt;Not on Form", Results!$O:$O,"&lt;&gt;N/A")</f>
        <v>0</v>
      </c>
      <c r="I35" s="40"/>
      <c r="J35" s="40"/>
      <c r="K35" s="40"/>
      <c r="L35" s="40"/>
      <c r="M35" s="40"/>
      <c r="N35" s="40"/>
      <c r="O35" s="40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</row>
    <row r="36" ht="14.25" customHeight="1">
      <c r="A36" s="32"/>
      <c r="B36" s="42" t="s">
        <v>62</v>
      </c>
      <c r="C36" s="43">
        <f>COUNTIFS(Results!$E:$E,"&gt;="&amp;$I$2,Results!$E:$E,"&lt;="&amp;$I$3,Results!$F:$F,"Positive",Results!$G:$G,"Negative",Results!$S:$S,"*DX*")</f>
        <v>0</v>
      </c>
      <c r="D36" s="43">
        <f>COUNTIFS(Results!$E:$E,"&gt;="&amp;$I$2,Results!$E:$E,"&lt;="&amp;$I$3,Results!$F:$F,"Positive",Results!$G:$G,"Negative",Results!$S:$S,"*fu*")</f>
        <v>0</v>
      </c>
      <c r="E36" s="43">
        <f>COUNTIFS(Results!$E:$E,"&gt;="&amp;$I$2,Results!$E:$E,"&lt;="&amp;$I$3,Results!$F:$F,"Positive",Results!$G:$G,"Negative",Results!$S:$S,"*mdr*")</f>
        <v>0</v>
      </c>
      <c r="F36" s="43">
        <f>COUNTIFS(Results!$E:$E,"&gt;="&amp;$I$2,Results!$E:$E,"&lt;="&amp;$I$3,Results!$F:$F,"Positive",Results!$G:$G,"Negative",Results!$S:$S,"*Dm*")</f>
        <v>0</v>
      </c>
      <c r="G36" s="43">
        <f>COUNTIFS(Results!$E:$E,"&gt;="&amp;$I$2,Results!$E:$E,"&lt;="&amp;$I$3,Results!$F:$F,"Positive",Results!$G:$G,"Negative",Results!$S:$S,"*na*")</f>
        <v>0</v>
      </c>
      <c r="H36" s="43">
        <f>COUNTIFS(Results!$E:$E,"&gt;="&amp;$I$2,Results!$E:$E,"&lt;="&amp;$I$3,Results!$F:$F,"Positive",Results!$G:$G,"Negative", Results!$O:$O,"&lt;&gt;Not on Form", Results!$O:$O,"&lt;&gt;N/A")</f>
        <v>0</v>
      </c>
      <c r="I36" s="40"/>
      <c r="J36" s="40"/>
      <c r="K36" s="40"/>
      <c r="L36" s="40"/>
      <c r="M36" s="40"/>
      <c r="N36" s="40"/>
      <c r="O36" s="40"/>
      <c r="P36" s="40"/>
      <c r="Q36" s="40"/>
      <c r="R36" s="40"/>
      <c r="S36" s="40"/>
      <c r="T36" s="40"/>
      <c r="U36" s="40"/>
      <c r="V36" s="40"/>
      <c r="W36" s="40"/>
      <c r="X36" s="40"/>
      <c r="Y36" s="40"/>
      <c r="Z36" s="40"/>
    </row>
    <row r="37" ht="14.25" customHeight="1">
      <c r="A37" s="32"/>
      <c r="B37" s="42" t="s">
        <v>63</v>
      </c>
      <c r="C37" s="43">
        <f>COUNTIFS(Results!$E:$E,"&gt;="&amp;$I$2,Results!$E:$E,"&lt;="&amp;$I$3,Results!$F:$F,"Positive",Results!$G:$G,"Positive",Results!$S:$S,"*DX*")</f>
        <v>0</v>
      </c>
      <c r="D37" s="43">
        <f>COUNTIFS(Results!$E:$E,"&gt;="&amp;$I$2,Results!$E:$E,"&lt;="&amp;$I$3,Results!$F:$F,"Positive",Results!$G:$G,"Positive",Results!$S:$S,"*fu*")</f>
        <v>0</v>
      </c>
      <c r="E37" s="43">
        <f>COUNTIFS(Results!$E:$E,"&gt;="&amp;$I$2,Results!$E:$E,"&lt;="&amp;$I$3,Results!$F:$F,"Positive",Results!$G:$G,"Positive",Results!$S:$S,"*mdr*")</f>
        <v>0</v>
      </c>
      <c r="F37" s="43">
        <f>COUNTIFS(Results!$E:$E,"&gt;="&amp;$I$2,Results!$E:$E,"&lt;="&amp;$I$3,Results!$F:$F,"Positive",Results!$G:$G,"Positive",Results!$S:$S,"*dm*")</f>
        <v>0</v>
      </c>
      <c r="G37" s="43">
        <f>COUNTIFS(Results!$E:$E,"&gt;="&amp;$I$2,Results!$E:$E,"&lt;="&amp;$I$3,Results!$F:$F,"Positive",Results!$G:$G,"Positive",Results!$S:$S,"*na*")</f>
        <v>0</v>
      </c>
      <c r="H37" s="43">
        <f>COUNTIFS(Results!$E:$E,"&gt;="&amp;$I$2,Results!$E:$E,"&lt;="&amp;$I$3,Results!$F:$F,"Positive",Results!$G:$G,"Positive", Results!$O:$O,"&lt;&gt;Not on Form", Results!$O:$O,"&lt;&gt;N/A")</f>
        <v>0</v>
      </c>
      <c r="I37" s="40"/>
      <c r="J37" s="40"/>
      <c r="K37" s="40"/>
      <c r="L37" s="40"/>
      <c r="M37" s="40"/>
      <c r="N37" s="40"/>
      <c r="O37" s="40"/>
      <c r="P37" s="40"/>
      <c r="Q37" s="40"/>
      <c r="R37" s="40"/>
      <c r="S37" s="40"/>
      <c r="T37" s="40"/>
      <c r="U37" s="40"/>
      <c r="V37" s="40"/>
      <c r="W37" s="40"/>
      <c r="X37" s="40"/>
      <c r="Y37" s="40"/>
      <c r="Z37" s="40"/>
    </row>
    <row r="38" ht="14.25" customHeight="1">
      <c r="A38" s="32"/>
      <c r="B38" s="42" t="s">
        <v>64</v>
      </c>
      <c r="C38" s="43">
        <f>COUNTIFS(Results!$E:$E,"&gt;="&amp;$I$2,Results!$E:$E,"&lt;="&amp;$I$3,Results!$F:$F,"Positive",Results!$G:$G,"Indeterminate",Results!$S:$S,"*DX*")</f>
        <v>0</v>
      </c>
      <c r="D38" s="43">
        <f>COUNTIFS(Results!$E:$E,"&gt;="&amp;$I$2,Results!$E:$E,"&lt;="&amp;$I$3,Results!$F:$F,"Positive",Results!$G:$G,"Indeterminate",Results!$S:$S,"*fu*")</f>
        <v>0</v>
      </c>
      <c r="E38" s="43">
        <f>COUNTIFS(Results!$E:$E,"&gt;="&amp;$I$2,Results!$E:$E,"&lt;="&amp;$I$3,Results!$F:$F,"Positive",Results!$G:$G,"Indeterminate",Results!$S:$S,"*mdr*")</f>
        <v>0</v>
      </c>
      <c r="F38" s="43">
        <f>COUNTIFS(Results!$E:$E,"&gt;="&amp;$I$2,Results!$E:$E,"&lt;="&amp;$I$3,Results!$F:$F,"Positive",Results!$G:$G,"Indeterminate",Results!$S:$S,"*dm*")</f>
        <v>0</v>
      </c>
      <c r="G38" s="43">
        <f>COUNTIFS(Results!$E:$E,"&gt;="&amp;$I$2,Results!$E:$E,"&lt;="&amp;$I$3,Results!$F:$F,"Positive",Results!$G:$G,"Indeterminate",Results!$S:$S,"*na*")</f>
        <v>0</v>
      </c>
      <c r="H38" s="43">
        <f>COUNTIFS(Results!$E:$E,"&gt;="&amp;$I$2,Results!$E:$E,"&lt;="&amp;$I$3,Results!$F:$F,"Positive",Results!$G:$G,"Indeterminate", Results!$O:$O,"&lt;&gt;Not on Form", Results!$O:$O,"&lt;&gt;N/A")</f>
        <v>0</v>
      </c>
      <c r="I38" s="40"/>
      <c r="J38" s="40"/>
      <c r="K38" s="40"/>
      <c r="L38" s="40"/>
      <c r="M38" s="40"/>
      <c r="N38" s="40"/>
      <c r="O38" s="40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</row>
    <row r="39" ht="14.25" customHeight="1">
      <c r="A39" s="26"/>
      <c r="B39" s="42" t="s">
        <v>75</v>
      </c>
      <c r="C39" s="43">
        <f>COUNTIFS(Results!$E:$E,"&gt;="&amp;$I$2,Results!$E:$E,"&lt;="&amp;$I$3,Results!$F:$F,"Trace",Results!$G:$G,"Indeterminate",Results!$S:$S,"*DX*")</f>
        <v>0</v>
      </c>
      <c r="D39" s="43">
        <f>COUNTIFS(Results!$E:$E,"&gt;="&amp;$I$2,Results!$E:$E,"&lt;="&amp;$I$3,Results!$F:$F,"Trace",Results!$G:$G,"Indeterminate",Results!$S:$S,"*fu*")</f>
        <v>0</v>
      </c>
      <c r="E39" s="43">
        <f>COUNTIFS(Results!$E:$E,"&gt;="&amp;$I$2,Results!$E:$E,"&lt;="&amp;$I$3,Results!$F:$F,"Trace",Results!$G:$G,"Indeterminate",Results!$S:$S,"*mdr*")</f>
        <v>0</v>
      </c>
      <c r="F39" s="43">
        <f>COUNTIFS(Results!$E:$E,"&gt;="&amp;$I$2,Results!$E:$E,"&lt;="&amp;$I$3,Results!$F:$F,"Trace",Results!$G:$G,"Indeterminate",Results!$S:$S,"*dm*")</f>
        <v>0</v>
      </c>
      <c r="G39" s="43">
        <f>COUNTIFS(Results!$E:$E,"&gt;="&amp;$I$2,Results!$E:$E,"&lt;="&amp;$I$3,Results!$F:$F,"Trace",Results!$G:$G,"Indeterminate",Results!$S:$S,"*na*")</f>
        <v>0</v>
      </c>
      <c r="H39" s="43">
        <f>COUNTIFS(Results!$E:$E,"&gt;="&amp;$I$2,Results!$E:$E,"&lt;="&amp;$I$3,Results!$F:$F,"Trace",Results!$G:$G,"Indeterminate", Results!$O:$O,"&lt;&gt;Not on Form", Results!$O:$O,"&lt;&gt;N/A")</f>
        <v>0</v>
      </c>
      <c r="I39" s="40"/>
      <c r="J39" s="40"/>
      <c r="K39" s="40"/>
      <c r="L39" s="40"/>
      <c r="M39" s="40"/>
      <c r="N39" s="40"/>
      <c r="O39" s="40"/>
      <c r="P39" s="40"/>
      <c r="Q39" s="40"/>
      <c r="R39" s="40"/>
      <c r="S39" s="40"/>
      <c r="T39" s="40"/>
      <c r="U39" s="40"/>
      <c r="V39" s="40"/>
      <c r="W39" s="40"/>
      <c r="X39" s="40"/>
      <c r="Y39" s="40"/>
      <c r="Z39" s="40"/>
    </row>
    <row r="40" ht="14.25" customHeight="1">
      <c r="A40" s="15"/>
      <c r="B40" s="15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t="14.25" customHeight="1">
      <c r="A41" s="15"/>
      <c r="B41" s="15"/>
      <c r="C41" s="23" t="s">
        <v>47</v>
      </c>
      <c r="D41" s="24"/>
      <c r="E41" s="23" t="s">
        <v>48</v>
      </c>
      <c r="F41" s="24"/>
      <c r="G41" s="22" t="s">
        <v>49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t="14.25" customHeight="1">
      <c r="A42" s="28" t="s">
        <v>76</v>
      </c>
      <c r="B42" s="28"/>
      <c r="C42" s="23">
        <f>COUNTIFS(Results!$E:$E,"&gt;="&amp;$I$2,Results!$E:$E,"&lt;="&amp;$I$3,Results!$I:$I,"Male",Results!$F:$F,"Positive",Results!$G:$G,"Positive")</f>
        <v>0</v>
      </c>
      <c r="D42" s="24"/>
      <c r="E42" s="23">
        <f>COUNTIFS(Results!$E:$E,"&gt;="&amp;$I$2,Results!$E:$E,"&lt;="&amp;$I$3,Results!$I:$I,"Female",Results!$F:$F,"Positive",Results!$G:$G,"Positive")</f>
        <v>0</v>
      </c>
      <c r="F42" s="24"/>
      <c r="G42" s="28">
        <f>COUNTIFS(Results!$E:$E,"&gt;="&amp;$I$2,Results!$E:$E,"&lt;="&amp;$I$3,Results!$F:$F,"Positive",Results!$G:$G,"Positive", Results!$I:$I,"&lt;&gt;Not on Form", Results!$I:$I,"&lt;&gt;N/A")</f>
        <v>0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t="14.25" customHeight="1">
      <c r="A43" s="15"/>
      <c r="B43" s="15"/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t="14.25" customHeight="1">
      <c r="A44" s="15" t="s">
        <v>77</v>
      </c>
      <c r="B44" s="15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t="14.25" customHeight="1">
      <c r="A45" s="28"/>
      <c r="B45" s="28"/>
      <c r="C45" s="23" t="s">
        <v>78</v>
      </c>
      <c r="D45" s="24"/>
      <c r="E45" s="23" t="s">
        <v>79</v>
      </c>
      <c r="F45" s="24"/>
      <c r="G45" s="28" t="s">
        <v>49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t="14.25" customHeight="1">
      <c r="A46" s="44" t="s">
        <v>80</v>
      </c>
      <c r="B46" s="45"/>
      <c r="C46" s="23">
        <f>COUNTIFS(Results!$E:$E,"&gt;="&amp;$I$2,Results!$E:$E,"&lt;="&amp;$I$3,Results!$F:$F,"Positive",Results!$L:$L,"Positive")</f>
        <v>0</v>
      </c>
      <c r="D46" s="24"/>
      <c r="E46" s="23">
        <f>COUNTIFS(Results!$E:$E,"&gt;="&amp;$I$2,Results!$E:$E,"&lt;="&amp;$I$3,Results!$F:$F,"Negative",Results!$L:$L,"Positive")</f>
        <v>0</v>
      </c>
      <c r="F46" s="24"/>
      <c r="G46" s="28">
        <f>COUNTIFS(Results!$E:$E,"&gt;="&amp;$I$2,Results!$E:$E,"&lt;="&amp;$I$3,Results!$L:$L,"Positive", Results!$F:$F,"*tive", Results!$L:$L,"&lt;&gt;Not on Form", Results!$L:$L,"&lt;&gt;N/A")</f>
        <v>0</v>
      </c>
      <c r="H46" s="31" t="s">
        <v>81</v>
      </c>
      <c r="J46" s="15" t="str">
        <f t="shared" ref="J46:J48" si="3">IF(SUM(C46:F46)=G46,"","Check Total Value &amp; Category")</f>
        <v/>
      </c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t="14.25" customHeight="1">
      <c r="A47" s="44" t="s">
        <v>82</v>
      </c>
      <c r="B47" s="45"/>
      <c r="C47" s="23">
        <f>COUNTIFS(Results!$E:$E,"&gt;="&amp;$I$2,Results!$E:$E,"&lt;="&amp;$I$3,Results!$F:$F,"Positive",Results!$L:$L,"Negative")</f>
        <v>0</v>
      </c>
      <c r="D47" s="24"/>
      <c r="E47" s="23">
        <f>COUNTIFS(Results!$E:$E,"&gt;="&amp;$I$2,Results!$E:$E,"&lt;="&amp;$I$3,Results!$F:$F,"Negative",Results!$L:$L,"Negative")</f>
        <v>0</v>
      </c>
      <c r="F47" s="24"/>
      <c r="G47" s="28">
        <f>COUNTIFS(Results!$E:$E,"&gt;="&amp;$I$2,Results!$E:$E,"&lt;="&amp;$I$3,Results!$L:$L,"Negative", Results!$F:$F,"*tive", Results!$F:$F,"*tive", Results!$L:$L,"&lt;&gt;Not on Form", Results!$L:$L,"&lt;&gt;N/A")</f>
        <v>0</v>
      </c>
      <c r="H47" s="33"/>
      <c r="J47" s="15" t="str">
        <f t="shared" si="3"/>
        <v/>
      </c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t="14.25" customHeight="1">
      <c r="A48" s="44" t="s">
        <v>83</v>
      </c>
      <c r="B48" s="45"/>
      <c r="C48" s="23">
        <f>COUNTIFS(Results!$E:$E,"&gt;="&amp;$I$2,Results!$E:$E,"&lt;="&amp;$I$3,Results!$F:$F,"Positive",Results!$L:$L,"Not Done")</f>
        <v>0</v>
      </c>
      <c r="D48" s="24"/>
      <c r="E48" s="23">
        <f>COUNTIFS(Results!$E:$E,"&gt;="&amp;$I$2,Results!$E:$E,"&lt;="&amp;$I$3,Results!$F:$F,"Negative",Results!$L:$L,"Not Done")</f>
        <v>0</v>
      </c>
      <c r="F48" s="24"/>
      <c r="G48" s="28">
        <f>COUNTIFS(Results!$E:$E,"&gt;="&amp;$I$2,Results!$E:$E,"&lt;="&amp;$I$3,Results!$L:$L,"Not Done", Results!$F:$F,"*tive", Results!$F:$F,"*tive", Results!$L:$L,"&lt;&gt;Not on Form", Results!$L:$L,"&lt;&gt;N/A")</f>
        <v>0</v>
      </c>
      <c r="H48" s="33"/>
      <c r="J48" s="15" t="str">
        <f t="shared" si="3"/>
        <v/>
      </c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t="14.25" customHeight="1">
      <c r="A49" s="15"/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t="14.25" customHeight="1">
      <c r="A50" s="36"/>
      <c r="B50" s="36"/>
      <c r="C50" s="46" t="s">
        <v>78</v>
      </c>
      <c r="D50" s="24"/>
      <c r="E50" s="46" t="s">
        <v>79</v>
      </c>
      <c r="F50" s="24"/>
      <c r="G50" s="47" t="s">
        <v>49</v>
      </c>
      <c r="H50" s="36"/>
      <c r="I50" s="36"/>
      <c r="J50" s="36"/>
      <c r="K50" s="36"/>
      <c r="L50" s="36"/>
      <c r="M50" s="36"/>
      <c r="N50" s="36"/>
      <c r="O50" s="36"/>
      <c r="P50" s="36"/>
      <c r="Q50" s="36"/>
      <c r="R50" s="36"/>
      <c r="S50" s="36"/>
      <c r="T50" s="36"/>
      <c r="U50" s="36"/>
      <c r="V50" s="36"/>
      <c r="W50" s="36"/>
      <c r="X50" s="36"/>
      <c r="Y50" s="36"/>
      <c r="Z50" s="36"/>
    </row>
    <row r="51" ht="14.25" customHeight="1">
      <c r="A51" s="42" t="s">
        <v>84</v>
      </c>
      <c r="B51" s="37"/>
      <c r="C51" s="48">
        <f>COUNTIFS(Results!$E:$E,"&gt;="&amp;$I$2,Results!$E:$E,"&lt;="&amp;$I$3,Results!$F:$F,"Positive",Results!$P:$P,"CXR")</f>
        <v>0</v>
      </c>
      <c r="D51" s="24"/>
      <c r="E51" s="48">
        <f>COUNTIFS(Results!$E:$E,"&gt;="&amp;$I$2,Results!$E:$E,"&lt;="&amp;$I$3,Results!$F:$F,"Negative",Results!$P:$P,"CXR")</f>
        <v>0</v>
      </c>
      <c r="F51" s="24"/>
      <c r="G51" s="49">
        <f>COUNTIFS(Results!$E:$E,"&gt;="&amp;$I$2,Results!$E:$E,"&lt;="&amp;$I$3,Results!$F:$F,"Negative",Results!$P:$P,"CXR")</f>
        <v>0</v>
      </c>
      <c r="H51" s="40"/>
      <c r="I51" s="40"/>
      <c r="J51" s="40"/>
      <c r="K51" s="40"/>
      <c r="L51" s="40"/>
      <c r="M51" s="40"/>
      <c r="N51" s="40"/>
      <c r="O51" s="40"/>
      <c r="P51" s="40"/>
      <c r="Q51" s="40"/>
      <c r="R51" s="40"/>
      <c r="S51" s="40"/>
      <c r="T51" s="40"/>
      <c r="U51" s="40"/>
      <c r="V51" s="40"/>
      <c r="W51" s="40"/>
      <c r="X51" s="40"/>
      <c r="Y51" s="40"/>
      <c r="Z51" s="40"/>
    </row>
    <row r="52" ht="14.25" customHeight="1">
      <c r="A52" s="15"/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t="14.25" customHeight="1">
      <c r="A53" s="15" t="s">
        <v>85</v>
      </c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t="14.25" customHeight="1">
      <c r="A54" s="28"/>
      <c r="B54" s="28"/>
      <c r="C54" s="23" t="s">
        <v>86</v>
      </c>
      <c r="D54" s="24"/>
      <c r="E54" s="23" t="s">
        <v>87</v>
      </c>
      <c r="F54" s="24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t="14.25" customHeight="1">
      <c r="A55" s="44" t="s">
        <v>88</v>
      </c>
      <c r="B55" s="45"/>
      <c r="C55" s="23"/>
      <c r="D55" s="24"/>
      <c r="E55" s="23"/>
      <c r="F55" s="24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t="14.25" customHeight="1">
      <c r="A56" s="44" t="s">
        <v>89</v>
      </c>
      <c r="B56" s="45"/>
      <c r="C56" s="23"/>
      <c r="D56" s="24"/>
      <c r="E56" s="23"/>
      <c r="F56" s="24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t="14.25" customHeight="1">
      <c r="A57" s="44" t="s">
        <v>90</v>
      </c>
      <c r="B57" s="45"/>
      <c r="C57" s="23">
        <f>COUNTIFS(Results!$E:$E,"&gt;="&amp;$I$2,Results!$E:$E,"&lt;="&amp;$I$3)</f>
        <v>0</v>
      </c>
      <c r="D57" s="24"/>
      <c r="E57" s="23"/>
      <c r="F57" s="24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t="14.25" customHeight="1">
      <c r="A58" s="44" t="s">
        <v>91</v>
      </c>
      <c r="B58" s="45"/>
      <c r="C58" s="23">
        <f>C55+C56-C57</f>
        <v>0</v>
      </c>
      <c r="D58" s="24"/>
      <c r="E58" s="23"/>
      <c r="F58" s="24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t="14.25" customHeight="1">
      <c r="A59" s="50" t="s">
        <v>92</v>
      </c>
      <c r="B59" s="50"/>
      <c r="C59" s="50">
        <f>COUNTIFS(Results!$E:$E,"&gt;="&amp;$I$2,Results!$E:$E,"&lt;="&amp;$I$3,Results!$F:$F,"Error")+COUNTIFS(Results!$E:$E,"&gt;="&amp;$I$2,Results!$E:$E,"&lt;="&amp;$I$3,Results!$F:$F,"Invalid")</f>
        <v>0</v>
      </c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t="14.25" customHeight="1">
      <c r="A60" s="50" t="s">
        <v>93</v>
      </c>
      <c r="B60" s="15"/>
      <c r="C60" s="50">
        <f>COUNTIFS(Results!$E:$E,"&gt;="&amp;$I$2,Results!$E:$E,"&lt;="&amp;$I$3,Results!$F:$F,"No Result")</f>
        <v>0</v>
      </c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t="14.25" customHeight="1">
      <c r="A61" s="15"/>
      <c r="B61" s="15"/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t="14.25" customHeight="1">
      <c r="A62" s="15"/>
      <c r="B62" s="15"/>
      <c r="C62" s="15"/>
      <c r="D62" s="15"/>
      <c r="E62" s="15" t="s">
        <v>94</v>
      </c>
      <c r="F62" s="51"/>
      <c r="G62" s="51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t="14.25" customHeight="1">
      <c r="A63" s="15"/>
      <c r="B63" s="15"/>
      <c r="C63" s="15"/>
      <c r="D63" s="15"/>
      <c r="E63" s="15" t="s">
        <v>95</v>
      </c>
      <c r="F63" s="52"/>
      <c r="G63" s="52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t="14.25" customHeight="1">
      <c r="A64" s="15"/>
      <c r="B64" s="15"/>
      <c r="C64" s="15"/>
      <c r="D64" s="15"/>
      <c r="E64" s="15" t="s">
        <v>96</v>
      </c>
      <c r="F64" s="52"/>
      <c r="G64" s="52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t="14.25" customHeight="1">
      <c r="A65" s="15"/>
      <c r="B65" s="15"/>
      <c r="C65" s="15"/>
      <c r="D65" s="15"/>
      <c r="E65" s="15" t="s">
        <v>97</v>
      </c>
      <c r="F65" s="52"/>
      <c r="G65" s="52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t="14.25" customHeight="1">
      <c r="A66" s="15"/>
      <c r="B66" s="15"/>
      <c r="C66" s="15"/>
      <c r="D66" s="15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t="14.25" customHeight="1">
      <c r="A67" s="15"/>
      <c r="B67" s="15"/>
      <c r="C67" s="15"/>
      <c r="D67" s="15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t="14.25" customHeight="1">
      <c r="A68" s="15"/>
      <c r="B68" s="15"/>
      <c r="C68" s="15"/>
      <c r="D68" s="15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t="14.25" customHeight="1">
      <c r="A69" s="15"/>
      <c r="B69" s="15"/>
      <c r="C69" s="15"/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t="14.25" customHeight="1">
      <c r="A70" s="15"/>
      <c r="B70" s="15"/>
      <c r="C70" s="15"/>
      <c r="D70" s="15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t="14.25" customHeight="1">
      <c r="A71" s="15"/>
      <c r="B71" s="15"/>
      <c r="C71" s="15"/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t="14.25" customHeight="1">
      <c r="A72" s="15"/>
      <c r="B72" s="15"/>
      <c r="C72" s="15"/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t="14.25" customHeight="1">
      <c r="A73" s="15"/>
      <c r="B73" s="15"/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t="14.25" customHeight="1">
      <c r="A74" s="15"/>
      <c r="B74" s="15"/>
      <c r="C74" s="15"/>
      <c r="D74" s="15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t="14.25" customHeight="1">
      <c r="A75" s="15"/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t="14.25" customHeight="1">
      <c r="A76" s="15"/>
      <c r="B76" s="15"/>
      <c r="C76" s="15"/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t="14.25" customHeight="1">
      <c r="A77" s="15"/>
      <c r="B77" s="15"/>
      <c r="C77" s="15"/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t="14.25" customHeight="1">
      <c r="A78" s="15"/>
      <c r="B78" s="15"/>
      <c r="C78" s="15"/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t="14.25" customHeight="1">
      <c r="A79" s="15"/>
      <c r="B79" s="15"/>
      <c r="C79" s="15"/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t="14.25" customHeight="1">
      <c r="A80" s="15"/>
      <c r="B80" s="15"/>
      <c r="C80" s="15"/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t="14.25" customHeight="1">
      <c r="A81" s="15"/>
      <c r="B81" s="15"/>
      <c r="C81" s="15"/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t="14.25" customHeight="1">
      <c r="A82" s="15"/>
      <c r="B82" s="15"/>
      <c r="C82" s="15"/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t="14.25" customHeight="1">
      <c r="A83" s="15"/>
      <c r="B83" s="15"/>
      <c r="C83" s="15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t="14.25" customHeight="1">
      <c r="A84" s="15"/>
      <c r="B84" s="15"/>
      <c r="C84" s="15"/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t="14.25" customHeight="1">
      <c r="A85" s="15"/>
      <c r="B85" s="15"/>
      <c r="C85" s="15"/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t="14.25" customHeight="1">
      <c r="A86" s="15"/>
      <c r="B86" s="15"/>
      <c r="C86" s="15"/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t="14.25" customHeight="1">
      <c r="A87" s="15"/>
      <c r="B87" s="15"/>
      <c r="C87" s="15"/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t="14.25" customHeight="1">
      <c r="A88" s="15"/>
      <c r="B88" s="15"/>
      <c r="C88" s="15"/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t="14.25" customHeight="1">
      <c r="A89" s="15"/>
      <c r="B89" s="15"/>
      <c r="C89" s="15"/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t="14.25" customHeight="1">
      <c r="A90" s="15"/>
      <c r="B90" s="15"/>
      <c r="C90" s="15"/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t="14.25" customHeight="1">
      <c r="A91" s="15"/>
      <c r="B91" s="15"/>
      <c r="C91" s="15"/>
      <c r="D91" s="15"/>
      <c r="E91" s="15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t="14.25" customHeight="1">
      <c r="A92" s="15"/>
      <c r="B92" s="15"/>
      <c r="C92" s="15"/>
      <c r="D92" s="15"/>
      <c r="E92" s="15"/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t="14.25" customHeight="1">
      <c r="A93" s="15"/>
      <c r="B93" s="15"/>
      <c r="C93" s="15"/>
      <c r="D93" s="15"/>
      <c r="E93" s="15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t="14.25" customHeight="1">
      <c r="A94" s="15"/>
      <c r="B94" s="15"/>
      <c r="C94" s="15"/>
      <c r="D94" s="15"/>
      <c r="E94" s="15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t="14.25" customHeight="1">
      <c r="A95" s="15"/>
      <c r="B95" s="15"/>
      <c r="C95" s="15"/>
      <c r="D95" s="15"/>
      <c r="E95" s="15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t="14.25" customHeight="1">
      <c r="A96" s="15"/>
      <c r="B96" s="15"/>
      <c r="C96" s="15"/>
      <c r="D96" s="15"/>
      <c r="E96" s="15"/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t="14.25" customHeight="1">
      <c r="A97" s="15"/>
      <c r="B97" s="15"/>
      <c r="C97" s="15"/>
      <c r="D97" s="15"/>
      <c r="E97" s="15"/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t="14.25" customHeight="1">
      <c r="A98" s="15"/>
      <c r="B98" s="15"/>
      <c r="C98" s="15"/>
      <c r="D98" s="15"/>
      <c r="E98" s="15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t="14.25" customHeight="1">
      <c r="A99" s="15"/>
      <c r="B99" s="15"/>
      <c r="C99" s="15"/>
      <c r="D99" s="15"/>
      <c r="E99" s="15"/>
      <c r="F99" s="15"/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t="14.25" customHeight="1">
      <c r="A100" s="15"/>
      <c r="B100" s="15"/>
      <c r="C100" s="15"/>
      <c r="D100" s="15"/>
      <c r="E100" s="15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t="14.25" customHeight="1">
      <c r="A101" s="15"/>
      <c r="B101" s="15"/>
      <c r="C101" s="15"/>
      <c r="D101" s="15"/>
      <c r="E101" s="15"/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t="14.25" customHeight="1">
      <c r="A102" s="15"/>
      <c r="B102" s="15"/>
      <c r="C102" s="15"/>
      <c r="D102" s="15"/>
      <c r="E102" s="15"/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t="14.25" customHeight="1">
      <c r="A103" s="15"/>
      <c r="B103" s="15"/>
      <c r="C103" s="15"/>
      <c r="D103" s="15"/>
      <c r="E103" s="15"/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t="14.25" customHeight="1">
      <c r="A104" s="15"/>
      <c r="B104" s="15"/>
      <c r="C104" s="15"/>
      <c r="D104" s="15"/>
      <c r="E104" s="15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t="14.25" customHeight="1">
      <c r="A105" s="15"/>
      <c r="B105" s="15"/>
      <c r="C105" s="15"/>
      <c r="D105" s="15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t="14.25" customHeight="1">
      <c r="A106" s="15"/>
      <c r="B106" s="15"/>
      <c r="C106" s="15"/>
      <c r="D106" s="15"/>
      <c r="E106" s="15"/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t="14.25" customHeight="1">
      <c r="A107" s="15"/>
      <c r="B107" s="15"/>
      <c r="C107" s="15"/>
      <c r="D107" s="15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t="14.25" customHeight="1">
      <c r="A108" s="15"/>
      <c r="B108" s="15"/>
      <c r="C108" s="15"/>
      <c r="D108" s="15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t="14.25" customHeight="1">
      <c r="A109" s="15"/>
      <c r="B109" s="15"/>
      <c r="C109" s="15"/>
      <c r="D109" s="15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t="14.25" customHeight="1">
      <c r="A110" s="15"/>
      <c r="B110" s="15"/>
      <c r="C110" s="15"/>
      <c r="D110" s="15"/>
      <c r="E110" s="15"/>
      <c r="F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t="14.25" customHeight="1">
      <c r="A111" s="15"/>
      <c r="B111" s="15"/>
      <c r="C111" s="15"/>
      <c r="D111" s="15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t="14.25" customHeight="1">
      <c r="A112" s="15"/>
      <c r="B112" s="15"/>
      <c r="C112" s="15"/>
      <c r="D112" s="15"/>
      <c r="E112" s="15"/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t="14.25" customHeight="1">
      <c r="A113" s="15"/>
      <c r="B113" s="15"/>
      <c r="C113" s="15"/>
      <c r="D113" s="15"/>
      <c r="E113" s="15"/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t="14.25" customHeight="1">
      <c r="A114" s="15"/>
      <c r="B114" s="15"/>
      <c r="C114" s="15"/>
      <c r="D114" s="15"/>
      <c r="E114" s="15"/>
      <c r="F114" s="15"/>
      <c r="G114" s="15"/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t="14.25" customHeight="1">
      <c r="A115" s="15"/>
      <c r="B115" s="15"/>
      <c r="C115" s="15"/>
      <c r="D115" s="15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t="14.25" customHeight="1">
      <c r="A116" s="15"/>
      <c r="B116" s="15"/>
      <c r="C116" s="15"/>
      <c r="D116" s="15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t="14.25" customHeight="1">
      <c r="A117" s="15"/>
      <c r="B117" s="15"/>
      <c r="C117" s="15"/>
      <c r="D117" s="15"/>
      <c r="E117" s="15"/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t="14.25" customHeight="1">
      <c r="A118" s="15"/>
      <c r="B118" s="15"/>
      <c r="C118" s="15"/>
      <c r="D118" s="15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t="14.25" customHeight="1">
      <c r="A119" s="15"/>
      <c r="B119" s="15"/>
      <c r="C119" s="15"/>
      <c r="D119" s="15"/>
      <c r="E119" s="15"/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t="14.25" customHeight="1">
      <c r="A120" s="15"/>
      <c r="B120" s="15"/>
      <c r="C120" s="15"/>
      <c r="D120" s="15"/>
      <c r="E120" s="15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t="14.25" customHeight="1">
      <c r="A121" s="15"/>
      <c r="B121" s="15"/>
      <c r="C121" s="15"/>
      <c r="D121" s="15"/>
      <c r="E121" s="15"/>
      <c r="F121" s="15"/>
      <c r="G121" s="15"/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t="14.25" customHeight="1">
      <c r="A122" s="15"/>
      <c r="B122" s="15"/>
      <c r="C122" s="15"/>
      <c r="D122" s="15"/>
      <c r="E122" s="15"/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t="14.25" customHeight="1">
      <c r="A123" s="15"/>
      <c r="B123" s="15"/>
      <c r="C123" s="15"/>
      <c r="D123" s="15"/>
      <c r="E123" s="15"/>
      <c r="F123" s="15"/>
      <c r="G123" s="15"/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t="14.25" customHeight="1">
      <c r="A124" s="15"/>
      <c r="B124" s="15"/>
      <c r="C124" s="15"/>
      <c r="D124" s="15"/>
      <c r="E124" s="15"/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t="14.25" customHeight="1">
      <c r="A125" s="15"/>
      <c r="B125" s="15"/>
      <c r="C125" s="15"/>
      <c r="D125" s="15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t="14.25" customHeight="1">
      <c r="A126" s="15"/>
      <c r="B126" s="15"/>
      <c r="C126" s="15"/>
      <c r="D126" s="15"/>
      <c r="E126" s="15"/>
      <c r="F126" s="15"/>
      <c r="G126" s="15"/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t="14.25" customHeight="1">
      <c r="A127" s="15"/>
      <c r="B127" s="15"/>
      <c r="C127" s="15"/>
      <c r="D127" s="15"/>
      <c r="E127" s="15"/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t="14.25" customHeight="1">
      <c r="A128" s="15"/>
      <c r="B128" s="15"/>
      <c r="C128" s="15"/>
      <c r="D128" s="15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t="14.25" customHeight="1">
      <c r="A129" s="15"/>
      <c r="B129" s="15"/>
      <c r="C129" s="15"/>
      <c r="D129" s="15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t="14.25" customHeight="1">
      <c r="A130" s="15"/>
      <c r="B130" s="15"/>
      <c r="C130" s="15"/>
      <c r="D130" s="15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t="14.25" customHeight="1">
      <c r="A131" s="15"/>
      <c r="B131" s="15"/>
      <c r="C131" s="15"/>
      <c r="D131" s="15"/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t="14.25" customHeight="1">
      <c r="A132" s="15"/>
      <c r="B132" s="15"/>
      <c r="C132" s="15"/>
      <c r="D132" s="15"/>
      <c r="E132" s="15"/>
      <c r="F132" s="15"/>
      <c r="G132" s="15"/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t="14.25" customHeight="1">
      <c r="A133" s="15"/>
      <c r="B133" s="15"/>
      <c r="C133" s="15"/>
      <c r="D133" s="15"/>
      <c r="E133" s="15"/>
      <c r="F133" s="15"/>
      <c r="G133" s="15"/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t="14.25" customHeight="1">
      <c r="A134" s="15"/>
      <c r="B134" s="15"/>
      <c r="C134" s="15"/>
      <c r="D134" s="15"/>
      <c r="E134" s="15"/>
      <c r="F134" s="15"/>
      <c r="G134" s="15"/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t="14.25" customHeight="1">
      <c r="A135" s="15"/>
      <c r="B135" s="15"/>
      <c r="C135" s="15"/>
      <c r="D135" s="15"/>
      <c r="E135" s="15"/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t="14.25" customHeight="1">
      <c r="A136" s="15"/>
      <c r="B136" s="15"/>
      <c r="C136" s="15"/>
      <c r="D136" s="15"/>
      <c r="E136" s="15"/>
      <c r="F136" s="15"/>
      <c r="G136" s="15"/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t="14.25" customHeight="1">
      <c r="A137" s="15"/>
      <c r="B137" s="15"/>
      <c r="C137" s="15"/>
      <c r="D137" s="15"/>
      <c r="E137" s="15"/>
      <c r="F137" s="15"/>
      <c r="G137" s="15"/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t="14.25" customHeight="1">
      <c r="A138" s="15"/>
      <c r="B138" s="15"/>
      <c r="C138" s="15"/>
      <c r="D138" s="15"/>
      <c r="E138" s="15"/>
      <c r="F138" s="15"/>
      <c r="G138" s="15"/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t="14.25" customHeight="1">
      <c r="A139" s="15"/>
      <c r="B139" s="15"/>
      <c r="C139" s="15"/>
      <c r="D139" s="15"/>
      <c r="E139" s="15"/>
      <c r="F139" s="15"/>
      <c r="G139" s="15"/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t="14.25" customHeight="1">
      <c r="A140" s="15"/>
      <c r="B140" s="15"/>
      <c r="C140" s="15"/>
      <c r="D140" s="15"/>
      <c r="E140" s="15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t="14.25" customHeight="1">
      <c r="A141" s="15"/>
      <c r="B141" s="15"/>
      <c r="C141" s="15"/>
      <c r="D141" s="15"/>
      <c r="E141" s="15"/>
      <c r="F141" s="15"/>
      <c r="G141" s="15"/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t="14.25" customHeight="1">
      <c r="A142" s="15"/>
      <c r="B142" s="15"/>
      <c r="C142" s="15"/>
      <c r="D142" s="15"/>
      <c r="E142" s="15"/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t="14.25" customHeight="1">
      <c r="A143" s="15"/>
      <c r="B143" s="15"/>
      <c r="C143" s="15"/>
      <c r="D143" s="15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t="14.25" customHeight="1">
      <c r="A144" s="15"/>
      <c r="B144" s="15"/>
      <c r="C144" s="15"/>
      <c r="D144" s="15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t="14.25" customHeight="1">
      <c r="A145" s="15"/>
      <c r="B145" s="15"/>
      <c r="C145" s="15"/>
      <c r="D145" s="15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t="14.25" customHeight="1">
      <c r="A146" s="15"/>
      <c r="B146" s="15"/>
      <c r="C146" s="15"/>
      <c r="D146" s="15"/>
      <c r="E146" s="15"/>
      <c r="F146" s="15"/>
      <c r="G146" s="15"/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t="14.25" customHeight="1">
      <c r="A147" s="15"/>
      <c r="B147" s="15"/>
      <c r="C147" s="15"/>
      <c r="D147" s="15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t="14.25" customHeight="1">
      <c r="A148" s="15"/>
      <c r="B148" s="15"/>
      <c r="C148" s="15"/>
      <c r="D148" s="15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t="14.25" customHeight="1">
      <c r="A149" s="15"/>
      <c r="B149" s="15"/>
      <c r="C149" s="15"/>
      <c r="D149" s="15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t="14.25" customHeight="1">
      <c r="A150" s="15"/>
      <c r="B150" s="15"/>
      <c r="C150" s="15"/>
      <c r="D150" s="15"/>
      <c r="E150" s="15"/>
      <c r="F150" s="15"/>
      <c r="G150" s="15"/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t="14.25" customHeight="1">
      <c r="A151" s="15"/>
      <c r="B151" s="15"/>
      <c r="C151" s="15"/>
      <c r="D151" s="15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t="14.25" customHeight="1">
      <c r="A152" s="15"/>
      <c r="B152" s="15"/>
      <c r="C152" s="15"/>
      <c r="D152" s="15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t="14.25" customHeight="1">
      <c r="A153" s="15"/>
      <c r="B153" s="15"/>
      <c r="C153" s="15"/>
      <c r="D153" s="15"/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t="14.25" customHeight="1">
      <c r="A154" s="15"/>
      <c r="B154" s="15"/>
      <c r="C154" s="15"/>
      <c r="D154" s="15"/>
      <c r="E154" s="15"/>
      <c r="F154" s="15"/>
      <c r="G154" s="15"/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t="14.25" customHeight="1">
      <c r="A155" s="15"/>
      <c r="B155" s="15"/>
      <c r="C155" s="15"/>
      <c r="D155" s="15"/>
      <c r="E155" s="15"/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t="14.25" customHeight="1">
      <c r="A156" s="15"/>
      <c r="B156" s="15"/>
      <c r="C156" s="15"/>
      <c r="D156" s="15"/>
      <c r="E156" s="15"/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t="14.25" customHeight="1">
      <c r="A157" s="15"/>
      <c r="B157" s="15"/>
      <c r="C157" s="15"/>
      <c r="D157" s="15"/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t="14.25" customHeight="1">
      <c r="A158" s="15"/>
      <c r="B158" s="15"/>
      <c r="C158" s="15"/>
      <c r="D158" s="15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t="14.25" customHeight="1">
      <c r="A159" s="15"/>
      <c r="B159" s="15"/>
      <c r="C159" s="15"/>
      <c r="D159" s="15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t="14.25" customHeight="1">
      <c r="A160" s="15"/>
      <c r="B160" s="15"/>
      <c r="C160" s="15"/>
      <c r="D160" s="15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t="14.25" customHeight="1">
      <c r="A161" s="15"/>
      <c r="B161" s="15"/>
      <c r="C161" s="15"/>
      <c r="D161" s="15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t="14.25" customHeight="1">
      <c r="A162" s="15"/>
      <c r="B162" s="15"/>
      <c r="C162" s="15"/>
      <c r="D162" s="15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t="14.25" customHeight="1">
      <c r="A163" s="15"/>
      <c r="B163" s="15"/>
      <c r="C163" s="15"/>
      <c r="D163" s="15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t="14.25" customHeight="1">
      <c r="A164" s="15"/>
      <c r="B164" s="15"/>
      <c r="C164" s="15"/>
      <c r="D164" s="15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t="14.25" customHeight="1">
      <c r="A165" s="15"/>
      <c r="B165" s="15"/>
      <c r="C165" s="15"/>
      <c r="D165" s="15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t="14.25" customHeight="1">
      <c r="A166" s="15"/>
      <c r="B166" s="15"/>
      <c r="C166" s="15"/>
      <c r="D166" s="15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t="14.25" customHeight="1">
      <c r="A167" s="15"/>
      <c r="B167" s="15"/>
      <c r="C167" s="15"/>
      <c r="D167" s="15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t="14.25" customHeight="1">
      <c r="A168" s="15"/>
      <c r="B168" s="15"/>
      <c r="C168" s="15"/>
      <c r="D168" s="15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t="14.25" customHeight="1">
      <c r="A169" s="15"/>
      <c r="B169" s="15"/>
      <c r="C169" s="15"/>
      <c r="D169" s="15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t="14.25" customHeight="1">
      <c r="A170" s="15"/>
      <c r="B170" s="15"/>
      <c r="C170" s="15"/>
      <c r="D170" s="15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t="14.25" customHeight="1">
      <c r="A171" s="15"/>
      <c r="B171" s="15"/>
      <c r="C171" s="15"/>
      <c r="D171" s="15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t="14.25" customHeight="1">
      <c r="A172" s="15"/>
      <c r="B172" s="15"/>
      <c r="C172" s="15"/>
      <c r="D172" s="15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t="14.25" customHeight="1">
      <c r="A173" s="15"/>
      <c r="B173" s="15"/>
      <c r="C173" s="15"/>
      <c r="D173" s="15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t="14.25" customHeight="1">
      <c r="A174" s="15"/>
      <c r="B174" s="15"/>
      <c r="C174" s="15"/>
      <c r="D174" s="15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t="14.25" customHeight="1">
      <c r="A175" s="15"/>
      <c r="B175" s="15"/>
      <c r="C175" s="15"/>
      <c r="D175" s="15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t="14.25" customHeight="1">
      <c r="A176" s="15"/>
      <c r="B176" s="15"/>
      <c r="C176" s="15"/>
      <c r="D176" s="15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t="14.25" customHeight="1">
      <c r="A177" s="15"/>
      <c r="B177" s="15"/>
      <c r="C177" s="15"/>
      <c r="D177" s="15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t="14.25" customHeight="1">
      <c r="A178" s="15"/>
      <c r="B178" s="15"/>
      <c r="C178" s="15"/>
      <c r="D178" s="15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t="14.25" customHeight="1">
      <c r="A179" s="15"/>
      <c r="B179" s="15"/>
      <c r="C179" s="15"/>
      <c r="D179" s="15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t="14.25" customHeight="1">
      <c r="A180" s="15"/>
      <c r="B180" s="15"/>
      <c r="C180" s="15"/>
      <c r="D180" s="15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t="14.25" customHeight="1">
      <c r="A181" s="15"/>
      <c r="B181" s="15"/>
      <c r="C181" s="15"/>
      <c r="D181" s="15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t="14.25" customHeight="1">
      <c r="A182" s="15"/>
      <c r="B182" s="15"/>
      <c r="C182" s="15"/>
      <c r="D182" s="15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t="14.25" customHeight="1">
      <c r="A183" s="15"/>
      <c r="B183" s="15"/>
      <c r="C183" s="15"/>
      <c r="D183" s="15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t="14.25" customHeight="1">
      <c r="A184" s="15"/>
      <c r="B184" s="15"/>
      <c r="C184" s="15"/>
      <c r="D184" s="15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t="14.25" customHeight="1">
      <c r="A185" s="15"/>
      <c r="B185" s="15"/>
      <c r="C185" s="15"/>
      <c r="D185" s="15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t="14.25" customHeight="1">
      <c r="A186" s="15"/>
      <c r="B186" s="15"/>
      <c r="C186" s="15"/>
      <c r="D186" s="15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t="14.25" customHeight="1">
      <c r="A187" s="15"/>
      <c r="B187" s="15"/>
      <c r="C187" s="15"/>
      <c r="D187" s="15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t="14.25" customHeight="1">
      <c r="A188" s="15"/>
      <c r="B188" s="15"/>
      <c r="C188" s="15"/>
      <c r="D188" s="15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t="14.25" customHeight="1">
      <c r="A189" s="15"/>
      <c r="B189" s="15"/>
      <c r="C189" s="15"/>
      <c r="D189" s="15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t="14.25" customHeight="1">
      <c r="A190" s="15"/>
      <c r="B190" s="15"/>
      <c r="C190" s="15"/>
      <c r="D190" s="15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t="14.25" customHeight="1">
      <c r="A191" s="15"/>
      <c r="B191" s="15"/>
      <c r="C191" s="15"/>
      <c r="D191" s="15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t="14.25" customHeight="1">
      <c r="A192" s="15"/>
      <c r="B192" s="15"/>
      <c r="C192" s="15"/>
      <c r="D192" s="15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t="14.25" customHeight="1">
      <c r="A193" s="15"/>
      <c r="B193" s="15"/>
      <c r="C193" s="15"/>
      <c r="D193" s="15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t="14.25" customHeight="1">
      <c r="A194" s="15"/>
      <c r="B194" s="15"/>
      <c r="C194" s="15"/>
      <c r="D194" s="15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t="14.25" customHeight="1">
      <c r="A195" s="15"/>
      <c r="B195" s="15"/>
      <c r="C195" s="15"/>
      <c r="D195" s="15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t="14.25" customHeight="1">
      <c r="A196" s="15"/>
      <c r="B196" s="15"/>
      <c r="C196" s="15"/>
      <c r="D196" s="15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t="14.25" customHeight="1">
      <c r="A197" s="15"/>
      <c r="B197" s="15"/>
      <c r="C197" s="15"/>
      <c r="D197" s="15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t="14.25" customHeight="1">
      <c r="A198" s="15"/>
      <c r="B198" s="15"/>
      <c r="C198" s="15"/>
      <c r="D198" s="15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t="14.25" customHeight="1">
      <c r="A199" s="15"/>
      <c r="B199" s="15"/>
      <c r="C199" s="15"/>
      <c r="D199" s="15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t="14.25" customHeight="1">
      <c r="A200" s="15"/>
      <c r="B200" s="15"/>
      <c r="C200" s="15"/>
      <c r="D200" s="15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t="14.25" customHeight="1">
      <c r="A201" s="15"/>
      <c r="B201" s="15"/>
      <c r="C201" s="15"/>
      <c r="D201" s="15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t="14.25" customHeight="1">
      <c r="A202" s="15"/>
      <c r="B202" s="15"/>
      <c r="C202" s="15"/>
      <c r="D202" s="15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t="14.25" customHeight="1">
      <c r="A203" s="15"/>
      <c r="B203" s="15"/>
      <c r="C203" s="15"/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t="14.25" customHeight="1">
      <c r="A204" s="15"/>
      <c r="B204" s="15"/>
      <c r="C204" s="15"/>
      <c r="D204" s="15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t="14.25" customHeight="1">
      <c r="A205" s="15"/>
      <c r="B205" s="15"/>
      <c r="C205" s="15"/>
      <c r="D205" s="15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t="14.25" customHeight="1">
      <c r="A206" s="15"/>
      <c r="B206" s="15"/>
      <c r="C206" s="15"/>
      <c r="D206" s="15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t="14.25" customHeight="1">
      <c r="A207" s="15"/>
      <c r="B207" s="15"/>
      <c r="C207" s="15"/>
      <c r="D207" s="15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t="14.25" customHeight="1">
      <c r="A208" s="15"/>
      <c r="B208" s="15"/>
      <c r="C208" s="15"/>
      <c r="D208" s="15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t="14.25" customHeight="1">
      <c r="A209" s="15"/>
      <c r="B209" s="15"/>
      <c r="C209" s="15"/>
      <c r="D209" s="15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t="14.25" customHeight="1">
      <c r="A210" s="15"/>
      <c r="B210" s="15"/>
      <c r="C210" s="15"/>
      <c r="D210" s="15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t="14.25" customHeight="1">
      <c r="A211" s="15"/>
      <c r="B211" s="15"/>
      <c r="C211" s="15"/>
      <c r="D211" s="15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t="14.25" customHeight="1">
      <c r="A212" s="15"/>
      <c r="B212" s="15"/>
      <c r="C212" s="15"/>
      <c r="D212" s="15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t="14.25" customHeight="1">
      <c r="A213" s="15"/>
      <c r="B213" s="15"/>
      <c r="C213" s="15"/>
      <c r="D213" s="15"/>
      <c r="E213" s="15"/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t="14.25" customHeight="1">
      <c r="A214" s="15"/>
      <c r="B214" s="15"/>
      <c r="C214" s="15"/>
      <c r="D214" s="15"/>
      <c r="E214" s="15"/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t="14.25" customHeight="1">
      <c r="A215" s="15"/>
      <c r="B215" s="15"/>
      <c r="C215" s="15"/>
      <c r="D215" s="15"/>
      <c r="E215" s="15"/>
      <c r="F215" s="15"/>
      <c r="G215" s="15"/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t="14.25" customHeight="1">
      <c r="A216" s="15"/>
      <c r="B216" s="15"/>
      <c r="C216" s="15"/>
      <c r="D216" s="15"/>
      <c r="E216" s="15"/>
      <c r="F216" s="15"/>
      <c r="G216" s="15"/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t="14.25" customHeight="1">
      <c r="A217" s="15"/>
      <c r="B217" s="15"/>
      <c r="C217" s="15"/>
      <c r="D217" s="15"/>
      <c r="E217" s="15"/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t="14.25" customHeight="1">
      <c r="A218" s="15"/>
      <c r="B218" s="15"/>
      <c r="C218" s="15"/>
      <c r="D218" s="15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t="14.25" customHeight="1">
      <c r="A219" s="15"/>
      <c r="B219" s="15"/>
      <c r="C219" s="15"/>
      <c r="D219" s="15"/>
      <c r="E219" s="15"/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t="14.25" customHeight="1">
      <c r="A220" s="15"/>
      <c r="B220" s="15"/>
      <c r="C220" s="15"/>
      <c r="D220" s="15"/>
      <c r="E220" s="15"/>
      <c r="F220" s="15"/>
      <c r="G220" s="15"/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t="14.25" customHeight="1">
      <c r="A221" s="15"/>
      <c r="B221" s="15"/>
      <c r="C221" s="15"/>
      <c r="D221" s="15"/>
      <c r="E221" s="15"/>
      <c r="F221" s="15"/>
      <c r="G221" s="15"/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t="14.25" customHeight="1">
      <c r="A222" s="15"/>
      <c r="B222" s="15"/>
      <c r="C222" s="15"/>
      <c r="D222" s="15"/>
      <c r="E222" s="15"/>
      <c r="F222" s="15"/>
      <c r="G222" s="15"/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t="14.25" customHeight="1">
      <c r="A223" s="15"/>
      <c r="B223" s="15"/>
      <c r="C223" s="15"/>
      <c r="D223" s="15"/>
      <c r="E223" s="15"/>
      <c r="F223" s="15"/>
      <c r="G223" s="15"/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t="14.25" customHeight="1">
      <c r="A224" s="15"/>
      <c r="B224" s="15"/>
      <c r="C224" s="15"/>
      <c r="D224" s="15"/>
      <c r="E224" s="15"/>
      <c r="F224" s="15"/>
      <c r="G224" s="15"/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t="14.25" customHeight="1">
      <c r="A225" s="15"/>
      <c r="B225" s="15"/>
      <c r="C225" s="15"/>
      <c r="D225" s="15"/>
      <c r="E225" s="15"/>
      <c r="F225" s="15"/>
      <c r="G225" s="15"/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t="14.25" customHeight="1">
      <c r="A226" s="15"/>
      <c r="B226" s="15"/>
      <c r="C226" s="15"/>
      <c r="D226" s="15"/>
      <c r="E226" s="15"/>
      <c r="F226" s="15"/>
      <c r="G226" s="15"/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t="14.25" customHeight="1">
      <c r="A227" s="15"/>
      <c r="B227" s="15"/>
      <c r="C227" s="15"/>
      <c r="D227" s="15"/>
      <c r="E227" s="15"/>
      <c r="F227" s="15"/>
      <c r="G227" s="15"/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t="14.25" customHeight="1">
      <c r="A228" s="15"/>
      <c r="B228" s="15"/>
      <c r="C228" s="15"/>
      <c r="D228" s="15"/>
      <c r="E228" s="15"/>
      <c r="F228" s="15"/>
      <c r="G228" s="15"/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t="14.25" customHeight="1">
      <c r="A229" s="15"/>
      <c r="B229" s="15"/>
      <c r="C229" s="15"/>
      <c r="D229" s="15"/>
      <c r="E229" s="15"/>
      <c r="F229" s="15"/>
      <c r="G229" s="15"/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t="14.25" customHeight="1">
      <c r="A230" s="15"/>
      <c r="B230" s="15"/>
      <c r="C230" s="15"/>
      <c r="D230" s="15"/>
      <c r="E230" s="15"/>
      <c r="F230" s="15"/>
      <c r="G230" s="15"/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t="14.25" customHeight="1">
      <c r="A231" s="15"/>
      <c r="B231" s="15"/>
      <c r="C231" s="15"/>
      <c r="D231" s="15"/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t="14.25" customHeight="1">
      <c r="A232" s="15"/>
      <c r="B232" s="15"/>
      <c r="C232" s="15"/>
      <c r="D232" s="15"/>
      <c r="E232" s="15"/>
      <c r="F232" s="15"/>
      <c r="G232" s="15"/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t="14.25" customHeight="1">
      <c r="A233" s="15"/>
      <c r="B233" s="15"/>
      <c r="C233" s="15"/>
      <c r="D233" s="15"/>
      <c r="E233" s="15"/>
      <c r="F233" s="15"/>
      <c r="G233" s="15"/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t="14.25" customHeight="1">
      <c r="A234" s="15"/>
      <c r="B234" s="15"/>
      <c r="C234" s="15"/>
      <c r="D234" s="15"/>
      <c r="E234" s="15"/>
      <c r="F234" s="15"/>
      <c r="G234" s="15"/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t="14.25" customHeight="1">
      <c r="A235" s="15"/>
      <c r="B235" s="15"/>
      <c r="C235" s="15"/>
      <c r="D235" s="15"/>
      <c r="E235" s="15"/>
      <c r="F235" s="15"/>
      <c r="G235" s="15"/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t="14.25" customHeight="1">
      <c r="A236" s="15"/>
      <c r="B236" s="15"/>
      <c r="C236" s="15"/>
      <c r="D236" s="15"/>
      <c r="E236" s="15"/>
      <c r="F236" s="15"/>
      <c r="G236" s="15"/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t="14.25" customHeight="1">
      <c r="A237" s="15"/>
      <c r="B237" s="15"/>
      <c r="C237" s="15"/>
      <c r="D237" s="15"/>
      <c r="E237" s="15"/>
      <c r="F237" s="15"/>
      <c r="G237" s="15"/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t="14.25" customHeight="1">
      <c r="A238" s="15"/>
      <c r="B238" s="15"/>
      <c r="C238" s="15"/>
      <c r="D238" s="15"/>
      <c r="E238" s="15"/>
      <c r="F238" s="15"/>
      <c r="G238" s="15"/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t="14.25" customHeight="1">
      <c r="A239" s="15"/>
      <c r="B239" s="15"/>
      <c r="C239" s="15"/>
      <c r="D239" s="15"/>
      <c r="E239" s="15"/>
      <c r="F239" s="15"/>
      <c r="G239" s="15"/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t="14.25" customHeight="1">
      <c r="A240" s="15"/>
      <c r="B240" s="15"/>
      <c r="C240" s="15"/>
      <c r="D240" s="15"/>
      <c r="E240" s="15"/>
      <c r="F240" s="15"/>
      <c r="G240" s="15"/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t="14.25" customHeight="1">
      <c r="A241" s="15"/>
      <c r="B241" s="15"/>
      <c r="C241" s="15"/>
      <c r="D241" s="15"/>
      <c r="E241" s="15"/>
      <c r="F241" s="15"/>
      <c r="G241" s="15"/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t="14.25" customHeight="1">
      <c r="A242" s="15"/>
      <c r="B242" s="15"/>
      <c r="C242" s="15"/>
      <c r="D242" s="15"/>
      <c r="E242" s="15"/>
      <c r="F242" s="15"/>
      <c r="G242" s="15"/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t="14.25" customHeight="1">
      <c r="A243" s="15"/>
      <c r="B243" s="15"/>
      <c r="C243" s="15"/>
      <c r="D243" s="15"/>
      <c r="E243" s="15"/>
      <c r="F243" s="15"/>
      <c r="G243" s="15"/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t="14.25" customHeight="1">
      <c r="A244" s="15"/>
      <c r="B244" s="15"/>
      <c r="C244" s="15"/>
      <c r="D244" s="15"/>
      <c r="E244" s="15"/>
      <c r="F244" s="15"/>
      <c r="G244" s="15"/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t="14.25" customHeight="1">
      <c r="A245" s="15"/>
      <c r="B245" s="15"/>
      <c r="C245" s="15"/>
      <c r="D245" s="15"/>
      <c r="E245" s="15"/>
      <c r="F245" s="15"/>
      <c r="G245" s="15"/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t="14.25" customHeight="1">
      <c r="A246" s="15"/>
      <c r="B246" s="15"/>
      <c r="C246" s="15"/>
      <c r="D246" s="15"/>
      <c r="E246" s="15"/>
      <c r="F246" s="15"/>
      <c r="G246" s="15"/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t="14.25" customHeight="1">
      <c r="A247" s="15"/>
      <c r="B247" s="15"/>
      <c r="C247" s="15"/>
      <c r="D247" s="15"/>
      <c r="E247" s="15"/>
      <c r="F247" s="15"/>
      <c r="G247" s="15"/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t="14.25" customHeight="1">
      <c r="A248" s="15"/>
      <c r="B248" s="15"/>
      <c r="C248" s="15"/>
      <c r="D248" s="15"/>
      <c r="E248" s="15"/>
      <c r="F248" s="15"/>
      <c r="G248" s="15"/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t="14.25" customHeight="1">
      <c r="A249" s="15"/>
      <c r="B249" s="15"/>
      <c r="C249" s="15"/>
      <c r="D249" s="15"/>
      <c r="E249" s="15"/>
      <c r="F249" s="15"/>
      <c r="G249" s="15"/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t="14.25" customHeight="1">
      <c r="A250" s="15"/>
      <c r="B250" s="15"/>
      <c r="C250" s="15"/>
      <c r="D250" s="15"/>
      <c r="E250" s="15"/>
      <c r="F250" s="15"/>
      <c r="G250" s="15"/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t="14.25" customHeight="1">
      <c r="A251" s="15"/>
      <c r="B251" s="15"/>
      <c r="C251" s="15"/>
      <c r="D251" s="15"/>
      <c r="E251" s="15"/>
      <c r="F251" s="15"/>
      <c r="G251" s="15"/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t="14.25" customHeight="1">
      <c r="A252" s="15"/>
      <c r="B252" s="15"/>
      <c r="C252" s="15"/>
      <c r="D252" s="15"/>
      <c r="E252" s="15"/>
      <c r="F252" s="15"/>
      <c r="G252" s="15"/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t="14.25" customHeight="1">
      <c r="A253" s="15"/>
      <c r="B253" s="15"/>
      <c r="C253" s="15"/>
      <c r="D253" s="15"/>
      <c r="E253" s="15"/>
      <c r="F253" s="15"/>
      <c r="G253" s="15"/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t="14.25" customHeight="1">
      <c r="A254" s="15"/>
      <c r="B254" s="15"/>
      <c r="C254" s="15"/>
      <c r="D254" s="15"/>
      <c r="E254" s="15"/>
      <c r="F254" s="15"/>
      <c r="G254" s="15"/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t="14.25" customHeight="1">
      <c r="A255" s="15"/>
      <c r="B255" s="15"/>
      <c r="C255" s="15"/>
      <c r="D255" s="15"/>
      <c r="E255" s="15"/>
      <c r="F255" s="15"/>
      <c r="G255" s="15"/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t="14.25" customHeight="1">
      <c r="A256" s="15"/>
      <c r="B256" s="15"/>
      <c r="C256" s="15"/>
      <c r="D256" s="15"/>
      <c r="E256" s="15"/>
      <c r="F256" s="15"/>
      <c r="G256" s="15"/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t="14.25" customHeight="1">
      <c r="A257" s="15"/>
      <c r="B257" s="15"/>
      <c r="C257" s="15"/>
      <c r="D257" s="15"/>
      <c r="E257" s="15"/>
      <c r="F257" s="15"/>
      <c r="G257" s="15"/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t="14.25" customHeight="1">
      <c r="A258" s="15"/>
      <c r="B258" s="15"/>
      <c r="C258" s="15"/>
      <c r="D258" s="15"/>
      <c r="E258" s="15"/>
      <c r="F258" s="15"/>
      <c r="G258" s="15"/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t="14.25" customHeight="1">
      <c r="A259" s="15"/>
      <c r="B259" s="15"/>
      <c r="C259" s="15"/>
      <c r="D259" s="15"/>
      <c r="E259" s="15"/>
      <c r="F259" s="15"/>
      <c r="G259" s="15"/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t="14.25" customHeight="1">
      <c r="A260" s="15"/>
      <c r="B260" s="15"/>
      <c r="C260" s="15"/>
      <c r="D260" s="15"/>
      <c r="E260" s="15"/>
      <c r="F260" s="15"/>
      <c r="G260" s="15"/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t="14.25" customHeight="1">
      <c r="A261" s="15"/>
      <c r="B261" s="15"/>
      <c r="C261" s="15"/>
      <c r="D261" s="15"/>
      <c r="E261" s="15"/>
      <c r="F261" s="15"/>
      <c r="G261" s="15"/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t="14.25" customHeight="1">
      <c r="A262" s="15"/>
      <c r="B262" s="15"/>
      <c r="C262" s="15"/>
      <c r="D262" s="15"/>
      <c r="E262" s="15"/>
      <c r="F262" s="15"/>
      <c r="G262" s="15"/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t="14.25" customHeight="1">
      <c r="A263" s="15"/>
      <c r="B263" s="15"/>
      <c r="C263" s="15"/>
      <c r="D263" s="15"/>
      <c r="E263" s="15"/>
      <c r="F263" s="15"/>
      <c r="G263" s="15"/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t="14.25" customHeight="1">
      <c r="A264" s="15"/>
      <c r="B264" s="15"/>
      <c r="C264" s="15"/>
      <c r="D264" s="15"/>
      <c r="E264" s="15"/>
      <c r="F264" s="15"/>
      <c r="G264" s="15"/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t="14.25" customHeight="1">
      <c r="A265" s="15"/>
      <c r="B265" s="15"/>
      <c r="C265" s="15"/>
      <c r="D265" s="15"/>
      <c r="E265" s="15"/>
      <c r="F265" s="15"/>
      <c r="G265" s="15"/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1">
    <mergeCell ref="G13:H15"/>
    <mergeCell ref="G16:H20"/>
    <mergeCell ref="G24:H26"/>
    <mergeCell ref="G27:H31"/>
    <mergeCell ref="A1:F1"/>
    <mergeCell ref="A7:A8"/>
    <mergeCell ref="B7:C7"/>
    <mergeCell ref="D7:E7"/>
    <mergeCell ref="F7:F8"/>
    <mergeCell ref="A13:A15"/>
    <mergeCell ref="A16:A20"/>
    <mergeCell ref="A24:A26"/>
    <mergeCell ref="A27:A31"/>
    <mergeCell ref="C41:D41"/>
    <mergeCell ref="E41:F41"/>
    <mergeCell ref="C42:D42"/>
    <mergeCell ref="E42:F42"/>
    <mergeCell ref="A35:A39"/>
    <mergeCell ref="C45:D45"/>
    <mergeCell ref="E45:F45"/>
    <mergeCell ref="C46:D46"/>
    <mergeCell ref="E46:F46"/>
    <mergeCell ref="H46:I48"/>
    <mergeCell ref="C47:D47"/>
    <mergeCell ref="E47:F47"/>
    <mergeCell ref="C54:D54"/>
    <mergeCell ref="C55:D55"/>
    <mergeCell ref="C56:D56"/>
    <mergeCell ref="C57:D57"/>
    <mergeCell ref="C58:D58"/>
    <mergeCell ref="E55:F55"/>
    <mergeCell ref="E56:F56"/>
    <mergeCell ref="E57:F57"/>
    <mergeCell ref="E58:F58"/>
    <mergeCell ref="C48:D48"/>
    <mergeCell ref="E48:F48"/>
    <mergeCell ref="E54:F54"/>
    <mergeCell ref="C50:D50"/>
    <mergeCell ref="E50:F50"/>
    <mergeCell ref="C51:D51"/>
    <mergeCell ref="E51:F51"/>
  </mergeCells>
  <conditionalFormatting sqref="G9">
    <cfRule type="notContainsBlanks" dxfId="0" priority="1">
      <formula>LEN(TRIM(G9))&gt;0</formula>
    </cfRule>
  </conditionalFormatting>
  <conditionalFormatting sqref="G13">
    <cfRule type="notContainsBlanks" dxfId="1" priority="2">
      <formula>LEN(TRIM(G13))&gt;0</formula>
    </cfRule>
  </conditionalFormatting>
  <conditionalFormatting sqref="G16">
    <cfRule type="notContainsBlanks" dxfId="1" priority="3">
      <formula>LEN(TRIM(G16))&gt;0</formula>
    </cfRule>
  </conditionalFormatting>
  <conditionalFormatting sqref="G24">
    <cfRule type="notContainsBlanks" dxfId="1" priority="4">
      <formula>LEN(TRIM(G24))&gt;0</formula>
    </cfRule>
  </conditionalFormatting>
  <conditionalFormatting sqref="G27">
    <cfRule type="notContainsBlanks" dxfId="1" priority="5">
      <formula>LEN(TRIM(G27))&gt;0</formula>
    </cfRule>
  </conditionalFormatting>
  <conditionalFormatting sqref="H46">
    <cfRule type="notContainsBlanks" dxfId="1" priority="6">
      <formula>LEN(TRIM(H46))&gt;0</formula>
    </cfRule>
  </conditionalFormatting>
  <conditionalFormatting sqref="I13:I20">
    <cfRule type="notContainsBlanks" dxfId="0" priority="7">
      <formula>LEN(TRIM(I13))&gt;0</formula>
    </cfRule>
  </conditionalFormatting>
  <conditionalFormatting sqref="I24:I31">
    <cfRule type="notContainsBlanks" dxfId="0" priority="8">
      <formula>LEN(TRIM(I24))&gt;0</formula>
    </cfRule>
  </conditionalFormatting>
  <conditionalFormatting sqref="J46:J48">
    <cfRule type="notContainsBlanks" dxfId="0" priority="9">
      <formula>LEN(TRIM(J46))&gt;0</formula>
    </cfRule>
  </conditionalFormatting>
  <printOptions/>
  <pageMargins bottom="0.75" footer="0.0" header="0.0" left="0.7" right="0.7" top="0.75"/>
  <pageSetup orientation="portrait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13.78"/>
    <col customWidth="1" min="2" max="2" width="25.0"/>
    <col customWidth="1" min="3" max="3" width="8.0"/>
    <col customWidth="1" min="4" max="4" width="11.33"/>
    <col customWidth="1" min="5" max="5" width="9.33"/>
    <col customWidth="1" min="6" max="6" width="6.0"/>
    <col customWidth="1" min="7" max="7" width="9.44"/>
    <col customWidth="1" min="8" max="8" width="20.33"/>
    <col customWidth="1" min="9" max="9" width="20.44"/>
    <col customWidth="1" min="10" max="10" width="11.0"/>
    <col customWidth="1" min="11" max="12" width="10.78"/>
    <col customWidth="1" min="13" max="26" width="11.0"/>
  </cols>
  <sheetData>
    <row r="1" ht="14.25" customHeight="1">
      <c r="A1" s="14" t="s">
        <v>38</v>
      </c>
      <c r="G1" s="15"/>
      <c r="H1" s="15"/>
      <c r="I1" s="16" t="s">
        <v>39</v>
      </c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14.25" customHeight="1">
      <c r="A2" s="15"/>
      <c r="B2" s="15"/>
      <c r="C2" s="15"/>
      <c r="D2" s="15"/>
      <c r="E2" s="15"/>
      <c r="F2" s="15"/>
      <c r="G2" s="15"/>
      <c r="H2" s="17" t="s">
        <v>40</v>
      </c>
      <c r="I2" s="18" t="str">
        <f>DATE(F3, 10, 1)</f>
        <v>#VALUE!</v>
      </c>
      <c r="J2" s="15"/>
      <c r="K2" s="19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t="14.25" customHeight="1">
      <c r="A3" s="15" t="s">
        <v>100</v>
      </c>
      <c r="B3" s="15"/>
      <c r="C3" s="20" t="s">
        <v>113</v>
      </c>
      <c r="D3" s="15"/>
      <c r="E3" s="15" t="s">
        <v>43</v>
      </c>
      <c r="F3" s="20" t="str">
        <f>YEAR(Results!E3)</f>
        <v>#VALUE!</v>
      </c>
      <c r="G3" s="15"/>
      <c r="H3" s="17" t="s">
        <v>44</v>
      </c>
      <c r="I3" s="18" t="str">
        <f>EOMONTH(I2,2)</f>
        <v>#VALUE!</v>
      </c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t="14.25" customHeight="1">
      <c r="A4" s="15" t="s">
        <v>45</v>
      </c>
      <c r="B4" s="15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t="14.25" customHeight="1">
      <c r="A5" s="15"/>
      <c r="B5" s="15"/>
      <c r="C5" s="15"/>
      <c r="D5" s="15"/>
      <c r="E5" s="15"/>
      <c r="F5" s="15"/>
      <c r="G5" s="15"/>
      <c r="H5" s="15"/>
      <c r="I5" s="15"/>
      <c r="J5" s="15"/>
      <c r="K5" s="15"/>
      <c r="L5" s="15"/>
      <c r="M5" s="15"/>
      <c r="N5" s="15"/>
      <c r="O5" s="21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t="14.25" customHeight="1">
      <c r="A6" s="15" t="s">
        <v>46</v>
      </c>
      <c r="B6" s="15"/>
      <c r="C6" s="15"/>
      <c r="D6" s="15"/>
      <c r="E6" s="15"/>
      <c r="F6" s="15"/>
      <c r="G6" s="15"/>
      <c r="H6" s="15"/>
      <c r="I6" s="20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t="14.25" customHeight="1">
      <c r="A7" s="22"/>
      <c r="B7" s="23" t="s">
        <v>47</v>
      </c>
      <c r="C7" s="24"/>
      <c r="D7" s="23" t="s">
        <v>48</v>
      </c>
      <c r="E7" s="24"/>
      <c r="F7" s="25" t="s">
        <v>49</v>
      </c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t="14.25" customHeight="1">
      <c r="A8" s="26"/>
      <c r="B8" s="27" t="s">
        <v>50</v>
      </c>
      <c r="C8" s="27" t="s">
        <v>51</v>
      </c>
      <c r="D8" s="27" t="s">
        <v>50</v>
      </c>
      <c r="E8" s="27" t="s">
        <v>51</v>
      </c>
      <c r="F8" s="26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t="14.25" customHeight="1">
      <c r="A9" s="28"/>
      <c r="B9" s="28">
        <f>COUNTIFS(Results!$E:$E,"&gt;="&amp;$I$2,Results!$E:$E,"&lt;="&amp;$I$3,Results!$I:$I,"Male",Results!$J:$J,"&lt;15", Results!$F:$F,"*tive")</f>
        <v>0</v>
      </c>
      <c r="C9" s="28">
        <f>COUNTIFS(Results!$E:$E,"&gt;="&amp;$I$2,Results!$E:$E,"&lt;="&amp;$I$3,Results!$I:$I,"Male",Results!$J:$J,"&gt;=15", Results!$F:$F,"*tive")</f>
        <v>0</v>
      </c>
      <c r="D9" s="28">
        <f>COUNTIFS(Results!$E:$E,"&gt;="&amp;$I$2,Results!$E:$E,"&lt;="&amp;$I$3,Results!$I:$I,"Female",Results!$J:$J,"&lt;15", Results!$F:$F,"*tive")</f>
        <v>0</v>
      </c>
      <c r="E9" s="28">
        <f>COUNTIFS(Results!$E:$E,"&gt;="&amp;$I$2,Results!$E:$E,"&lt;="&amp;$I$3,Results!$I:$I,"Female",Results!$J:$J,"&gt;=15", Results!$F:$F,"*tive")</f>
        <v>0</v>
      </c>
      <c r="F9" s="28">
        <f>COUNTIFS(Results!$E:$E,"&gt;="&amp;$I$2,Results!$E:$E,"&lt;="&amp;$I$3, Results!$F:$F,"*tive", Results!$J:$J,"&lt;&gt;Not on Form", Results!$J:$J,"&lt;&gt;N/A", Results!$I:$I,"&lt;&gt;Not on Form", Results!$I:$I,"&lt;&gt;N/A")</f>
        <v>0</v>
      </c>
      <c r="G9" s="15" t="str">
        <f>IF(SUM(B9:E9)=F9,"","Check Total Value &amp; Category")</f>
        <v/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t="14.25" customHeight="1">
      <c r="A10" s="15"/>
      <c r="B10" s="15"/>
      <c r="C10" s="15"/>
      <c r="D10" s="15"/>
      <c r="E10" s="15"/>
      <c r="F10" s="15"/>
      <c r="G10" s="15"/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t="14.25" customHeight="1">
      <c r="A11" s="15" t="s">
        <v>52</v>
      </c>
      <c r="B11" s="15"/>
      <c r="C11" s="15"/>
      <c r="D11" s="15"/>
      <c r="E11" s="15"/>
      <c r="F11" s="15"/>
      <c r="G11" s="15"/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t="14.25" customHeight="1">
      <c r="A12" s="28"/>
      <c r="B12" s="28"/>
      <c r="C12" s="29" t="s">
        <v>53</v>
      </c>
      <c r="D12" s="29" t="s">
        <v>54</v>
      </c>
      <c r="E12" s="29" t="s">
        <v>55</v>
      </c>
      <c r="F12" s="29" t="s">
        <v>49</v>
      </c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t="15.75" customHeight="1">
      <c r="A13" s="30" t="s">
        <v>56</v>
      </c>
      <c r="B13" s="28" t="s">
        <v>57</v>
      </c>
      <c r="C13" s="28">
        <f>COUNTIFS(Results!$E:$E,"&gt;="&amp;$I$2,Results!$E:$E,"&lt;="&amp;$I$3,Results!$L:$L,"Positive",Results!$K:$K,"No", Results!$F:$F,"*tive") + COUNTIFS(Results!$E:$E,"&gt;="&amp;$I$2,Results!$E:$E,"&lt;="&amp;$I$3,Results!$L:$L,"Positive",Results!$K:$K,"On Treatment", Results!$F:$F,"*tive")</f>
        <v>0</v>
      </c>
      <c r="D13" s="28">
        <f>COUNTIFS(Results!$E:$E,"&gt;="&amp;$I$2,Results!$E:$E,"&lt;="&amp;$I$3,Results!$L:$L,"Positive",Results!$K:$K,"Yes", Results!$F:$F,"*tive")</f>
        <v>0</v>
      </c>
      <c r="E13" s="28">
        <f>COUNTIFS(Results!$E:$E,"&gt;="&amp;$I$2,Results!$E:$E,"&lt;="&amp;$I$3,Results!$L:$L,"Positive",Results!$K:$K,"Unknown", Results!$F:$F,"*tive")</f>
        <v>0</v>
      </c>
      <c r="F13" s="28">
        <f>COUNTIFS(Results!$E:$E,"&gt;="&amp;$I$2,Results!$E:$E,"&lt;="&amp;$I$3,Results!$L:$L,"Positive", Results!$F:$F,"*tive", Results!$K:$K,"&lt;&gt;Not on Form", Results!$K:$K,"&lt;&gt;N/A", Results!$L:$L,"&lt;&gt;Not on Form", Results!$L:$L,"&lt;&gt;N/A")</f>
        <v>0</v>
      </c>
      <c r="G13" s="31" t="str">
        <f>IF($F$9=SUM(F13:F15),"","Error! Microscopy result does NOT match, cross check: Missing information in Microscopy Result")</f>
        <v/>
      </c>
      <c r="I13" s="15" t="str">
        <f t="shared" ref="I13:I18" si="1">IF(SUM(C13:E13)=F13,"","Check Total Value &amp; Category")</f>
        <v/>
      </c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t="14.25" customHeight="1">
      <c r="A14" s="32"/>
      <c r="B14" s="28" t="s">
        <v>58</v>
      </c>
      <c r="C14" s="28">
        <f>COUNTIFS(Results!$E:$E,"&gt;="&amp;$I$2,Results!$E:$E,"&lt;="&amp;$I$3,Results!$L:$L,"Negative",Results!$K:$K,"No", Results!$F:$F,"*tive") + COUNTIFS(Results!$E:$E,"&gt;="&amp;$I$2,Results!$E:$E,"&lt;="&amp;$I$3,Results!$L:$L,"Negative",Results!$K:$K,"On Treatment", Results!$F:$F,"*tive")</f>
        <v>0</v>
      </c>
      <c r="D14" s="28">
        <f>COUNTIFS(Results!$E:$E,"&gt;="&amp;$I$2,Results!$E:$E,"&lt;="&amp;$I$3,Results!$L:$L,"Negative",Results!$K:$K,"Yes", Results!$F:$F,"*tive")</f>
        <v>0</v>
      </c>
      <c r="E14" s="28">
        <f>COUNTIFS(Results!$E:$E,"&gt;="&amp;$I$2,Results!$E:$E,"&lt;="&amp;$I$3,Results!$L:$L,"Negative",Results!$K:$K,"Unknown", Results!$F:$F,"*tive")</f>
        <v>0</v>
      </c>
      <c r="F14" s="28">
        <f>COUNTIFS(Results!$E:$E,"&gt;="&amp;$I$2,Results!$E:$E,"&lt;="&amp;$I$3,Results!$L:$L,"Negative", Results!$F:$F,"*tive",Results!$K:$K,"&lt;&gt;Not on Form", Results!$K:$K,"&lt;&gt;N/A", Results!$L:$L,"&lt;&gt;Not on Form", Results!$L:$L,"&lt;&gt;N/A")</f>
        <v>0</v>
      </c>
      <c r="G14" s="33"/>
      <c r="I14" s="15" t="str">
        <f t="shared" si="1"/>
        <v/>
      </c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t="14.25" customHeight="1">
      <c r="A15" s="26"/>
      <c r="B15" s="28" t="s">
        <v>59</v>
      </c>
      <c r="C15" s="28">
        <f>COUNTIFS(Results!$E:$E,"&gt;="&amp;$I$2,Results!$E:$E,"&lt;="&amp;$I$3,Results!$L:$L,"Not Done",Results!$K:$K,"No", Results!$F:$F,"*tive") + COUNTIFS(Results!$E:$E,"&gt;="&amp;$I$2,Results!$E:$E,"&lt;="&amp;$I$3,Results!$L:$L,"Not Done",Results!$K:$K,"On Treatment", Results!$F:$F,"*tive")</f>
        <v>0</v>
      </c>
      <c r="D15" s="28">
        <f>COUNTIFS(Results!$E:$E,"&gt;="&amp;$I$2,Results!$E:$E,"&lt;="&amp;$I$3,Results!$L:$L,"Not Done",Results!$K:$K,"Yes", Results!$F:$F,"*tive")</f>
        <v>0</v>
      </c>
      <c r="E15" s="28">
        <f>COUNTIFS(Results!$E:$E,"&gt;="&amp;$I$2,Results!$E:$E,"&lt;="&amp;$I$3,Results!$L:$L,"Not Done",Results!$K:$K,"Unknown", Results!$F:$F,"*tive")</f>
        <v>0</v>
      </c>
      <c r="F15" s="28">
        <f>COUNTIFS(Results!$E:$E,"&gt;="&amp;$I$2,Results!$E:$E,"&lt;="&amp;$I$3,Results!$L:$L,"Not Done", Results!$F:$F,"*tive", Results!$K:$K,"&lt;&gt;Not on Form", Results!$K:$K,"&lt;&gt;N/A", Results!$L:$L,"&lt;&gt;Not on Form", Results!$L:$L,"&lt;&gt;N/A")</f>
        <v>0</v>
      </c>
      <c r="G15" s="33"/>
      <c r="I15" s="15" t="str">
        <f t="shared" si="1"/>
        <v/>
      </c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t="14.25" customHeight="1">
      <c r="A16" s="25" t="s">
        <v>60</v>
      </c>
      <c r="B16" s="28" t="s">
        <v>61</v>
      </c>
      <c r="C16" s="28">
        <f>COUNTIFS(Results!$E:$E,"&gt;="&amp;$I$2,Results!$E:$E,"&lt;="&amp;$I$3,Results!$F:$F,"Negative",Results!$K:$K,"No") + COUNTIFS(Results!$E:$E,"&gt;="&amp;$I$2,Results!$E:$E,"&lt;="&amp;$I$3,Results!$F:$F,"Negative",Results!$K:$K,"On Treatment")</f>
        <v>0</v>
      </c>
      <c r="D16" s="28">
        <f>COUNTIFS(Results!$E:$E,"&gt;="&amp;$I$2,Results!$E:$E,"&lt;="&amp;$I$3,Results!$F:$F,"Negative",Results!$K:$K,"Yes")</f>
        <v>0</v>
      </c>
      <c r="E16" s="28">
        <f>COUNTIFS(Results!$E:$E,"&gt;="&amp;$I$2,Results!$E:$E,"&lt;="&amp;$I$3,Results!$F:$F,"Negative",Results!$K:$K,"Unknown")</f>
        <v>0</v>
      </c>
      <c r="F16" s="28">
        <f>COUNTIFS(Results!$E:$E,"&gt;="&amp;$I$2,Results!$E:$E,"&lt;="&amp;$I$3,Results!$F:$F,"Negative", Results!$K:$K,"&lt;&gt;Not on Form", Results!$K:$K,"&lt;&gt;N/A")</f>
        <v>0</v>
      </c>
      <c r="G16" s="31" t="str">
        <f>IF($F$9=SUM(F16:F20),"","Error! Cross information between Xpert result and treatment category are not match; possibly there will be Erorr or missing information on MTB result OR RIF result")</f>
        <v/>
      </c>
      <c r="I16" s="15" t="str">
        <f t="shared" si="1"/>
        <v/>
      </c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t="14.25" customHeight="1">
      <c r="A17" s="32"/>
      <c r="B17" s="28" t="s">
        <v>62</v>
      </c>
      <c r="C17" s="28">
        <f>COUNTIFS(Results!$E:$E,"&gt;="&amp;$I$2,Results!$E:$E,"&lt;="&amp;$I$3,Results!$F:$F,"Positive",Results!$G:$G,"Negative",Results!$K:$K,"No") + COUNTIFS(Results!$E:$E,"&gt;="&amp;$I$2,Results!$E:$E,"&lt;="&amp;$I$3,Results!$F:$F,"Positive",Results!$G:$G,"Negative",Results!$K:$K,"On Treatment")</f>
        <v>0</v>
      </c>
      <c r="D17" s="28">
        <f>COUNTIFS(Results!$E:$E,"&gt;="&amp;$I$2,Results!$E:$E,"&lt;="&amp;$I$3,Results!$F:$F,"Positive",Results!$G:$G,"Negative",Results!$K:$K,"Yes")</f>
        <v>0</v>
      </c>
      <c r="E17" s="28">
        <f>COUNTIFS(Results!$E:$E,"&gt;="&amp;$I$2,Results!$E:$E,"&lt;="&amp;$I$3,Results!$F:$F,"Positive",Results!$G:$G,"Negative",Results!$K:$K,"Unknown")</f>
        <v>0</v>
      </c>
      <c r="F17" s="28">
        <f>COUNTIFS(Results!$E:$E,"&gt;="&amp;$I$2,Results!$E:$E,"&lt;="&amp;$I$3,Results!$F:$F,"Positive",Results!$G:$G,"Negative", Results!$K:$K,"&lt;&gt;Not on Form", Results!$K:$K,"&lt;&gt;N/A")</f>
        <v>0</v>
      </c>
      <c r="G17" s="33"/>
      <c r="I17" s="15" t="str">
        <f t="shared" si="1"/>
        <v/>
      </c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t="14.25" customHeight="1">
      <c r="A18" s="32"/>
      <c r="B18" s="28" t="s">
        <v>63</v>
      </c>
      <c r="C18" s="28">
        <f>COUNTIFS(Results!$E:$E,"&gt;="&amp;$I$2,Results!$E:$E,"&lt;="&amp;$I$3,Results!$F:$F,"Positive",Results!$G:$G,"Positive",Results!$K:$K,"No") + COUNTIFS(Results!$E:$E,"&gt;="&amp;$I$2,Results!$E:$E,"&lt;="&amp;$I$3,Results!$F:$F,"Positive",Results!$G:$G,"Positive",Results!$K:$K,"On Treatment")</f>
        <v>0</v>
      </c>
      <c r="D18" s="28">
        <f>COUNTIFS(Results!$E:$E,"&gt;="&amp;$I$2,Results!$E:$E,"&lt;="&amp;$I$3,Results!$F:$F,"Positive",Results!$G:$G,"Positive",Results!$K:$K,"Yes")</f>
        <v>0</v>
      </c>
      <c r="E18" s="28">
        <f>COUNTIFS(Results!$E:$E,"&gt;="&amp;$I$2,Results!$E:$E,"&lt;="&amp;$I$3,Results!$F:$F,"Positive",Results!$G:$G,"Positive",Results!$K:$K,"Unknown")</f>
        <v>0</v>
      </c>
      <c r="F18" s="28">
        <f>COUNTIFS(Results!$E:$E,"&gt;="&amp;$I$2,Results!$E:$E,"&lt;="&amp;$I$3,Results!$F:$F,"Positive",Results!$G:$G,"Positive", Results!$K:$K,"&lt;&gt;Not on Form", Results!$K:$K,"&lt;&gt;N/A")</f>
        <v>0</v>
      </c>
      <c r="G18" s="33"/>
      <c r="I18" s="15" t="str">
        <f t="shared" si="1"/>
        <v/>
      </c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t="14.25" customHeight="1">
      <c r="A19" s="32"/>
      <c r="B19" s="28" t="s">
        <v>64</v>
      </c>
      <c r="C19" s="28">
        <f>COUNTIFS(Results!$E:$E,"&gt;="&amp;$I$2,Results!$E:$E,"&lt;="&amp;$I$3,Results!$F:$F,"Positive",Results!$G:$G,"Indeterminate",Results!$K:$K,"No") + COUNTIFS(Results!$E:$E,"&gt;="&amp;$I$2,Results!$E:$E,"&lt;="&amp;$I$3,Results!$F:$F,"Positive",Results!$G:$G,"Indeterminate",Results!$K:$K,"On Treatment")</f>
        <v>0</v>
      </c>
      <c r="D19" s="28">
        <f>COUNTIFS(Results!$E:$E,"&gt;="&amp;$I$2,Results!$E:$E,"&lt;="&amp;$I$3,Results!$F:$F,"Positive",Results!$G:$G,"Indeterminate",Results!$K:$K,"Yes")</f>
        <v>0</v>
      </c>
      <c r="E19" s="28">
        <f>COUNTIFS(Results!$E:$E,"&gt;="&amp;$I$2,Results!$E:$E,"&lt;="&amp;$I$3,Results!$F:$F,"Positive",Results!$G:$G,"Indeterminate",Results!$K:$K,"Unknown")</f>
        <v>0</v>
      </c>
      <c r="F19" s="28">
        <f>COUNTIFS(Results!$E:$E,"&gt;="&amp;$I$2,Results!$E:$E,"&lt;="&amp;$I$3,Results!$F:$F,"Positive",Results!$G:$G,"Indeterminate", Results!$K:$K,"&lt;&gt;Not on Form", Results!$K:$K,"&lt;&gt;N/A")</f>
        <v>0</v>
      </c>
      <c r="G19" s="33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t="14.25" customHeight="1">
      <c r="A20" s="26"/>
      <c r="B20" s="28" t="s">
        <v>65</v>
      </c>
      <c r="C20" s="28">
        <f>COUNTIFS(Results!$E:$E,"&gt;="&amp;$I$2,Results!$E:$E,"&lt;="&amp;$I$3,Results!$F:$F,"Trace",Results!$G:$G,"Indeterminate",Results!$K:$K,"No") + COUNTIFS(Results!$E:$E,"&gt;="&amp;$I$2,Results!$E:$E,"&lt;="&amp;$I$3,Results!$F:$F,"Trace",Results!$G:$G,"Indeterminate",Results!$K:$K,"On Treatment")</f>
        <v>0</v>
      </c>
      <c r="D20" s="28">
        <f>COUNTIFS(Results!$E:$E,"&gt;="&amp;$I$2,Results!$E:$E,"&lt;="&amp;$I$3,Results!$F:$F,"Trace",Results!$G:$G,"Indeterminate",Results!$K:$K,"Yes")</f>
        <v>0</v>
      </c>
      <c r="E20" s="28">
        <f>COUNTIFS(Results!$E:$E,"&gt;="&amp;$I$2,Results!$E:$E,"&lt;="&amp;$I$3,Results!$F:$F,"Trace",Results!$G:$G,"Indeterminate",Results!$K:$K,"Unknown")</f>
        <v>0</v>
      </c>
      <c r="F20" s="28">
        <f>COUNTIFS(Results!$E:$E,"&gt;="&amp;$I$2,Results!$E:$E,"&lt;="&amp;$I$3,Results!$F:$F,"Trace",Results!$G:$G,"Indeterminate", Results!$K:$K,"&lt;&gt;Not on Form", Results!$K:$K,"&lt;&gt;N/A")</f>
        <v>0</v>
      </c>
      <c r="G20" s="33"/>
      <c r="I20" s="15" t="str">
        <f>IF(SUM(C20:E20)=F20,"","Check Total Value &amp; Category")</f>
        <v/>
      </c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t="14.25" customHeight="1">
      <c r="A21" s="15"/>
      <c r="B21" s="15"/>
      <c r="C21" s="15"/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t="14.25" customHeight="1">
      <c r="A22" s="15" t="s">
        <v>66</v>
      </c>
      <c r="B22" s="15"/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t="14.25" customHeight="1">
      <c r="A23" s="28"/>
      <c r="B23" s="28"/>
      <c r="C23" s="34" t="s">
        <v>67</v>
      </c>
      <c r="D23" s="34" t="s">
        <v>68</v>
      </c>
      <c r="E23" s="27" t="s">
        <v>55</v>
      </c>
      <c r="F23" s="27" t="s">
        <v>49</v>
      </c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t="15.75" hidden="1" customHeight="1">
      <c r="A24" s="30" t="s">
        <v>56</v>
      </c>
      <c r="B24" s="28" t="s">
        <v>57</v>
      </c>
      <c r="C24" s="28">
        <f>COUNTIFS(Results!$E:$E,"&gt;="&amp;$I$2,Results!$E:$E,"&lt;="&amp;$I$3,Results!$L:$L,"Positive",Results!$H:$H,"Positive", Results!$F:$F,"*tive")</f>
        <v>0</v>
      </c>
      <c r="D24" s="28">
        <f>COUNTIFS(Results!$E:$E,"&gt;="&amp;$I$2,Results!$E:$E,"&lt;="&amp;$I$3,Results!$L:$L,"Positive",Results!$H:$H,"Negative", Results!$F:$F,"*tive")</f>
        <v>0</v>
      </c>
      <c r="E24" s="28">
        <f>COUNTIFS(Results!$E:$E,"&gt;="&amp;$I$2,Results!$E:$E,"&lt;="&amp;$I$3,Results!$L:$L,"Positive",Results!$H:$H,"Unknown", Results!$F:$F,"*tive")</f>
        <v>0</v>
      </c>
      <c r="F24" s="28">
        <f>COUNTIFS(Results!$E:$E,"&gt;="&amp;$I$2,Results!$E:$E,"&lt;="&amp;$I$3,Results!$L:$L,"Positive", Results!$F:$F,"*tive", Results!$H:$H,"&lt;&gt;Not on Form", Results!$H:$H,"&lt;&gt;N/A", Results!$L:$L,"&lt;&gt;Not on Form", Results!$L:$L,"&lt;&gt;N/A")</f>
        <v>0</v>
      </c>
      <c r="G24" s="31" t="str">
        <f>IF($F$9=SUM(F24:F26),"","Error! Microscope Result and HIV Status do NOT match; Crosscheck for missing information in Microscope Result OR HIV Status")</f>
        <v/>
      </c>
      <c r="I24" s="15" t="str">
        <f t="shared" ref="I24:I29" si="2">IF(SUM(C24:E24)=F24,"","Check Total Value &amp; Category")</f>
        <v/>
      </c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t="14.25" hidden="1" customHeight="1">
      <c r="A25" s="32"/>
      <c r="B25" s="28" t="s">
        <v>58</v>
      </c>
      <c r="C25" s="28">
        <f>COUNTIFS(Results!$E:$E,"&gt;="&amp;$I$2,Results!$E:$E,"&lt;="&amp;$I$3,Results!$L:$L,"Negative",Results!$H:$H,"Positive", Results!$F:$F,"*tive")</f>
        <v>0</v>
      </c>
      <c r="D25" s="28">
        <f>COUNTIFS(Results!$E:$E,"&gt;="&amp;$I$2,Results!$E:$E,"&lt;="&amp;$I$3,Results!$L:$L,"Negative",Results!$H:$H,"Negative", Results!$F:$F,"*tive")</f>
        <v>0</v>
      </c>
      <c r="E25" s="28">
        <f>COUNTIFS(Results!$E:$E,"&gt;="&amp;$I$2,Results!$E:$E,"&lt;="&amp;$I$3,Results!$L:$L,"Negative",Results!$H:$H,"Unknown", Results!$F:$F,"*tive")</f>
        <v>0</v>
      </c>
      <c r="F25" s="28">
        <f>COUNTIFS(Results!$E:$E,"&gt;="&amp;$I$2,Results!$E:$E,"&lt;="&amp;$I$3,Results!$L:$L,"Negative", Results!$F:$F,"*tive",  Results!$H:$H,"&lt;&gt;Not on Form", Results!$H:$H,"&lt;&gt;N/A", Results!$L:$L,"&lt;&gt;Not on Form", Results!$L:$L,"&lt;&gt;N/A")</f>
        <v>0</v>
      </c>
      <c r="G25" s="33"/>
      <c r="I25" s="15" t="str">
        <f t="shared" si="2"/>
        <v/>
      </c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t="14.25" hidden="1" customHeight="1">
      <c r="A26" s="26"/>
      <c r="B26" s="28" t="s">
        <v>59</v>
      </c>
      <c r="C26" s="28">
        <f>COUNTIFS(Results!$E:$E,"&gt;="&amp;$I$2,Results!$E:$E,"&lt;="&amp;$I$3,Results!$L:$L,"Not Done",Results!$H:$H,"Positive", Results!$F:$F,"*tive")</f>
        <v>0</v>
      </c>
      <c r="D26" s="28">
        <f>COUNTIFS(Results!$E:$E,"&gt;="&amp;$I$2,Results!$E:$E,"&lt;="&amp;$I$3,Results!$L:$L,"Not Done",Results!$H:$H,"Negative", Results!$F:$F,"*tive")</f>
        <v>0</v>
      </c>
      <c r="E26" s="28">
        <f>COUNTIFS(Results!$E:$E,"&gt;="&amp;$I$2,Results!$E:$E,"&lt;="&amp;$I$3,Results!$L:$L,"Not Done",Results!$H:$H,"Unknown", Results!$F:$F,"*tive")</f>
        <v>0</v>
      </c>
      <c r="F26" s="28">
        <f>COUNTIFS(Results!$E:$E,"&gt;="&amp;$I$2,Results!$E:$E,"&lt;="&amp;$I$3,Results!$L:$L,"Not Done",Results!$F:$F,"*tive",  Results!$H:$H,"&lt;&gt;Not on Form", Results!$H:$H,"&lt;&gt;N/A", Results!$L:$L,"&lt;&gt;Not on Form", Results!$L:$L,"&lt;&gt;N/A")</f>
        <v>0</v>
      </c>
      <c r="G26" s="33"/>
      <c r="I26" s="15" t="str">
        <f t="shared" si="2"/>
        <v/>
      </c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t="14.25" customHeight="1">
      <c r="A27" s="25" t="s">
        <v>60</v>
      </c>
      <c r="B27" s="28" t="s">
        <v>61</v>
      </c>
      <c r="C27" s="28">
        <f>COUNTIFS(Results!$E:$E,"&gt;="&amp;$I$2,Results!$E:$E,"&lt;="&amp;$I$3,Results!$F:$F,"Negative",Results!$H:$H,"Positive")</f>
        <v>0</v>
      </c>
      <c r="D27" s="28">
        <f>COUNTIFS(Results!$E:$E,"&gt;="&amp;$I$2,Results!$E:$E,"&lt;="&amp;$I$3,Results!$F:$F,"Negative",Results!$H:$H,"Negative")</f>
        <v>0</v>
      </c>
      <c r="E27" s="28">
        <f>COUNTIFS(Results!$E:$E,"&gt;="&amp;$I$2,Results!$E:$E,"&lt;="&amp;$I$3,Results!$F:$F,"Negative",Results!$H:$H,"Unknown")</f>
        <v>0</v>
      </c>
      <c r="F27" s="28">
        <f>COUNTIFS(Results!$E:$E,"&gt;="&amp;$I$2,Results!$E:$E,"&lt;="&amp;$I$3,Results!$F:$F,"Negative", Results!$H:$H,"&lt;&gt;Not on Form", Results!$H:$H,"&lt;&gt;N/A")</f>
        <v>0</v>
      </c>
      <c r="G27" s="31" t="str">
        <f>IF($F$9=SUM(F27:F31),"","Error! Cross information between Xpert result and HIV Status are not match; possibly there will be Erorr or missing information on MTB result OR HIV Status")</f>
        <v/>
      </c>
      <c r="I27" s="15" t="str">
        <f t="shared" si="2"/>
        <v/>
      </c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t="14.25" customHeight="1">
      <c r="A28" s="32"/>
      <c r="B28" s="28" t="s">
        <v>62</v>
      </c>
      <c r="C28" s="28">
        <f>COUNTIFS(Results!$E:$E,"&gt;="&amp;$I$2,Results!$E:$E,"&lt;="&amp;$I$3,Results!$F:$F,"Positive",Results!$G:$G,"Negative",Results!$H:$H,"Positive")</f>
        <v>0</v>
      </c>
      <c r="D28" s="28">
        <f>COUNTIFS(Results!$E:$E,"&gt;="&amp;$I$2,Results!$E:$E,"&lt;="&amp;$I$3,Results!$F:$F,"Positive",Results!$G:$G,"Negative",Results!$H:$H,"Negative")</f>
        <v>0</v>
      </c>
      <c r="E28" s="28">
        <f>COUNTIFS(Results!$E:$E,"&gt;="&amp;$I$2,Results!$E:$E,"&lt;="&amp;$I$3,Results!$F:$F,"Positive",Results!$G:$G,"Negative",Results!$H:$H,"Unknown")</f>
        <v>0</v>
      </c>
      <c r="F28" s="28">
        <f>COUNTIFS(Results!$E:$E,"&gt;="&amp;$I$2,Results!$E:$E,"&lt;="&amp;$I$3,Results!$F:$F,"Positive",Results!$G:$G,"Negative", Results!$H:$H,"&lt;&gt;Not on Form", Results!$H:$H,"&lt;&gt;N/A")</f>
        <v>0</v>
      </c>
      <c r="G28" s="33"/>
      <c r="I28" s="15" t="str">
        <f t="shared" si="2"/>
        <v/>
      </c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t="14.25" customHeight="1">
      <c r="A29" s="32"/>
      <c r="B29" s="28" t="s">
        <v>63</v>
      </c>
      <c r="C29" s="28">
        <f>COUNTIFS(Results!$E:$E,"&gt;="&amp;$I$2,Results!$E:$E,"&lt;="&amp;$I$3,Results!$F:$F,"Positive",Results!$G:$G,"Positive",Results!$H:$H,"Positive")</f>
        <v>0</v>
      </c>
      <c r="D29" s="28">
        <f>COUNTIFS(Results!$E:$E,"&gt;="&amp;$I$2,Results!$E:$E,"&lt;="&amp;$I$3,Results!$F:$F,"Positive",Results!$G:$G,"Positive",Results!$H:$H,"Negative")</f>
        <v>0</v>
      </c>
      <c r="E29" s="28">
        <f>COUNTIFS(Results!$E:$E,"&gt;="&amp;$I$2,Results!$E:$E,"&lt;="&amp;$I$3,Results!$F:$F,"Positive",Results!$G:$G,"Positive",Results!$H:$H,"Unknown")</f>
        <v>0</v>
      </c>
      <c r="F29" s="28">
        <f>COUNTIFS(Results!$E:$E,"&gt;="&amp;$I$2,Results!$E:$E,"&lt;="&amp;$I$3,Results!$F:$F,"Positive",Results!$G:$G,"Positive", Results!$H:$H,"&lt;&gt;Not on Form", Results!$H:$H,"&lt;&gt;N/A")</f>
        <v>0</v>
      </c>
      <c r="G29" s="33"/>
      <c r="I29" s="15" t="str">
        <f t="shared" si="2"/>
        <v/>
      </c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t="14.25" customHeight="1">
      <c r="A30" s="32"/>
      <c r="B30" s="28" t="s">
        <v>64</v>
      </c>
      <c r="C30" s="28">
        <f>COUNTIFS(Results!$E:$E,"&gt;="&amp;$I$2,Results!$E:$E,"&lt;="&amp;$I$3,Results!$F:$F,"Positive",Results!$G:$G,"Indeterminate",Results!$H:$H,"Positive")</f>
        <v>0</v>
      </c>
      <c r="D30" s="28">
        <f>COUNTIFS(Results!$E:$E,"&gt;="&amp;$I$2,Results!$E:$E,"&lt;="&amp;$I$3,Results!$F:$F,"Positive",Results!$G:$G,"Indeterminate",Results!$H:$H,"Negative")</f>
        <v>0</v>
      </c>
      <c r="E30" s="28">
        <f>COUNTIFS(Results!$E:$E,"&gt;="&amp;$I$2,Results!$E:$E,"&lt;="&amp;$I$3,Results!$F:$F,"Positive",Results!$G:$G,"Indeterminate",Results!$H:$H,"Unknown")</f>
        <v>0</v>
      </c>
      <c r="F30" s="28">
        <f>COUNTIFS(Results!$E:$E,"&gt;="&amp;$I$2,Results!$E:$E,"&lt;="&amp;$I$3,Results!$F:$F,"Positive",Results!$G:$G,"Indeterminate", Results!$H:$H,"&lt;&gt;Not on Form", Results!$H:$H,"&lt;&gt;N/A")</f>
        <v>0</v>
      </c>
      <c r="G30" s="33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t="14.25" customHeight="1">
      <c r="A31" s="26"/>
      <c r="B31" s="28" t="s">
        <v>65</v>
      </c>
      <c r="C31" s="28">
        <f>COUNTIFS(Results!$E:$E,"&gt;="&amp;$I$2,Results!$E:$E,"&lt;="&amp;$I$3,Results!$F:$F,"Trace",Results!$G:$G,"Indeterminate",Results!$H:$H,"Positive")</f>
        <v>0</v>
      </c>
      <c r="D31" s="28">
        <f>COUNTIFS(Results!$E:$E,"&gt;="&amp;$I$2,Results!$E:$E,"&lt;="&amp;$I$3,Results!$F:$F,"Trace",Results!$G:$G,"Indeterminate",Results!$H:$H,"Negative")</f>
        <v>0</v>
      </c>
      <c r="E31" s="28">
        <f>COUNTIFS(Results!$E:$E,"&gt;="&amp;$I$2,Results!$E:$E,"&lt;="&amp;$I$3,Results!$F:$F,"Trace",Results!$G:$G,"Indeterminate",Results!$H:$H,"Unknown")</f>
        <v>0</v>
      </c>
      <c r="F31" s="28">
        <f>COUNTIFS(Results!$E:$E,"&gt;="&amp;$I$2,Results!$E:$E,"&lt;="&amp;$I$3,Results!$F:$F,"Trace",Results!$G:$G,"Indeterminate", Results!$H:$H,"&lt;&gt;Not on Form", Results!$H:$H,"&lt;&gt;N/A")</f>
        <v>0</v>
      </c>
      <c r="G31" s="33"/>
      <c r="I31" s="15" t="str">
        <f>IF(SUM(C31:E31)=F31,"","Check Total Value &amp; Category")</f>
        <v/>
      </c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t="14.25" customHeight="1">
      <c r="A32" s="15"/>
      <c r="B32" s="15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t="14.25" customHeight="1">
      <c r="A33" s="35" t="s">
        <v>69</v>
      </c>
      <c r="B33" s="36"/>
      <c r="C33" s="36"/>
      <c r="D33" s="36"/>
      <c r="E33" s="36"/>
      <c r="F33" s="36"/>
      <c r="G33" s="36"/>
      <c r="H33" s="36"/>
      <c r="I33" s="36"/>
      <c r="J33" s="36"/>
      <c r="K33" s="36"/>
      <c r="L33" s="36"/>
      <c r="M33" s="36"/>
      <c r="N33" s="36"/>
      <c r="O33" s="36"/>
      <c r="P33" s="36"/>
      <c r="Q33" s="36"/>
      <c r="R33" s="36"/>
      <c r="S33" s="36"/>
      <c r="T33" s="36"/>
      <c r="U33" s="36"/>
      <c r="V33" s="36"/>
      <c r="W33" s="36"/>
      <c r="X33" s="36"/>
      <c r="Y33" s="36"/>
      <c r="Z33" s="36"/>
    </row>
    <row r="34" ht="14.25" customHeight="1">
      <c r="A34" s="37"/>
      <c r="B34" s="37"/>
      <c r="C34" s="38" t="s">
        <v>70</v>
      </c>
      <c r="D34" s="38" t="s">
        <v>71</v>
      </c>
      <c r="E34" s="38" t="s">
        <v>72</v>
      </c>
      <c r="F34" s="38" t="s">
        <v>73</v>
      </c>
      <c r="G34" s="38" t="s">
        <v>74</v>
      </c>
      <c r="H34" s="39" t="s">
        <v>49</v>
      </c>
      <c r="I34" s="40"/>
      <c r="J34" s="40"/>
      <c r="K34" s="40"/>
      <c r="L34" s="40"/>
      <c r="M34" s="40"/>
      <c r="N34" s="40"/>
      <c r="O34" s="40"/>
      <c r="P34" s="40"/>
      <c r="Q34" s="40"/>
      <c r="R34" s="40"/>
      <c r="S34" s="40"/>
      <c r="T34" s="40"/>
      <c r="U34" s="40"/>
      <c r="V34" s="40"/>
      <c r="W34" s="40"/>
      <c r="X34" s="40"/>
      <c r="Y34" s="40"/>
      <c r="Z34" s="40"/>
    </row>
    <row r="35" ht="14.25" customHeight="1">
      <c r="A35" s="41" t="s">
        <v>60</v>
      </c>
      <c r="B35" s="42" t="s">
        <v>61</v>
      </c>
      <c r="C35" s="43">
        <f>COUNTIFS(Results!$E:$E,"&gt;="&amp;$I$2,Results!$E:$E,"&lt;="&amp;$I$3,Results!$F:$F,"Negative",Results!$S:$S,"*DX*")</f>
        <v>0</v>
      </c>
      <c r="D35" s="43">
        <f>COUNTIFS(Results!$E:$E,"&gt;="&amp;$I$2,Results!$E:$E,"&lt;="&amp;$I$3,Results!$F:$F,"Negative",Results!$S:$S,"*fu*")</f>
        <v>0</v>
      </c>
      <c r="E35" s="43">
        <f>COUNTIFS(Results!$E:$E,"&gt;="&amp;$I$2,Results!$E:$E,"&lt;="&amp;$I$3,Results!$F:$F,"Negative",Results!$S:$S,"*mdr*")</f>
        <v>0</v>
      </c>
      <c r="F35" s="43">
        <f>COUNTIFS(Results!$E:$E,"&gt;="&amp;$I$2,Results!$E:$E,"&lt;="&amp;$I$3,Results!$F:$F,"Negative",Results!$S:$S,"*dm*")</f>
        <v>0</v>
      </c>
      <c r="G35" s="43">
        <f>COUNTIFS(Results!$E:$E,"&gt;="&amp;$I$2,Results!$E:$E,"&lt;="&amp;$I$3,Results!$F:$F,"Negative",Results!$S:$S,"*na*")</f>
        <v>0</v>
      </c>
      <c r="H35" s="43">
        <f>COUNTIFS(Results!$E:$E,"&gt;="&amp;$I$2,Results!$E:$E,"&lt;="&amp;$I$3,Results!$F:$F,"Negative", Results!$O:$O,"&lt;&gt;Not on Form", Results!$O:$O,"&lt;&gt;N/A")</f>
        <v>0</v>
      </c>
      <c r="I35" s="40"/>
      <c r="J35" s="40"/>
      <c r="K35" s="40"/>
      <c r="L35" s="40"/>
      <c r="M35" s="40"/>
      <c r="N35" s="40"/>
      <c r="O35" s="40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</row>
    <row r="36" ht="14.25" customHeight="1">
      <c r="A36" s="32"/>
      <c r="B36" s="42" t="s">
        <v>62</v>
      </c>
      <c r="C36" s="43">
        <f>COUNTIFS(Results!$E:$E,"&gt;="&amp;$I$2,Results!$E:$E,"&lt;="&amp;$I$3,Results!$F:$F,"Positive",Results!$G:$G,"Negative",Results!$S:$S,"*DX*")</f>
        <v>0</v>
      </c>
      <c r="D36" s="43">
        <f>COUNTIFS(Results!$E:$E,"&gt;="&amp;$I$2,Results!$E:$E,"&lt;="&amp;$I$3,Results!$F:$F,"Positive",Results!$G:$G,"Negative",Results!$S:$S,"*fu*")</f>
        <v>0</v>
      </c>
      <c r="E36" s="43">
        <f>COUNTIFS(Results!$E:$E,"&gt;="&amp;$I$2,Results!$E:$E,"&lt;="&amp;$I$3,Results!$F:$F,"Positive",Results!$G:$G,"Negative",Results!$S:$S,"*mdr*")</f>
        <v>0</v>
      </c>
      <c r="F36" s="43">
        <f>COUNTIFS(Results!$E:$E,"&gt;="&amp;$I$2,Results!$E:$E,"&lt;="&amp;$I$3,Results!$F:$F,"Positive",Results!$G:$G,"Negative",Results!$S:$S,"*Dm*")</f>
        <v>0</v>
      </c>
      <c r="G36" s="43">
        <f>COUNTIFS(Results!$E:$E,"&gt;="&amp;$I$2,Results!$E:$E,"&lt;="&amp;$I$3,Results!$F:$F,"Positive",Results!$G:$G,"Negative",Results!$S:$S,"*na*")</f>
        <v>0</v>
      </c>
      <c r="H36" s="43">
        <f>COUNTIFS(Results!$E:$E,"&gt;="&amp;$I$2,Results!$E:$E,"&lt;="&amp;$I$3,Results!$F:$F,"Positive",Results!$G:$G,"Negative", Results!$O:$O,"&lt;&gt;Not on Form", Results!$O:$O,"&lt;&gt;N/A")</f>
        <v>0</v>
      </c>
      <c r="I36" s="40"/>
      <c r="J36" s="40"/>
      <c r="K36" s="40"/>
      <c r="L36" s="40"/>
      <c r="M36" s="40"/>
      <c r="N36" s="40"/>
      <c r="O36" s="40"/>
      <c r="P36" s="40"/>
      <c r="Q36" s="40"/>
      <c r="R36" s="40"/>
      <c r="S36" s="40"/>
      <c r="T36" s="40"/>
      <c r="U36" s="40"/>
      <c r="V36" s="40"/>
      <c r="W36" s="40"/>
      <c r="X36" s="40"/>
      <c r="Y36" s="40"/>
      <c r="Z36" s="40"/>
    </row>
    <row r="37" ht="14.25" customHeight="1">
      <c r="A37" s="32"/>
      <c r="B37" s="42" t="s">
        <v>63</v>
      </c>
      <c r="C37" s="43">
        <f>COUNTIFS(Results!$E:$E,"&gt;="&amp;$I$2,Results!$E:$E,"&lt;="&amp;$I$3,Results!$F:$F,"Positive",Results!$G:$G,"Positive",Results!$S:$S,"*DX*")</f>
        <v>0</v>
      </c>
      <c r="D37" s="43">
        <f>COUNTIFS(Results!$E:$E,"&gt;="&amp;$I$2,Results!$E:$E,"&lt;="&amp;$I$3,Results!$F:$F,"Positive",Results!$G:$G,"Positive",Results!$S:$S,"*fu*")</f>
        <v>0</v>
      </c>
      <c r="E37" s="43">
        <f>COUNTIFS(Results!$E:$E,"&gt;="&amp;$I$2,Results!$E:$E,"&lt;="&amp;$I$3,Results!$F:$F,"Positive",Results!$G:$G,"Positive",Results!$S:$S,"*mdr*")</f>
        <v>0</v>
      </c>
      <c r="F37" s="43">
        <f>COUNTIFS(Results!$E:$E,"&gt;="&amp;$I$2,Results!$E:$E,"&lt;="&amp;$I$3,Results!$F:$F,"Positive",Results!$G:$G,"Positive",Results!$S:$S,"*dm*")</f>
        <v>0</v>
      </c>
      <c r="G37" s="43">
        <f>COUNTIFS(Results!$E:$E,"&gt;="&amp;$I$2,Results!$E:$E,"&lt;="&amp;$I$3,Results!$F:$F,"Positive",Results!$G:$G,"Positive",Results!$S:$S,"*na*")</f>
        <v>0</v>
      </c>
      <c r="H37" s="43">
        <f>COUNTIFS(Results!$E:$E,"&gt;="&amp;$I$2,Results!$E:$E,"&lt;="&amp;$I$3,Results!$F:$F,"Positive",Results!$G:$G,"Positive", Results!$O:$O,"&lt;&gt;Not on Form", Results!$O:$O,"&lt;&gt;N/A")</f>
        <v>0</v>
      </c>
      <c r="I37" s="40"/>
      <c r="J37" s="40"/>
      <c r="K37" s="40"/>
      <c r="L37" s="40"/>
      <c r="M37" s="40"/>
      <c r="N37" s="40"/>
      <c r="O37" s="40"/>
      <c r="P37" s="40"/>
      <c r="Q37" s="40"/>
      <c r="R37" s="40"/>
      <c r="S37" s="40"/>
      <c r="T37" s="40"/>
      <c r="U37" s="40"/>
      <c r="V37" s="40"/>
      <c r="W37" s="40"/>
      <c r="X37" s="40"/>
      <c r="Y37" s="40"/>
      <c r="Z37" s="40"/>
    </row>
    <row r="38" ht="14.25" customHeight="1">
      <c r="A38" s="32"/>
      <c r="B38" s="42" t="s">
        <v>64</v>
      </c>
      <c r="C38" s="43">
        <f>COUNTIFS(Results!$E:$E,"&gt;="&amp;$I$2,Results!$E:$E,"&lt;="&amp;$I$3,Results!$F:$F,"Positive",Results!$G:$G,"Indeterminate",Results!$S:$S,"*DX*")</f>
        <v>0</v>
      </c>
      <c r="D38" s="43">
        <f>COUNTIFS(Results!$E:$E,"&gt;="&amp;$I$2,Results!$E:$E,"&lt;="&amp;$I$3,Results!$F:$F,"Positive",Results!$G:$G,"Indeterminate",Results!$S:$S,"*fu*")</f>
        <v>0</v>
      </c>
      <c r="E38" s="43">
        <f>COUNTIFS(Results!$E:$E,"&gt;="&amp;$I$2,Results!$E:$E,"&lt;="&amp;$I$3,Results!$F:$F,"Positive",Results!$G:$G,"Indeterminate",Results!$S:$S,"*mdr*")</f>
        <v>0</v>
      </c>
      <c r="F38" s="43">
        <f>COUNTIFS(Results!$E:$E,"&gt;="&amp;$I$2,Results!$E:$E,"&lt;="&amp;$I$3,Results!$F:$F,"Positive",Results!$G:$G,"Indeterminate",Results!$S:$S,"*dm*")</f>
        <v>0</v>
      </c>
      <c r="G38" s="43">
        <f>COUNTIFS(Results!$E:$E,"&gt;="&amp;$I$2,Results!$E:$E,"&lt;="&amp;$I$3,Results!$F:$F,"Positive",Results!$G:$G,"Indeterminate",Results!$S:$S,"*na*")</f>
        <v>0</v>
      </c>
      <c r="H38" s="43">
        <f>COUNTIFS(Results!$E:$E,"&gt;="&amp;$I$2,Results!$E:$E,"&lt;="&amp;$I$3,Results!$F:$F,"Positive",Results!$G:$G,"Indeterminate", Results!$O:$O,"&lt;&gt;Not on Form", Results!$O:$O,"&lt;&gt;N/A")</f>
        <v>0</v>
      </c>
      <c r="I38" s="40"/>
      <c r="J38" s="40"/>
      <c r="K38" s="40"/>
      <c r="L38" s="40"/>
      <c r="M38" s="40"/>
      <c r="N38" s="40"/>
      <c r="O38" s="40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</row>
    <row r="39" ht="14.25" customHeight="1">
      <c r="A39" s="26"/>
      <c r="B39" s="42" t="s">
        <v>75</v>
      </c>
      <c r="C39" s="43">
        <f>COUNTIFS(Results!$E:$E,"&gt;="&amp;$I$2,Results!$E:$E,"&lt;="&amp;$I$3,Results!$F:$F,"Trace",Results!$G:$G,"Indeterminate",Results!$S:$S,"*DX*")</f>
        <v>0</v>
      </c>
      <c r="D39" s="43">
        <f>COUNTIFS(Results!$E:$E,"&gt;="&amp;$I$2,Results!$E:$E,"&lt;="&amp;$I$3,Results!$F:$F,"Trace",Results!$G:$G,"Indeterminate",Results!$S:$S,"*fu*")</f>
        <v>0</v>
      </c>
      <c r="E39" s="43">
        <f>COUNTIFS(Results!$E:$E,"&gt;="&amp;$I$2,Results!$E:$E,"&lt;="&amp;$I$3,Results!$F:$F,"Trace",Results!$G:$G,"Indeterminate",Results!$S:$S,"*mdr*")</f>
        <v>0</v>
      </c>
      <c r="F39" s="43">
        <f>COUNTIFS(Results!$E:$E,"&gt;="&amp;$I$2,Results!$E:$E,"&lt;="&amp;$I$3,Results!$F:$F,"Trace",Results!$G:$G,"Indeterminate",Results!$S:$S,"*dm*")</f>
        <v>0</v>
      </c>
      <c r="G39" s="43">
        <f>COUNTIFS(Results!$E:$E,"&gt;="&amp;$I$2,Results!$E:$E,"&lt;="&amp;$I$3,Results!$F:$F,"Trace",Results!$G:$G,"Indeterminate",Results!$S:$S,"*na*")</f>
        <v>0</v>
      </c>
      <c r="H39" s="43">
        <f>COUNTIFS(Results!$E:$E,"&gt;="&amp;$I$2,Results!$E:$E,"&lt;="&amp;$I$3,Results!$F:$F,"Trace",Results!$G:$G,"Indeterminate", Results!$O:$O,"&lt;&gt;Not on Form", Results!$O:$O,"&lt;&gt;N/A")</f>
        <v>0</v>
      </c>
      <c r="I39" s="40"/>
      <c r="J39" s="40"/>
      <c r="K39" s="40"/>
      <c r="L39" s="40"/>
      <c r="M39" s="40"/>
      <c r="N39" s="40"/>
      <c r="O39" s="40"/>
      <c r="P39" s="40"/>
      <c r="Q39" s="40"/>
      <c r="R39" s="40"/>
      <c r="S39" s="40"/>
      <c r="T39" s="40"/>
      <c r="U39" s="40"/>
      <c r="V39" s="40"/>
      <c r="W39" s="40"/>
      <c r="X39" s="40"/>
      <c r="Y39" s="40"/>
      <c r="Z39" s="40"/>
    </row>
    <row r="40" ht="14.25" customHeight="1">
      <c r="A40" s="15"/>
      <c r="B40" s="15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t="14.25" customHeight="1">
      <c r="A41" s="15"/>
      <c r="B41" s="15"/>
      <c r="C41" s="23" t="s">
        <v>47</v>
      </c>
      <c r="D41" s="24"/>
      <c r="E41" s="23" t="s">
        <v>48</v>
      </c>
      <c r="F41" s="24"/>
      <c r="G41" s="22" t="s">
        <v>49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t="14.25" customHeight="1">
      <c r="A42" s="28" t="s">
        <v>76</v>
      </c>
      <c r="B42" s="28"/>
      <c r="C42" s="23">
        <f>COUNTIFS(Results!$E:$E,"&gt;="&amp;$I$2,Results!$E:$E,"&lt;="&amp;$I$3,Results!$I:$I,"Male",Results!$F:$F,"Positive",Results!$G:$G,"Positive")</f>
        <v>0</v>
      </c>
      <c r="D42" s="24"/>
      <c r="E42" s="23">
        <f>COUNTIFS(Results!$E:$E,"&gt;="&amp;$I$2,Results!$E:$E,"&lt;="&amp;$I$3,Results!$I:$I,"Female",Results!$F:$F,"Positive",Results!$G:$G,"Positive")</f>
        <v>0</v>
      </c>
      <c r="F42" s="24"/>
      <c r="G42" s="28">
        <f>COUNTIFS(Results!$E:$E,"&gt;="&amp;$I$2,Results!$E:$E,"&lt;="&amp;$I$3,Results!$F:$F,"Positive",Results!$G:$G,"Positive", Results!$I:$I,"&lt;&gt;Not on Form", Results!$I:$I,"&lt;&gt;N/A")</f>
        <v>0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t="14.25" customHeight="1">
      <c r="A43" s="15"/>
      <c r="B43" s="15"/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t="14.25" customHeight="1">
      <c r="A44" s="15" t="s">
        <v>77</v>
      </c>
      <c r="B44" s="15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t="14.25" customHeight="1">
      <c r="A45" s="28"/>
      <c r="B45" s="28"/>
      <c r="C45" s="23" t="s">
        <v>78</v>
      </c>
      <c r="D45" s="24"/>
      <c r="E45" s="23" t="s">
        <v>79</v>
      </c>
      <c r="F45" s="24"/>
      <c r="G45" s="28" t="s">
        <v>49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t="14.25" customHeight="1">
      <c r="A46" s="44" t="s">
        <v>80</v>
      </c>
      <c r="B46" s="45"/>
      <c r="C46" s="23">
        <f>COUNTIFS(Results!$E:$E,"&gt;="&amp;$I$2,Results!$E:$E,"&lt;="&amp;$I$3,Results!$F:$F,"Positive",Results!$L:$L,"Positive")</f>
        <v>0</v>
      </c>
      <c r="D46" s="24"/>
      <c r="E46" s="23">
        <f>COUNTIFS(Results!$E:$E,"&gt;="&amp;$I$2,Results!$E:$E,"&lt;="&amp;$I$3,Results!$F:$F,"Negative",Results!$L:$L,"Positive")</f>
        <v>0</v>
      </c>
      <c r="F46" s="24"/>
      <c r="G46" s="28">
        <f>COUNTIFS(Results!$E:$E,"&gt;="&amp;$I$2,Results!$E:$E,"&lt;="&amp;$I$3,Results!$L:$L,"Positive", Results!$F:$F,"*tive", Results!$L:$L,"&lt;&gt;Not on Form", Results!$L:$L,"&lt;&gt;N/A")</f>
        <v>0</v>
      </c>
      <c r="H46" s="31" t="s">
        <v>81</v>
      </c>
      <c r="J46" s="15" t="str">
        <f t="shared" ref="J46:J48" si="3">IF(SUM(C46:F46)=G46,"","Check Total Value &amp; Category")</f>
        <v/>
      </c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t="14.25" customHeight="1">
      <c r="A47" s="44" t="s">
        <v>82</v>
      </c>
      <c r="B47" s="45"/>
      <c r="C47" s="23">
        <f>COUNTIFS(Results!$E:$E,"&gt;="&amp;$I$2,Results!$E:$E,"&lt;="&amp;$I$3,Results!$F:$F,"Positive",Results!$L:$L,"Negative")</f>
        <v>0</v>
      </c>
      <c r="D47" s="24"/>
      <c r="E47" s="23">
        <f>COUNTIFS(Results!$E:$E,"&gt;="&amp;$I$2,Results!$E:$E,"&lt;="&amp;$I$3,Results!$F:$F,"Negative",Results!$L:$L,"Negative")</f>
        <v>0</v>
      </c>
      <c r="F47" s="24"/>
      <c r="G47" s="28">
        <f>COUNTIFS(Results!$E:$E,"&gt;="&amp;$I$2,Results!$E:$E,"&lt;="&amp;$I$3,Results!$L:$L,"Negative", Results!$F:$F,"*tive", Results!$F:$F,"*tive", Results!$L:$L,"&lt;&gt;Not on Form", Results!$L:$L,"&lt;&gt;N/A")</f>
        <v>0</v>
      </c>
      <c r="H47" s="33"/>
      <c r="J47" s="15" t="str">
        <f t="shared" si="3"/>
        <v/>
      </c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t="14.25" customHeight="1">
      <c r="A48" s="44" t="s">
        <v>83</v>
      </c>
      <c r="B48" s="45"/>
      <c r="C48" s="23">
        <f>COUNTIFS(Results!$E:$E,"&gt;="&amp;$I$2,Results!$E:$E,"&lt;="&amp;$I$3,Results!$F:$F,"Positive",Results!$L:$L,"Not Done")</f>
        <v>0</v>
      </c>
      <c r="D48" s="24"/>
      <c r="E48" s="23">
        <f>COUNTIFS(Results!$E:$E,"&gt;="&amp;$I$2,Results!$E:$E,"&lt;="&amp;$I$3,Results!$F:$F,"Negative",Results!$L:$L,"Not Done")</f>
        <v>0</v>
      </c>
      <c r="F48" s="24"/>
      <c r="G48" s="28">
        <f>COUNTIFS(Results!$E:$E,"&gt;="&amp;$I$2,Results!$E:$E,"&lt;="&amp;$I$3,Results!$L:$L,"Not Done", Results!$F:$F,"*tive", Results!$F:$F,"*tive", Results!$L:$L,"&lt;&gt;Not on Form", Results!$L:$L,"&lt;&gt;N/A")</f>
        <v>0</v>
      </c>
      <c r="H48" s="33"/>
      <c r="J48" s="15" t="str">
        <f t="shared" si="3"/>
        <v/>
      </c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t="14.25" customHeight="1">
      <c r="A49" s="15"/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t="14.25" customHeight="1">
      <c r="A50" s="36"/>
      <c r="B50" s="36"/>
      <c r="C50" s="46" t="s">
        <v>78</v>
      </c>
      <c r="D50" s="24"/>
      <c r="E50" s="46" t="s">
        <v>79</v>
      </c>
      <c r="F50" s="24"/>
      <c r="G50" s="47" t="s">
        <v>49</v>
      </c>
      <c r="H50" s="36"/>
      <c r="I50" s="36"/>
      <c r="J50" s="36"/>
      <c r="K50" s="36"/>
      <c r="L50" s="36"/>
      <c r="M50" s="36"/>
      <c r="N50" s="36"/>
      <c r="O50" s="36"/>
      <c r="P50" s="36"/>
      <c r="Q50" s="36"/>
      <c r="R50" s="36"/>
      <c r="S50" s="36"/>
      <c r="T50" s="36"/>
      <c r="U50" s="36"/>
      <c r="V50" s="36"/>
      <c r="W50" s="36"/>
      <c r="X50" s="36"/>
      <c r="Y50" s="36"/>
      <c r="Z50" s="36"/>
    </row>
    <row r="51" ht="14.25" customHeight="1">
      <c r="A51" s="42" t="s">
        <v>84</v>
      </c>
      <c r="B51" s="37"/>
      <c r="C51" s="48">
        <f>COUNTIFS(Results!$E:$E,"&gt;="&amp;$I$2,Results!$E:$E,"&lt;="&amp;$I$3,Results!$F:$F,"Positive",Results!$P:$P,"CXR")</f>
        <v>0</v>
      </c>
      <c r="D51" s="24"/>
      <c r="E51" s="48">
        <f>COUNTIFS(Results!$E:$E,"&gt;="&amp;$I$2,Results!$E:$E,"&lt;="&amp;$I$3,Results!$F:$F,"Negative",Results!$P:$P,"CXR")</f>
        <v>0</v>
      </c>
      <c r="F51" s="24"/>
      <c r="G51" s="49">
        <f>COUNTIFS(Results!$E:$E,"&gt;="&amp;$I$2,Results!$E:$E,"&lt;="&amp;$I$3,Results!$F:$F,"Negative",Results!$P:$P,"CXR")</f>
        <v>0</v>
      </c>
      <c r="H51" s="40"/>
      <c r="I51" s="40"/>
      <c r="J51" s="40"/>
      <c r="K51" s="40"/>
      <c r="L51" s="40"/>
      <c r="M51" s="40"/>
      <c r="N51" s="40"/>
      <c r="O51" s="40"/>
      <c r="P51" s="40"/>
      <c r="Q51" s="40"/>
      <c r="R51" s="40"/>
      <c r="S51" s="40"/>
      <c r="T51" s="40"/>
      <c r="U51" s="40"/>
      <c r="V51" s="40"/>
      <c r="W51" s="40"/>
      <c r="X51" s="40"/>
      <c r="Y51" s="40"/>
      <c r="Z51" s="40"/>
    </row>
    <row r="52" ht="14.25" customHeight="1">
      <c r="A52" s="15"/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t="14.25" customHeight="1">
      <c r="A53" s="15" t="s">
        <v>85</v>
      </c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t="14.25" customHeight="1">
      <c r="A54" s="28"/>
      <c r="B54" s="28"/>
      <c r="C54" s="23" t="s">
        <v>86</v>
      </c>
      <c r="D54" s="24"/>
      <c r="E54" s="23" t="s">
        <v>87</v>
      </c>
      <c r="F54" s="24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t="14.25" customHeight="1">
      <c r="A55" s="44" t="s">
        <v>88</v>
      </c>
      <c r="B55" s="45"/>
      <c r="C55" s="23"/>
      <c r="D55" s="24"/>
      <c r="E55" s="23"/>
      <c r="F55" s="24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t="14.25" customHeight="1">
      <c r="A56" s="44" t="s">
        <v>89</v>
      </c>
      <c r="B56" s="45"/>
      <c r="C56" s="23"/>
      <c r="D56" s="24"/>
      <c r="E56" s="23"/>
      <c r="F56" s="24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t="14.25" customHeight="1">
      <c r="A57" s="44" t="s">
        <v>90</v>
      </c>
      <c r="B57" s="45"/>
      <c r="C57" s="23">
        <f>COUNTIFS(Results!$E:$E,"&gt;="&amp;$I$2,Results!$E:$E,"&lt;="&amp;$I$3)</f>
        <v>0</v>
      </c>
      <c r="D57" s="24"/>
      <c r="E57" s="23"/>
      <c r="F57" s="24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t="14.25" customHeight="1">
      <c r="A58" s="44" t="s">
        <v>91</v>
      </c>
      <c r="B58" s="45"/>
      <c r="C58" s="23">
        <f>C55+C56-C57</f>
        <v>0</v>
      </c>
      <c r="D58" s="24"/>
      <c r="E58" s="23"/>
      <c r="F58" s="24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t="14.25" customHeight="1">
      <c r="A59" s="50" t="s">
        <v>92</v>
      </c>
      <c r="B59" s="50"/>
      <c r="C59" s="50">
        <f>COUNTIFS(Results!$E:$E,"&gt;="&amp;$I$2,Results!$E:$E,"&lt;="&amp;$I$3,Results!$F:$F,"Error")+COUNTIFS(Results!$E:$E,"&gt;="&amp;$I$2,Results!$E:$E,"&lt;="&amp;$I$3,Results!$F:$F,"Invalid")</f>
        <v>0</v>
      </c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t="14.25" customHeight="1">
      <c r="A60" s="50" t="s">
        <v>93</v>
      </c>
      <c r="B60" s="15"/>
      <c r="C60" s="50">
        <f>COUNTIFS(Results!$E:$E,"&gt;="&amp;$I$2,Results!$E:$E,"&lt;="&amp;$I$3,Results!$F:$F,"No Result")</f>
        <v>0</v>
      </c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t="14.25" customHeight="1">
      <c r="A61" s="15"/>
      <c r="B61" s="15"/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t="14.25" customHeight="1">
      <c r="A62" s="15"/>
      <c r="B62" s="15"/>
      <c r="C62" s="15"/>
      <c r="D62" s="15"/>
      <c r="E62" s="15" t="s">
        <v>94</v>
      </c>
      <c r="F62" s="51"/>
      <c r="G62" s="51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t="14.25" customHeight="1">
      <c r="A63" s="15"/>
      <c r="B63" s="15"/>
      <c r="C63" s="15"/>
      <c r="D63" s="15"/>
      <c r="E63" s="15" t="s">
        <v>95</v>
      </c>
      <c r="F63" s="52"/>
      <c r="G63" s="52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t="14.25" customHeight="1">
      <c r="A64" s="15"/>
      <c r="B64" s="15"/>
      <c r="C64" s="15"/>
      <c r="D64" s="15"/>
      <c r="E64" s="15" t="s">
        <v>96</v>
      </c>
      <c r="F64" s="52"/>
      <c r="G64" s="52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t="14.25" customHeight="1">
      <c r="A65" s="15"/>
      <c r="B65" s="15"/>
      <c r="C65" s="15"/>
      <c r="D65" s="15"/>
      <c r="E65" s="15" t="s">
        <v>97</v>
      </c>
      <c r="F65" s="52"/>
      <c r="G65" s="52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t="14.25" customHeight="1">
      <c r="A66" s="15"/>
      <c r="B66" s="15"/>
      <c r="C66" s="15"/>
      <c r="D66" s="15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t="14.25" customHeight="1">
      <c r="A67" s="15"/>
      <c r="B67" s="15"/>
      <c r="C67" s="15"/>
      <c r="D67" s="15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t="14.25" customHeight="1">
      <c r="A68" s="15"/>
      <c r="B68" s="15"/>
      <c r="C68" s="15"/>
      <c r="D68" s="15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t="14.25" customHeight="1">
      <c r="A69" s="15"/>
      <c r="B69" s="15"/>
      <c r="C69" s="15"/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t="14.25" customHeight="1">
      <c r="A70" s="15"/>
      <c r="B70" s="15"/>
      <c r="C70" s="15"/>
      <c r="D70" s="15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t="14.25" customHeight="1">
      <c r="A71" s="15"/>
      <c r="B71" s="15"/>
      <c r="C71" s="15"/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t="14.25" customHeight="1">
      <c r="A72" s="15"/>
      <c r="B72" s="15"/>
      <c r="C72" s="15"/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t="14.25" customHeight="1">
      <c r="A73" s="15"/>
      <c r="B73" s="15"/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t="14.25" customHeight="1">
      <c r="A74" s="15"/>
      <c r="B74" s="15"/>
      <c r="C74" s="15"/>
      <c r="D74" s="15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t="14.25" customHeight="1">
      <c r="A75" s="15"/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t="14.25" customHeight="1">
      <c r="A76" s="15"/>
      <c r="B76" s="15"/>
      <c r="C76" s="15"/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t="14.25" customHeight="1">
      <c r="A77" s="15"/>
      <c r="B77" s="15"/>
      <c r="C77" s="15"/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t="14.25" customHeight="1">
      <c r="A78" s="15"/>
      <c r="B78" s="15"/>
      <c r="C78" s="15"/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t="14.25" customHeight="1">
      <c r="A79" s="15"/>
      <c r="B79" s="15"/>
      <c r="C79" s="15"/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t="14.25" customHeight="1">
      <c r="A80" s="15"/>
      <c r="B80" s="15"/>
      <c r="C80" s="15"/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t="14.25" customHeight="1">
      <c r="A81" s="15"/>
      <c r="B81" s="15"/>
      <c r="C81" s="15"/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t="14.25" customHeight="1">
      <c r="A82" s="15"/>
      <c r="B82" s="15"/>
      <c r="C82" s="15"/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t="14.25" customHeight="1">
      <c r="A83" s="15"/>
      <c r="B83" s="15"/>
      <c r="C83" s="15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t="14.25" customHeight="1">
      <c r="A84" s="15"/>
      <c r="B84" s="15"/>
      <c r="C84" s="15"/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t="14.25" customHeight="1">
      <c r="A85" s="15"/>
      <c r="B85" s="15"/>
      <c r="C85" s="15"/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t="14.25" customHeight="1">
      <c r="A86" s="15"/>
      <c r="B86" s="15"/>
      <c r="C86" s="15"/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t="14.25" customHeight="1">
      <c r="A87" s="15"/>
      <c r="B87" s="15"/>
      <c r="C87" s="15"/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t="14.25" customHeight="1">
      <c r="A88" s="15"/>
      <c r="B88" s="15"/>
      <c r="C88" s="15"/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t="14.25" customHeight="1">
      <c r="A89" s="15"/>
      <c r="B89" s="15"/>
      <c r="C89" s="15"/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t="14.25" customHeight="1">
      <c r="A90" s="15"/>
      <c r="B90" s="15"/>
      <c r="C90" s="15"/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t="14.25" customHeight="1">
      <c r="A91" s="15"/>
      <c r="B91" s="15"/>
      <c r="C91" s="15"/>
      <c r="D91" s="15"/>
      <c r="E91" s="15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t="14.25" customHeight="1">
      <c r="A92" s="15"/>
      <c r="B92" s="15"/>
      <c r="C92" s="15"/>
      <c r="D92" s="15"/>
      <c r="E92" s="15"/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t="14.25" customHeight="1">
      <c r="A93" s="15"/>
      <c r="B93" s="15"/>
      <c r="C93" s="15"/>
      <c r="D93" s="15"/>
      <c r="E93" s="15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t="14.25" customHeight="1">
      <c r="A94" s="15"/>
      <c r="B94" s="15"/>
      <c r="C94" s="15"/>
      <c r="D94" s="15"/>
      <c r="E94" s="15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t="14.25" customHeight="1">
      <c r="A95" s="15"/>
      <c r="B95" s="15"/>
      <c r="C95" s="15"/>
      <c r="D95" s="15"/>
      <c r="E95" s="15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t="14.25" customHeight="1">
      <c r="A96" s="15"/>
      <c r="B96" s="15"/>
      <c r="C96" s="15"/>
      <c r="D96" s="15"/>
      <c r="E96" s="15"/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t="14.25" customHeight="1">
      <c r="A97" s="15"/>
      <c r="B97" s="15"/>
      <c r="C97" s="15"/>
      <c r="D97" s="15"/>
      <c r="E97" s="15"/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t="14.25" customHeight="1">
      <c r="A98" s="15"/>
      <c r="B98" s="15"/>
      <c r="C98" s="15"/>
      <c r="D98" s="15"/>
      <c r="E98" s="15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t="14.25" customHeight="1">
      <c r="A99" s="15"/>
      <c r="B99" s="15"/>
      <c r="C99" s="15"/>
      <c r="D99" s="15"/>
      <c r="E99" s="15"/>
      <c r="F99" s="15"/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t="14.25" customHeight="1">
      <c r="A100" s="15"/>
      <c r="B100" s="15"/>
      <c r="C100" s="15"/>
      <c r="D100" s="15"/>
      <c r="E100" s="15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t="14.25" customHeight="1">
      <c r="A101" s="15"/>
      <c r="B101" s="15"/>
      <c r="C101" s="15"/>
      <c r="D101" s="15"/>
      <c r="E101" s="15"/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t="14.25" customHeight="1">
      <c r="A102" s="15"/>
      <c r="B102" s="15"/>
      <c r="C102" s="15"/>
      <c r="D102" s="15"/>
      <c r="E102" s="15"/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t="14.25" customHeight="1">
      <c r="A103" s="15"/>
      <c r="B103" s="15"/>
      <c r="C103" s="15"/>
      <c r="D103" s="15"/>
      <c r="E103" s="15"/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t="14.25" customHeight="1">
      <c r="A104" s="15"/>
      <c r="B104" s="15"/>
      <c r="C104" s="15"/>
      <c r="D104" s="15"/>
      <c r="E104" s="15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t="14.25" customHeight="1">
      <c r="A105" s="15"/>
      <c r="B105" s="15"/>
      <c r="C105" s="15"/>
      <c r="D105" s="15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t="14.25" customHeight="1">
      <c r="A106" s="15"/>
      <c r="B106" s="15"/>
      <c r="C106" s="15"/>
      <c r="D106" s="15"/>
      <c r="E106" s="15"/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t="14.25" customHeight="1">
      <c r="A107" s="15"/>
      <c r="B107" s="15"/>
      <c r="C107" s="15"/>
      <c r="D107" s="15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t="14.25" customHeight="1">
      <c r="A108" s="15"/>
      <c r="B108" s="15"/>
      <c r="C108" s="15"/>
      <c r="D108" s="15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t="14.25" customHeight="1">
      <c r="A109" s="15"/>
      <c r="B109" s="15"/>
      <c r="C109" s="15"/>
      <c r="D109" s="15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t="14.25" customHeight="1">
      <c r="A110" s="15"/>
      <c r="B110" s="15"/>
      <c r="C110" s="15"/>
      <c r="D110" s="15"/>
      <c r="E110" s="15"/>
      <c r="F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t="14.25" customHeight="1">
      <c r="A111" s="15"/>
      <c r="B111" s="15"/>
      <c r="C111" s="15"/>
      <c r="D111" s="15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t="14.25" customHeight="1">
      <c r="A112" s="15"/>
      <c r="B112" s="15"/>
      <c r="C112" s="15"/>
      <c r="D112" s="15"/>
      <c r="E112" s="15"/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t="14.25" customHeight="1">
      <c r="A113" s="15"/>
      <c r="B113" s="15"/>
      <c r="C113" s="15"/>
      <c r="D113" s="15"/>
      <c r="E113" s="15"/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t="14.25" customHeight="1">
      <c r="A114" s="15"/>
      <c r="B114" s="15"/>
      <c r="C114" s="15"/>
      <c r="D114" s="15"/>
      <c r="E114" s="15"/>
      <c r="F114" s="15"/>
      <c r="G114" s="15"/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t="14.25" customHeight="1">
      <c r="A115" s="15"/>
      <c r="B115" s="15"/>
      <c r="C115" s="15"/>
      <c r="D115" s="15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t="14.25" customHeight="1">
      <c r="A116" s="15"/>
      <c r="B116" s="15"/>
      <c r="C116" s="15"/>
      <c r="D116" s="15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t="14.25" customHeight="1">
      <c r="A117" s="15"/>
      <c r="B117" s="15"/>
      <c r="C117" s="15"/>
      <c r="D117" s="15"/>
      <c r="E117" s="15"/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t="14.25" customHeight="1">
      <c r="A118" s="15"/>
      <c r="B118" s="15"/>
      <c r="C118" s="15"/>
      <c r="D118" s="15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t="14.25" customHeight="1">
      <c r="A119" s="15"/>
      <c r="B119" s="15"/>
      <c r="C119" s="15"/>
      <c r="D119" s="15"/>
      <c r="E119" s="15"/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t="14.25" customHeight="1">
      <c r="A120" s="15"/>
      <c r="B120" s="15"/>
      <c r="C120" s="15"/>
      <c r="D120" s="15"/>
      <c r="E120" s="15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t="14.25" customHeight="1">
      <c r="A121" s="15"/>
      <c r="B121" s="15"/>
      <c r="C121" s="15"/>
      <c r="D121" s="15"/>
      <c r="E121" s="15"/>
      <c r="F121" s="15"/>
      <c r="G121" s="15"/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t="14.25" customHeight="1">
      <c r="A122" s="15"/>
      <c r="B122" s="15"/>
      <c r="C122" s="15"/>
      <c r="D122" s="15"/>
      <c r="E122" s="15"/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t="14.25" customHeight="1">
      <c r="A123" s="15"/>
      <c r="B123" s="15"/>
      <c r="C123" s="15"/>
      <c r="D123" s="15"/>
      <c r="E123" s="15"/>
      <c r="F123" s="15"/>
      <c r="G123" s="15"/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t="14.25" customHeight="1">
      <c r="A124" s="15"/>
      <c r="B124" s="15"/>
      <c r="C124" s="15"/>
      <c r="D124" s="15"/>
      <c r="E124" s="15"/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t="14.25" customHeight="1">
      <c r="A125" s="15"/>
      <c r="B125" s="15"/>
      <c r="C125" s="15"/>
      <c r="D125" s="15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t="14.25" customHeight="1">
      <c r="A126" s="15"/>
      <c r="B126" s="15"/>
      <c r="C126" s="15"/>
      <c r="D126" s="15"/>
      <c r="E126" s="15"/>
      <c r="F126" s="15"/>
      <c r="G126" s="15"/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t="14.25" customHeight="1">
      <c r="A127" s="15"/>
      <c r="B127" s="15"/>
      <c r="C127" s="15"/>
      <c r="D127" s="15"/>
      <c r="E127" s="15"/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t="14.25" customHeight="1">
      <c r="A128" s="15"/>
      <c r="B128" s="15"/>
      <c r="C128" s="15"/>
      <c r="D128" s="15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t="14.25" customHeight="1">
      <c r="A129" s="15"/>
      <c r="B129" s="15"/>
      <c r="C129" s="15"/>
      <c r="D129" s="15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t="14.25" customHeight="1">
      <c r="A130" s="15"/>
      <c r="B130" s="15"/>
      <c r="C130" s="15"/>
      <c r="D130" s="15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t="14.25" customHeight="1">
      <c r="A131" s="15"/>
      <c r="B131" s="15"/>
      <c r="C131" s="15"/>
      <c r="D131" s="15"/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t="14.25" customHeight="1">
      <c r="A132" s="15"/>
      <c r="B132" s="15"/>
      <c r="C132" s="15"/>
      <c r="D132" s="15"/>
      <c r="E132" s="15"/>
      <c r="F132" s="15"/>
      <c r="G132" s="15"/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t="14.25" customHeight="1">
      <c r="A133" s="15"/>
      <c r="B133" s="15"/>
      <c r="C133" s="15"/>
      <c r="D133" s="15"/>
      <c r="E133" s="15"/>
      <c r="F133" s="15"/>
      <c r="G133" s="15"/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t="14.25" customHeight="1">
      <c r="A134" s="15"/>
      <c r="B134" s="15"/>
      <c r="C134" s="15"/>
      <c r="D134" s="15"/>
      <c r="E134" s="15"/>
      <c r="F134" s="15"/>
      <c r="G134" s="15"/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t="14.25" customHeight="1">
      <c r="A135" s="15"/>
      <c r="B135" s="15"/>
      <c r="C135" s="15"/>
      <c r="D135" s="15"/>
      <c r="E135" s="15"/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t="14.25" customHeight="1">
      <c r="A136" s="15"/>
      <c r="B136" s="15"/>
      <c r="C136" s="15"/>
      <c r="D136" s="15"/>
      <c r="E136" s="15"/>
      <c r="F136" s="15"/>
      <c r="G136" s="15"/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t="14.25" customHeight="1">
      <c r="A137" s="15"/>
      <c r="B137" s="15"/>
      <c r="C137" s="15"/>
      <c r="D137" s="15"/>
      <c r="E137" s="15"/>
      <c r="F137" s="15"/>
      <c r="G137" s="15"/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t="14.25" customHeight="1">
      <c r="A138" s="15"/>
      <c r="B138" s="15"/>
      <c r="C138" s="15"/>
      <c r="D138" s="15"/>
      <c r="E138" s="15"/>
      <c r="F138" s="15"/>
      <c r="G138" s="15"/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t="14.25" customHeight="1">
      <c r="A139" s="15"/>
      <c r="B139" s="15"/>
      <c r="C139" s="15"/>
      <c r="D139" s="15"/>
      <c r="E139" s="15"/>
      <c r="F139" s="15"/>
      <c r="G139" s="15"/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t="14.25" customHeight="1">
      <c r="A140" s="15"/>
      <c r="B140" s="15"/>
      <c r="C140" s="15"/>
      <c r="D140" s="15"/>
      <c r="E140" s="15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t="14.25" customHeight="1">
      <c r="A141" s="15"/>
      <c r="B141" s="15"/>
      <c r="C141" s="15"/>
      <c r="D141" s="15"/>
      <c r="E141" s="15"/>
      <c r="F141" s="15"/>
      <c r="G141" s="15"/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t="14.25" customHeight="1">
      <c r="A142" s="15"/>
      <c r="B142" s="15"/>
      <c r="C142" s="15"/>
      <c r="D142" s="15"/>
      <c r="E142" s="15"/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t="14.25" customHeight="1">
      <c r="A143" s="15"/>
      <c r="B143" s="15"/>
      <c r="C143" s="15"/>
      <c r="D143" s="15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t="14.25" customHeight="1">
      <c r="A144" s="15"/>
      <c r="B144" s="15"/>
      <c r="C144" s="15"/>
      <c r="D144" s="15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t="14.25" customHeight="1">
      <c r="A145" s="15"/>
      <c r="B145" s="15"/>
      <c r="C145" s="15"/>
      <c r="D145" s="15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t="14.25" customHeight="1">
      <c r="A146" s="15"/>
      <c r="B146" s="15"/>
      <c r="C146" s="15"/>
      <c r="D146" s="15"/>
      <c r="E146" s="15"/>
      <c r="F146" s="15"/>
      <c r="G146" s="15"/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t="14.25" customHeight="1">
      <c r="A147" s="15"/>
      <c r="B147" s="15"/>
      <c r="C147" s="15"/>
      <c r="D147" s="15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t="14.25" customHeight="1">
      <c r="A148" s="15"/>
      <c r="B148" s="15"/>
      <c r="C148" s="15"/>
      <c r="D148" s="15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t="14.25" customHeight="1">
      <c r="A149" s="15"/>
      <c r="B149" s="15"/>
      <c r="C149" s="15"/>
      <c r="D149" s="15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t="14.25" customHeight="1">
      <c r="A150" s="15"/>
      <c r="B150" s="15"/>
      <c r="C150" s="15"/>
      <c r="D150" s="15"/>
      <c r="E150" s="15"/>
      <c r="F150" s="15"/>
      <c r="G150" s="15"/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t="14.25" customHeight="1">
      <c r="A151" s="15"/>
      <c r="B151" s="15"/>
      <c r="C151" s="15"/>
      <c r="D151" s="15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t="14.25" customHeight="1">
      <c r="A152" s="15"/>
      <c r="B152" s="15"/>
      <c r="C152" s="15"/>
      <c r="D152" s="15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t="14.25" customHeight="1">
      <c r="A153" s="15"/>
      <c r="B153" s="15"/>
      <c r="C153" s="15"/>
      <c r="D153" s="15"/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t="14.25" customHeight="1">
      <c r="A154" s="15"/>
      <c r="B154" s="15"/>
      <c r="C154" s="15"/>
      <c r="D154" s="15"/>
      <c r="E154" s="15"/>
      <c r="F154" s="15"/>
      <c r="G154" s="15"/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t="14.25" customHeight="1">
      <c r="A155" s="15"/>
      <c r="B155" s="15"/>
      <c r="C155" s="15"/>
      <c r="D155" s="15"/>
      <c r="E155" s="15"/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t="14.25" customHeight="1">
      <c r="A156" s="15"/>
      <c r="B156" s="15"/>
      <c r="C156" s="15"/>
      <c r="D156" s="15"/>
      <c r="E156" s="15"/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t="14.25" customHeight="1">
      <c r="A157" s="15"/>
      <c r="B157" s="15"/>
      <c r="C157" s="15"/>
      <c r="D157" s="15"/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t="14.25" customHeight="1">
      <c r="A158" s="15"/>
      <c r="B158" s="15"/>
      <c r="C158" s="15"/>
      <c r="D158" s="15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t="14.25" customHeight="1">
      <c r="A159" s="15"/>
      <c r="B159" s="15"/>
      <c r="C159" s="15"/>
      <c r="D159" s="15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t="14.25" customHeight="1">
      <c r="A160" s="15"/>
      <c r="B160" s="15"/>
      <c r="C160" s="15"/>
      <c r="D160" s="15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t="14.25" customHeight="1">
      <c r="A161" s="15"/>
      <c r="B161" s="15"/>
      <c r="C161" s="15"/>
      <c r="D161" s="15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t="14.25" customHeight="1">
      <c r="A162" s="15"/>
      <c r="B162" s="15"/>
      <c r="C162" s="15"/>
      <c r="D162" s="15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t="14.25" customHeight="1">
      <c r="A163" s="15"/>
      <c r="B163" s="15"/>
      <c r="C163" s="15"/>
      <c r="D163" s="15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t="14.25" customHeight="1">
      <c r="A164" s="15"/>
      <c r="B164" s="15"/>
      <c r="C164" s="15"/>
      <c r="D164" s="15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t="14.25" customHeight="1">
      <c r="A165" s="15"/>
      <c r="B165" s="15"/>
      <c r="C165" s="15"/>
      <c r="D165" s="15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t="14.25" customHeight="1">
      <c r="A166" s="15"/>
      <c r="B166" s="15"/>
      <c r="C166" s="15"/>
      <c r="D166" s="15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t="14.25" customHeight="1">
      <c r="A167" s="15"/>
      <c r="B167" s="15"/>
      <c r="C167" s="15"/>
      <c r="D167" s="15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t="14.25" customHeight="1">
      <c r="A168" s="15"/>
      <c r="B168" s="15"/>
      <c r="C168" s="15"/>
      <c r="D168" s="15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t="14.25" customHeight="1">
      <c r="A169" s="15"/>
      <c r="B169" s="15"/>
      <c r="C169" s="15"/>
      <c r="D169" s="15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t="14.25" customHeight="1">
      <c r="A170" s="15"/>
      <c r="B170" s="15"/>
      <c r="C170" s="15"/>
      <c r="D170" s="15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t="14.25" customHeight="1">
      <c r="A171" s="15"/>
      <c r="B171" s="15"/>
      <c r="C171" s="15"/>
      <c r="D171" s="15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t="14.25" customHeight="1">
      <c r="A172" s="15"/>
      <c r="B172" s="15"/>
      <c r="C172" s="15"/>
      <c r="D172" s="15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t="14.25" customHeight="1">
      <c r="A173" s="15"/>
      <c r="B173" s="15"/>
      <c r="C173" s="15"/>
      <c r="D173" s="15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t="14.25" customHeight="1">
      <c r="A174" s="15"/>
      <c r="B174" s="15"/>
      <c r="C174" s="15"/>
      <c r="D174" s="15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t="14.25" customHeight="1">
      <c r="A175" s="15"/>
      <c r="B175" s="15"/>
      <c r="C175" s="15"/>
      <c r="D175" s="15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t="14.25" customHeight="1">
      <c r="A176" s="15"/>
      <c r="B176" s="15"/>
      <c r="C176" s="15"/>
      <c r="D176" s="15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t="14.25" customHeight="1">
      <c r="A177" s="15"/>
      <c r="B177" s="15"/>
      <c r="C177" s="15"/>
      <c r="D177" s="15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t="14.25" customHeight="1">
      <c r="A178" s="15"/>
      <c r="B178" s="15"/>
      <c r="C178" s="15"/>
      <c r="D178" s="15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t="14.25" customHeight="1">
      <c r="A179" s="15"/>
      <c r="B179" s="15"/>
      <c r="C179" s="15"/>
      <c r="D179" s="15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t="14.25" customHeight="1">
      <c r="A180" s="15"/>
      <c r="B180" s="15"/>
      <c r="C180" s="15"/>
      <c r="D180" s="15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t="14.25" customHeight="1">
      <c r="A181" s="15"/>
      <c r="B181" s="15"/>
      <c r="C181" s="15"/>
      <c r="D181" s="15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t="14.25" customHeight="1">
      <c r="A182" s="15"/>
      <c r="B182" s="15"/>
      <c r="C182" s="15"/>
      <c r="D182" s="15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t="14.25" customHeight="1">
      <c r="A183" s="15"/>
      <c r="B183" s="15"/>
      <c r="C183" s="15"/>
      <c r="D183" s="15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t="14.25" customHeight="1">
      <c r="A184" s="15"/>
      <c r="B184" s="15"/>
      <c r="C184" s="15"/>
      <c r="D184" s="15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t="14.25" customHeight="1">
      <c r="A185" s="15"/>
      <c r="B185" s="15"/>
      <c r="C185" s="15"/>
      <c r="D185" s="15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t="14.25" customHeight="1">
      <c r="A186" s="15"/>
      <c r="B186" s="15"/>
      <c r="C186" s="15"/>
      <c r="D186" s="15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t="14.25" customHeight="1">
      <c r="A187" s="15"/>
      <c r="B187" s="15"/>
      <c r="C187" s="15"/>
      <c r="D187" s="15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t="14.25" customHeight="1">
      <c r="A188" s="15"/>
      <c r="B188" s="15"/>
      <c r="C188" s="15"/>
      <c r="D188" s="15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t="14.25" customHeight="1">
      <c r="A189" s="15"/>
      <c r="B189" s="15"/>
      <c r="C189" s="15"/>
      <c r="D189" s="15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t="14.25" customHeight="1">
      <c r="A190" s="15"/>
      <c r="B190" s="15"/>
      <c r="C190" s="15"/>
      <c r="D190" s="15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t="14.25" customHeight="1">
      <c r="A191" s="15"/>
      <c r="B191" s="15"/>
      <c r="C191" s="15"/>
      <c r="D191" s="15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t="14.25" customHeight="1">
      <c r="A192" s="15"/>
      <c r="B192" s="15"/>
      <c r="C192" s="15"/>
      <c r="D192" s="15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t="14.25" customHeight="1">
      <c r="A193" s="15"/>
      <c r="B193" s="15"/>
      <c r="C193" s="15"/>
      <c r="D193" s="15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t="14.25" customHeight="1">
      <c r="A194" s="15"/>
      <c r="B194" s="15"/>
      <c r="C194" s="15"/>
      <c r="D194" s="15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t="14.25" customHeight="1">
      <c r="A195" s="15"/>
      <c r="B195" s="15"/>
      <c r="C195" s="15"/>
      <c r="D195" s="15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t="14.25" customHeight="1">
      <c r="A196" s="15"/>
      <c r="B196" s="15"/>
      <c r="C196" s="15"/>
      <c r="D196" s="15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t="14.25" customHeight="1">
      <c r="A197" s="15"/>
      <c r="B197" s="15"/>
      <c r="C197" s="15"/>
      <c r="D197" s="15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t="14.25" customHeight="1">
      <c r="A198" s="15"/>
      <c r="B198" s="15"/>
      <c r="C198" s="15"/>
      <c r="D198" s="15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t="14.25" customHeight="1">
      <c r="A199" s="15"/>
      <c r="B199" s="15"/>
      <c r="C199" s="15"/>
      <c r="D199" s="15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t="14.25" customHeight="1">
      <c r="A200" s="15"/>
      <c r="B200" s="15"/>
      <c r="C200" s="15"/>
      <c r="D200" s="15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t="14.25" customHeight="1">
      <c r="A201" s="15"/>
      <c r="B201" s="15"/>
      <c r="C201" s="15"/>
      <c r="D201" s="15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t="14.25" customHeight="1">
      <c r="A202" s="15"/>
      <c r="B202" s="15"/>
      <c r="C202" s="15"/>
      <c r="D202" s="15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t="14.25" customHeight="1">
      <c r="A203" s="15"/>
      <c r="B203" s="15"/>
      <c r="C203" s="15"/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t="14.25" customHeight="1">
      <c r="A204" s="15"/>
      <c r="B204" s="15"/>
      <c r="C204" s="15"/>
      <c r="D204" s="15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t="14.25" customHeight="1">
      <c r="A205" s="15"/>
      <c r="B205" s="15"/>
      <c r="C205" s="15"/>
      <c r="D205" s="15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t="14.25" customHeight="1">
      <c r="A206" s="15"/>
      <c r="B206" s="15"/>
      <c r="C206" s="15"/>
      <c r="D206" s="15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t="14.25" customHeight="1">
      <c r="A207" s="15"/>
      <c r="B207" s="15"/>
      <c r="C207" s="15"/>
      <c r="D207" s="15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t="14.25" customHeight="1">
      <c r="A208" s="15"/>
      <c r="B208" s="15"/>
      <c r="C208" s="15"/>
      <c r="D208" s="15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t="14.25" customHeight="1">
      <c r="A209" s="15"/>
      <c r="B209" s="15"/>
      <c r="C209" s="15"/>
      <c r="D209" s="15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t="14.25" customHeight="1">
      <c r="A210" s="15"/>
      <c r="B210" s="15"/>
      <c r="C210" s="15"/>
      <c r="D210" s="15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t="14.25" customHeight="1">
      <c r="A211" s="15"/>
      <c r="B211" s="15"/>
      <c r="C211" s="15"/>
      <c r="D211" s="15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t="14.25" customHeight="1">
      <c r="A212" s="15"/>
      <c r="B212" s="15"/>
      <c r="C212" s="15"/>
      <c r="D212" s="15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t="14.25" customHeight="1">
      <c r="A213" s="15"/>
      <c r="B213" s="15"/>
      <c r="C213" s="15"/>
      <c r="D213" s="15"/>
      <c r="E213" s="15"/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t="14.25" customHeight="1">
      <c r="A214" s="15"/>
      <c r="B214" s="15"/>
      <c r="C214" s="15"/>
      <c r="D214" s="15"/>
      <c r="E214" s="15"/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t="14.25" customHeight="1">
      <c r="A215" s="15"/>
      <c r="B215" s="15"/>
      <c r="C215" s="15"/>
      <c r="D215" s="15"/>
      <c r="E215" s="15"/>
      <c r="F215" s="15"/>
      <c r="G215" s="15"/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t="14.25" customHeight="1">
      <c r="A216" s="15"/>
      <c r="B216" s="15"/>
      <c r="C216" s="15"/>
      <c r="D216" s="15"/>
      <c r="E216" s="15"/>
      <c r="F216" s="15"/>
      <c r="G216" s="15"/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t="14.25" customHeight="1">
      <c r="A217" s="15"/>
      <c r="B217" s="15"/>
      <c r="C217" s="15"/>
      <c r="D217" s="15"/>
      <c r="E217" s="15"/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t="14.25" customHeight="1">
      <c r="A218" s="15"/>
      <c r="B218" s="15"/>
      <c r="C218" s="15"/>
      <c r="D218" s="15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t="14.25" customHeight="1">
      <c r="A219" s="15"/>
      <c r="B219" s="15"/>
      <c r="C219" s="15"/>
      <c r="D219" s="15"/>
      <c r="E219" s="15"/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t="14.25" customHeight="1">
      <c r="A220" s="15"/>
      <c r="B220" s="15"/>
      <c r="C220" s="15"/>
      <c r="D220" s="15"/>
      <c r="E220" s="15"/>
      <c r="F220" s="15"/>
      <c r="G220" s="15"/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t="14.25" customHeight="1">
      <c r="A221" s="15"/>
      <c r="B221" s="15"/>
      <c r="C221" s="15"/>
      <c r="D221" s="15"/>
      <c r="E221" s="15"/>
      <c r="F221" s="15"/>
      <c r="G221" s="15"/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t="14.25" customHeight="1">
      <c r="A222" s="15"/>
      <c r="B222" s="15"/>
      <c r="C222" s="15"/>
      <c r="D222" s="15"/>
      <c r="E222" s="15"/>
      <c r="F222" s="15"/>
      <c r="G222" s="15"/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t="14.25" customHeight="1">
      <c r="A223" s="15"/>
      <c r="B223" s="15"/>
      <c r="C223" s="15"/>
      <c r="D223" s="15"/>
      <c r="E223" s="15"/>
      <c r="F223" s="15"/>
      <c r="G223" s="15"/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t="14.25" customHeight="1">
      <c r="A224" s="15"/>
      <c r="B224" s="15"/>
      <c r="C224" s="15"/>
      <c r="D224" s="15"/>
      <c r="E224" s="15"/>
      <c r="F224" s="15"/>
      <c r="G224" s="15"/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t="14.25" customHeight="1">
      <c r="A225" s="15"/>
      <c r="B225" s="15"/>
      <c r="C225" s="15"/>
      <c r="D225" s="15"/>
      <c r="E225" s="15"/>
      <c r="F225" s="15"/>
      <c r="G225" s="15"/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t="14.25" customHeight="1">
      <c r="A226" s="15"/>
      <c r="B226" s="15"/>
      <c r="C226" s="15"/>
      <c r="D226" s="15"/>
      <c r="E226" s="15"/>
      <c r="F226" s="15"/>
      <c r="G226" s="15"/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t="14.25" customHeight="1">
      <c r="A227" s="15"/>
      <c r="B227" s="15"/>
      <c r="C227" s="15"/>
      <c r="D227" s="15"/>
      <c r="E227" s="15"/>
      <c r="F227" s="15"/>
      <c r="G227" s="15"/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t="14.25" customHeight="1">
      <c r="A228" s="15"/>
      <c r="B228" s="15"/>
      <c r="C228" s="15"/>
      <c r="D228" s="15"/>
      <c r="E228" s="15"/>
      <c r="F228" s="15"/>
      <c r="G228" s="15"/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t="14.25" customHeight="1">
      <c r="A229" s="15"/>
      <c r="B229" s="15"/>
      <c r="C229" s="15"/>
      <c r="D229" s="15"/>
      <c r="E229" s="15"/>
      <c r="F229" s="15"/>
      <c r="G229" s="15"/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t="14.25" customHeight="1">
      <c r="A230" s="15"/>
      <c r="B230" s="15"/>
      <c r="C230" s="15"/>
      <c r="D230" s="15"/>
      <c r="E230" s="15"/>
      <c r="F230" s="15"/>
      <c r="G230" s="15"/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t="14.25" customHeight="1">
      <c r="A231" s="15"/>
      <c r="B231" s="15"/>
      <c r="C231" s="15"/>
      <c r="D231" s="15"/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t="14.25" customHeight="1">
      <c r="A232" s="15"/>
      <c r="B232" s="15"/>
      <c r="C232" s="15"/>
      <c r="D232" s="15"/>
      <c r="E232" s="15"/>
      <c r="F232" s="15"/>
      <c r="G232" s="15"/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t="14.25" customHeight="1">
      <c r="A233" s="15"/>
      <c r="B233" s="15"/>
      <c r="C233" s="15"/>
      <c r="D233" s="15"/>
      <c r="E233" s="15"/>
      <c r="F233" s="15"/>
      <c r="G233" s="15"/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t="14.25" customHeight="1">
      <c r="A234" s="15"/>
      <c r="B234" s="15"/>
      <c r="C234" s="15"/>
      <c r="D234" s="15"/>
      <c r="E234" s="15"/>
      <c r="F234" s="15"/>
      <c r="G234" s="15"/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t="14.25" customHeight="1">
      <c r="A235" s="15"/>
      <c r="B235" s="15"/>
      <c r="C235" s="15"/>
      <c r="D235" s="15"/>
      <c r="E235" s="15"/>
      <c r="F235" s="15"/>
      <c r="G235" s="15"/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t="14.25" customHeight="1">
      <c r="A236" s="15"/>
      <c r="B236" s="15"/>
      <c r="C236" s="15"/>
      <c r="D236" s="15"/>
      <c r="E236" s="15"/>
      <c r="F236" s="15"/>
      <c r="G236" s="15"/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t="14.25" customHeight="1">
      <c r="A237" s="15"/>
      <c r="B237" s="15"/>
      <c r="C237" s="15"/>
      <c r="D237" s="15"/>
      <c r="E237" s="15"/>
      <c r="F237" s="15"/>
      <c r="G237" s="15"/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t="14.25" customHeight="1">
      <c r="A238" s="15"/>
      <c r="B238" s="15"/>
      <c r="C238" s="15"/>
      <c r="D238" s="15"/>
      <c r="E238" s="15"/>
      <c r="F238" s="15"/>
      <c r="G238" s="15"/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t="14.25" customHeight="1">
      <c r="A239" s="15"/>
      <c r="B239" s="15"/>
      <c r="C239" s="15"/>
      <c r="D239" s="15"/>
      <c r="E239" s="15"/>
      <c r="F239" s="15"/>
      <c r="G239" s="15"/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t="14.25" customHeight="1">
      <c r="A240" s="15"/>
      <c r="B240" s="15"/>
      <c r="C240" s="15"/>
      <c r="D240" s="15"/>
      <c r="E240" s="15"/>
      <c r="F240" s="15"/>
      <c r="G240" s="15"/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t="14.25" customHeight="1">
      <c r="A241" s="15"/>
      <c r="B241" s="15"/>
      <c r="C241" s="15"/>
      <c r="D241" s="15"/>
      <c r="E241" s="15"/>
      <c r="F241" s="15"/>
      <c r="G241" s="15"/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t="14.25" customHeight="1">
      <c r="A242" s="15"/>
      <c r="B242" s="15"/>
      <c r="C242" s="15"/>
      <c r="D242" s="15"/>
      <c r="E242" s="15"/>
      <c r="F242" s="15"/>
      <c r="G242" s="15"/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t="14.25" customHeight="1">
      <c r="A243" s="15"/>
      <c r="B243" s="15"/>
      <c r="C243" s="15"/>
      <c r="D243" s="15"/>
      <c r="E243" s="15"/>
      <c r="F243" s="15"/>
      <c r="G243" s="15"/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t="14.25" customHeight="1">
      <c r="A244" s="15"/>
      <c r="B244" s="15"/>
      <c r="C244" s="15"/>
      <c r="D244" s="15"/>
      <c r="E244" s="15"/>
      <c r="F244" s="15"/>
      <c r="G244" s="15"/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t="14.25" customHeight="1">
      <c r="A245" s="15"/>
      <c r="B245" s="15"/>
      <c r="C245" s="15"/>
      <c r="D245" s="15"/>
      <c r="E245" s="15"/>
      <c r="F245" s="15"/>
      <c r="G245" s="15"/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t="14.25" customHeight="1">
      <c r="A246" s="15"/>
      <c r="B246" s="15"/>
      <c r="C246" s="15"/>
      <c r="D246" s="15"/>
      <c r="E246" s="15"/>
      <c r="F246" s="15"/>
      <c r="G246" s="15"/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t="14.25" customHeight="1">
      <c r="A247" s="15"/>
      <c r="B247" s="15"/>
      <c r="C247" s="15"/>
      <c r="D247" s="15"/>
      <c r="E247" s="15"/>
      <c r="F247" s="15"/>
      <c r="G247" s="15"/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t="14.25" customHeight="1">
      <c r="A248" s="15"/>
      <c r="B248" s="15"/>
      <c r="C248" s="15"/>
      <c r="D248" s="15"/>
      <c r="E248" s="15"/>
      <c r="F248" s="15"/>
      <c r="G248" s="15"/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t="14.25" customHeight="1">
      <c r="A249" s="15"/>
      <c r="B249" s="15"/>
      <c r="C249" s="15"/>
      <c r="D249" s="15"/>
      <c r="E249" s="15"/>
      <c r="F249" s="15"/>
      <c r="G249" s="15"/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t="14.25" customHeight="1">
      <c r="A250" s="15"/>
      <c r="B250" s="15"/>
      <c r="C250" s="15"/>
      <c r="D250" s="15"/>
      <c r="E250" s="15"/>
      <c r="F250" s="15"/>
      <c r="G250" s="15"/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t="14.25" customHeight="1">
      <c r="A251" s="15"/>
      <c r="B251" s="15"/>
      <c r="C251" s="15"/>
      <c r="D251" s="15"/>
      <c r="E251" s="15"/>
      <c r="F251" s="15"/>
      <c r="G251" s="15"/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t="14.25" customHeight="1">
      <c r="A252" s="15"/>
      <c r="B252" s="15"/>
      <c r="C252" s="15"/>
      <c r="D252" s="15"/>
      <c r="E252" s="15"/>
      <c r="F252" s="15"/>
      <c r="G252" s="15"/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t="14.25" customHeight="1">
      <c r="A253" s="15"/>
      <c r="B253" s="15"/>
      <c r="C253" s="15"/>
      <c r="D253" s="15"/>
      <c r="E253" s="15"/>
      <c r="F253" s="15"/>
      <c r="G253" s="15"/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t="14.25" customHeight="1">
      <c r="A254" s="15"/>
      <c r="B254" s="15"/>
      <c r="C254" s="15"/>
      <c r="D254" s="15"/>
      <c r="E254" s="15"/>
      <c r="F254" s="15"/>
      <c r="G254" s="15"/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t="14.25" customHeight="1">
      <c r="A255" s="15"/>
      <c r="B255" s="15"/>
      <c r="C255" s="15"/>
      <c r="D255" s="15"/>
      <c r="E255" s="15"/>
      <c r="F255" s="15"/>
      <c r="G255" s="15"/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t="14.25" customHeight="1">
      <c r="A256" s="15"/>
      <c r="B256" s="15"/>
      <c r="C256" s="15"/>
      <c r="D256" s="15"/>
      <c r="E256" s="15"/>
      <c r="F256" s="15"/>
      <c r="G256" s="15"/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t="14.25" customHeight="1">
      <c r="A257" s="15"/>
      <c r="B257" s="15"/>
      <c r="C257" s="15"/>
      <c r="D257" s="15"/>
      <c r="E257" s="15"/>
      <c r="F257" s="15"/>
      <c r="G257" s="15"/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t="14.25" customHeight="1">
      <c r="A258" s="15"/>
      <c r="B258" s="15"/>
      <c r="C258" s="15"/>
      <c r="D258" s="15"/>
      <c r="E258" s="15"/>
      <c r="F258" s="15"/>
      <c r="G258" s="15"/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t="14.25" customHeight="1">
      <c r="A259" s="15"/>
      <c r="B259" s="15"/>
      <c r="C259" s="15"/>
      <c r="D259" s="15"/>
      <c r="E259" s="15"/>
      <c r="F259" s="15"/>
      <c r="G259" s="15"/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t="14.25" customHeight="1">
      <c r="A260" s="15"/>
      <c r="B260" s="15"/>
      <c r="C260" s="15"/>
      <c r="D260" s="15"/>
      <c r="E260" s="15"/>
      <c r="F260" s="15"/>
      <c r="G260" s="15"/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t="14.25" customHeight="1">
      <c r="A261" s="15"/>
      <c r="B261" s="15"/>
      <c r="C261" s="15"/>
      <c r="D261" s="15"/>
      <c r="E261" s="15"/>
      <c r="F261" s="15"/>
      <c r="G261" s="15"/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t="14.25" customHeight="1">
      <c r="A262" s="15"/>
      <c r="B262" s="15"/>
      <c r="C262" s="15"/>
      <c r="D262" s="15"/>
      <c r="E262" s="15"/>
      <c r="F262" s="15"/>
      <c r="G262" s="15"/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t="14.25" customHeight="1">
      <c r="A263" s="15"/>
      <c r="B263" s="15"/>
      <c r="C263" s="15"/>
      <c r="D263" s="15"/>
      <c r="E263" s="15"/>
      <c r="F263" s="15"/>
      <c r="G263" s="15"/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t="14.25" customHeight="1">
      <c r="A264" s="15"/>
      <c r="B264" s="15"/>
      <c r="C264" s="15"/>
      <c r="D264" s="15"/>
      <c r="E264" s="15"/>
      <c r="F264" s="15"/>
      <c r="G264" s="15"/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t="14.25" customHeight="1">
      <c r="A265" s="15"/>
      <c r="B265" s="15"/>
      <c r="C265" s="15"/>
      <c r="D265" s="15"/>
      <c r="E265" s="15"/>
      <c r="F265" s="15"/>
      <c r="G265" s="15"/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1">
    <mergeCell ref="G13:H15"/>
    <mergeCell ref="G16:H20"/>
    <mergeCell ref="G24:H26"/>
    <mergeCell ref="G27:H31"/>
    <mergeCell ref="A1:F1"/>
    <mergeCell ref="A7:A8"/>
    <mergeCell ref="B7:C7"/>
    <mergeCell ref="D7:E7"/>
    <mergeCell ref="F7:F8"/>
    <mergeCell ref="A13:A15"/>
    <mergeCell ref="A16:A20"/>
    <mergeCell ref="A24:A26"/>
    <mergeCell ref="A27:A31"/>
    <mergeCell ref="C41:D41"/>
    <mergeCell ref="E41:F41"/>
    <mergeCell ref="C42:D42"/>
    <mergeCell ref="E42:F42"/>
    <mergeCell ref="A35:A39"/>
    <mergeCell ref="C45:D45"/>
    <mergeCell ref="E45:F45"/>
    <mergeCell ref="C46:D46"/>
    <mergeCell ref="E46:F46"/>
    <mergeCell ref="H46:I48"/>
    <mergeCell ref="C47:D47"/>
    <mergeCell ref="E47:F47"/>
    <mergeCell ref="C54:D54"/>
    <mergeCell ref="C55:D55"/>
    <mergeCell ref="C56:D56"/>
    <mergeCell ref="C57:D57"/>
    <mergeCell ref="C58:D58"/>
    <mergeCell ref="E55:F55"/>
    <mergeCell ref="E56:F56"/>
    <mergeCell ref="E57:F57"/>
    <mergeCell ref="E58:F58"/>
    <mergeCell ref="C48:D48"/>
    <mergeCell ref="E48:F48"/>
    <mergeCell ref="E54:F54"/>
    <mergeCell ref="C50:D50"/>
    <mergeCell ref="E50:F50"/>
    <mergeCell ref="C51:D51"/>
    <mergeCell ref="E51:F51"/>
  </mergeCells>
  <conditionalFormatting sqref="G9">
    <cfRule type="notContainsBlanks" dxfId="0" priority="1">
      <formula>LEN(TRIM(G9))&gt;0</formula>
    </cfRule>
  </conditionalFormatting>
  <conditionalFormatting sqref="G13">
    <cfRule type="notContainsBlanks" dxfId="1" priority="2">
      <formula>LEN(TRIM(G13))&gt;0</formula>
    </cfRule>
  </conditionalFormatting>
  <conditionalFormatting sqref="G16">
    <cfRule type="notContainsBlanks" dxfId="1" priority="3">
      <formula>LEN(TRIM(G16))&gt;0</formula>
    </cfRule>
  </conditionalFormatting>
  <conditionalFormatting sqref="G24">
    <cfRule type="notContainsBlanks" dxfId="1" priority="4">
      <formula>LEN(TRIM(G24))&gt;0</formula>
    </cfRule>
  </conditionalFormatting>
  <conditionalFormatting sqref="G27">
    <cfRule type="notContainsBlanks" dxfId="1" priority="5">
      <formula>LEN(TRIM(G27))&gt;0</formula>
    </cfRule>
  </conditionalFormatting>
  <conditionalFormatting sqref="H46">
    <cfRule type="notContainsBlanks" dxfId="1" priority="6">
      <formula>LEN(TRIM(H46))&gt;0</formula>
    </cfRule>
  </conditionalFormatting>
  <conditionalFormatting sqref="I13:I20">
    <cfRule type="notContainsBlanks" dxfId="0" priority="7">
      <formula>LEN(TRIM(I13))&gt;0</formula>
    </cfRule>
  </conditionalFormatting>
  <conditionalFormatting sqref="I24:I31">
    <cfRule type="notContainsBlanks" dxfId="0" priority="8">
      <formula>LEN(TRIM(I24))&gt;0</formula>
    </cfRule>
  </conditionalFormatting>
  <conditionalFormatting sqref="J46:J48">
    <cfRule type="notContainsBlanks" dxfId="0" priority="9">
      <formula>LEN(TRIM(J46))&gt;0</formula>
    </cfRule>
  </conditionalFormatting>
  <printOptions/>
  <pageMargins bottom="0.75" footer="0.0" header="0.0" left="0.7" right="0.7" top="0.75"/>
  <pageSetup orientation="portrait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13.78"/>
    <col customWidth="1" min="2" max="2" width="25.0"/>
    <col customWidth="1" min="3" max="3" width="8.0"/>
    <col customWidth="1" min="4" max="4" width="11.33"/>
    <col customWidth="1" min="5" max="5" width="9.33"/>
    <col customWidth="1" min="6" max="6" width="6.0"/>
    <col customWidth="1" min="7" max="7" width="9.44"/>
    <col customWidth="1" min="8" max="8" width="20.33"/>
    <col customWidth="1" min="9" max="9" width="20.44"/>
    <col customWidth="1" min="10" max="10" width="11.0"/>
    <col customWidth="1" min="11" max="12" width="10.78"/>
    <col customWidth="1" min="13" max="26" width="11.0"/>
  </cols>
  <sheetData>
    <row r="1" ht="14.25" customHeight="1">
      <c r="A1" s="14" t="s">
        <v>38</v>
      </c>
      <c r="G1" s="15"/>
      <c r="H1" s="15"/>
      <c r="I1" s="16" t="s">
        <v>39</v>
      </c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14.25" customHeight="1">
      <c r="A2" s="15"/>
      <c r="B2" s="15"/>
      <c r="C2" s="15"/>
      <c r="D2" s="15"/>
      <c r="E2" s="15"/>
      <c r="F2" s="15"/>
      <c r="G2" s="15"/>
      <c r="H2" s="17" t="s">
        <v>40</v>
      </c>
      <c r="I2" s="18" t="str">
        <f>DATE(F3, 1, 1)</f>
        <v>#VALUE!</v>
      </c>
      <c r="J2" s="15"/>
      <c r="K2" s="19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t="14.25" customHeight="1">
      <c r="A3" s="15" t="s">
        <v>100</v>
      </c>
      <c r="B3" s="15"/>
      <c r="C3" s="20" t="s">
        <v>114</v>
      </c>
      <c r="D3" s="15"/>
      <c r="E3" s="15" t="s">
        <v>43</v>
      </c>
      <c r="F3" s="20" t="str">
        <f>YEAR(Results!E3)</f>
        <v>#VALUE!</v>
      </c>
      <c r="G3" s="15"/>
      <c r="H3" s="17" t="s">
        <v>44</v>
      </c>
      <c r="I3" s="18" t="str">
        <f>EOMONTH(I2,11)</f>
        <v>#VALUE!</v>
      </c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t="14.25" customHeight="1">
      <c r="A4" s="15" t="s">
        <v>45</v>
      </c>
      <c r="B4" s="15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t="14.25" customHeight="1">
      <c r="A5" s="15"/>
      <c r="B5" s="15"/>
      <c r="C5" s="15"/>
      <c r="D5" s="15"/>
      <c r="E5" s="15"/>
      <c r="F5" s="15"/>
      <c r="G5" s="15"/>
      <c r="H5" s="15"/>
      <c r="I5" s="15"/>
      <c r="J5" s="15"/>
      <c r="K5" s="15"/>
      <c r="L5" s="15"/>
      <c r="M5" s="15"/>
      <c r="N5" s="15"/>
      <c r="O5" s="21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t="14.25" customHeight="1">
      <c r="A6" s="15" t="s">
        <v>46</v>
      </c>
      <c r="B6" s="15"/>
      <c r="C6" s="15"/>
      <c r="D6" s="15"/>
      <c r="E6" s="15"/>
      <c r="F6" s="15"/>
      <c r="G6" s="15"/>
      <c r="H6" s="15"/>
      <c r="I6" s="20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t="14.25" customHeight="1">
      <c r="A7" s="22"/>
      <c r="B7" s="23" t="s">
        <v>47</v>
      </c>
      <c r="C7" s="24"/>
      <c r="D7" s="23" t="s">
        <v>48</v>
      </c>
      <c r="E7" s="24"/>
      <c r="F7" s="25" t="s">
        <v>49</v>
      </c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t="14.25" customHeight="1">
      <c r="A8" s="26"/>
      <c r="B8" s="27" t="s">
        <v>50</v>
      </c>
      <c r="C8" s="27" t="s">
        <v>51</v>
      </c>
      <c r="D8" s="27" t="s">
        <v>50</v>
      </c>
      <c r="E8" s="27" t="s">
        <v>51</v>
      </c>
      <c r="F8" s="26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t="14.25" customHeight="1">
      <c r="A9" s="28"/>
      <c r="B9" s="28">
        <f>COUNTIFS(Results!$E:$E,"&gt;="&amp;$I$2,Results!$E:$E,"&lt;="&amp;$I$3,Results!$I:$I,"Male",Results!$J:$J,"&lt;15", Results!$F:$F,"*tive")</f>
        <v>0</v>
      </c>
      <c r="C9" s="28">
        <f>COUNTIFS(Results!$E:$E,"&gt;="&amp;$I$2,Results!$E:$E,"&lt;="&amp;$I$3,Results!$I:$I,"Male",Results!$J:$J,"&gt;=15", Results!$F:$F,"*tive")</f>
        <v>0</v>
      </c>
      <c r="D9" s="28">
        <f>COUNTIFS(Results!$E:$E,"&gt;="&amp;$I$2,Results!$E:$E,"&lt;="&amp;$I$3,Results!$I:$I,"Female",Results!$J:$J,"&lt;15", Results!$F:$F,"*tive")</f>
        <v>0</v>
      </c>
      <c r="E9" s="28">
        <f>COUNTIFS(Results!$E:$E,"&gt;="&amp;$I$2,Results!$E:$E,"&lt;="&amp;$I$3,Results!$I:$I,"Female",Results!$J:$J,"&gt;=15", Results!$F:$F,"*tive")</f>
        <v>0</v>
      </c>
      <c r="F9" s="28">
        <f>COUNTIFS(Results!$E:$E,"&gt;="&amp;$I$2,Results!$E:$E,"&lt;="&amp;$I$3, Results!$F:$F,"*tive", Results!$J:$J,"&lt;&gt;Not on Form", Results!$J:$J,"&lt;&gt;N/A", Results!$I:$I,"&lt;&gt;Not on Form", Results!$I:$I,"&lt;&gt;N/A")</f>
        <v>0</v>
      </c>
      <c r="G9" s="15" t="str">
        <f>IF(SUM(B9:E9)=F9,"","Check Total Value &amp; Category")</f>
        <v/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t="14.25" customHeight="1">
      <c r="A10" s="15"/>
      <c r="B10" s="15"/>
      <c r="C10" s="15"/>
      <c r="D10" s="15"/>
      <c r="E10" s="15"/>
      <c r="F10" s="15"/>
      <c r="G10" s="15"/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t="14.25" customHeight="1">
      <c r="A11" s="15" t="s">
        <v>52</v>
      </c>
      <c r="B11" s="15"/>
      <c r="C11" s="15"/>
      <c r="D11" s="15"/>
      <c r="E11" s="15"/>
      <c r="F11" s="15"/>
      <c r="G11" s="15"/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t="14.25" customHeight="1">
      <c r="A12" s="28"/>
      <c r="B12" s="28"/>
      <c r="C12" s="29" t="s">
        <v>53</v>
      </c>
      <c r="D12" s="29" t="s">
        <v>54</v>
      </c>
      <c r="E12" s="29" t="s">
        <v>55</v>
      </c>
      <c r="F12" s="29" t="s">
        <v>49</v>
      </c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t="15.75" customHeight="1">
      <c r="A13" s="30" t="s">
        <v>56</v>
      </c>
      <c r="B13" s="28" t="s">
        <v>57</v>
      </c>
      <c r="C13" s="28">
        <f>COUNTIFS(Results!$E:$E,"&gt;="&amp;$I$2,Results!$E:$E,"&lt;="&amp;$I$3,Results!$L:$L,"Positive",Results!$K:$K,"No", Results!$F:$F,"*tive") + COUNTIFS(Results!$E:$E,"&gt;="&amp;$I$2,Results!$E:$E,"&lt;="&amp;$I$3,Results!$L:$L,"Positive",Results!$K:$K,"On Treatment", Results!$F:$F,"*tive")</f>
        <v>0</v>
      </c>
      <c r="D13" s="28">
        <f>COUNTIFS(Results!$E:$E,"&gt;="&amp;$I$2,Results!$E:$E,"&lt;="&amp;$I$3,Results!$L:$L,"Positive",Results!$K:$K,"Yes", Results!$F:$F,"*tive")</f>
        <v>0</v>
      </c>
      <c r="E13" s="28">
        <f>COUNTIFS(Results!$E:$E,"&gt;="&amp;$I$2,Results!$E:$E,"&lt;="&amp;$I$3,Results!$L:$L,"Positive",Results!$K:$K,"Unknown", Results!$F:$F,"*tive")</f>
        <v>0</v>
      </c>
      <c r="F13" s="28">
        <f>COUNTIFS(Results!$E:$E,"&gt;="&amp;$I$2,Results!$E:$E,"&lt;="&amp;$I$3,Results!$L:$L,"Positive", Results!$F:$F,"*tive", Results!$K:$K,"&lt;&gt;Not on Form", Results!$K:$K,"&lt;&gt;N/A", Results!$L:$L,"&lt;&gt;Not on Form", Results!$L:$L,"&lt;&gt;N/A")</f>
        <v>0</v>
      </c>
      <c r="G13" s="31" t="str">
        <f>IF($F$9=SUM(F13:F15),"","Error! Microscopy result does NOT match, cross check: Missing information in Microscopy Result")</f>
        <v/>
      </c>
      <c r="I13" s="15" t="str">
        <f t="shared" ref="I13:I18" si="1">IF(SUM(C13:E13)=F13,"","Check Total Value &amp; Category")</f>
        <v/>
      </c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t="14.25" customHeight="1">
      <c r="A14" s="32"/>
      <c r="B14" s="28" t="s">
        <v>58</v>
      </c>
      <c r="C14" s="28">
        <f>COUNTIFS(Results!$E:$E,"&gt;="&amp;$I$2,Results!$E:$E,"&lt;="&amp;$I$3,Results!$L:$L,"Negative",Results!$K:$K,"No", Results!$F:$F,"*tive") + COUNTIFS(Results!$E:$E,"&gt;="&amp;$I$2,Results!$E:$E,"&lt;="&amp;$I$3,Results!$L:$L,"Negative",Results!$K:$K,"On Treatment", Results!$F:$F,"*tive")</f>
        <v>0</v>
      </c>
      <c r="D14" s="28">
        <f>COUNTIFS(Results!$E:$E,"&gt;="&amp;$I$2,Results!$E:$E,"&lt;="&amp;$I$3,Results!$L:$L,"Negative",Results!$K:$K,"Yes", Results!$F:$F,"*tive")</f>
        <v>0</v>
      </c>
      <c r="E14" s="28">
        <f>COUNTIFS(Results!$E:$E,"&gt;="&amp;$I$2,Results!$E:$E,"&lt;="&amp;$I$3,Results!$L:$L,"Negative",Results!$K:$K,"Unknown", Results!$F:$F,"*tive")</f>
        <v>0</v>
      </c>
      <c r="F14" s="28">
        <f>COUNTIFS(Results!$E:$E,"&gt;="&amp;$I$2,Results!$E:$E,"&lt;="&amp;$I$3,Results!$L:$L,"Negative", Results!$F:$F,"*tive",Results!$K:$K,"&lt;&gt;Not on Form", Results!$K:$K,"&lt;&gt;N/A", Results!$L:$L,"&lt;&gt;Not on Form", Results!$L:$L,"&lt;&gt;N/A")</f>
        <v>0</v>
      </c>
      <c r="G14" s="33"/>
      <c r="I14" s="15" t="str">
        <f t="shared" si="1"/>
        <v/>
      </c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t="14.25" customHeight="1">
      <c r="A15" s="26"/>
      <c r="B15" s="28" t="s">
        <v>59</v>
      </c>
      <c r="C15" s="28">
        <f>COUNTIFS(Results!$E:$E,"&gt;="&amp;$I$2,Results!$E:$E,"&lt;="&amp;$I$3,Results!$L:$L,"Not Done",Results!$K:$K,"No", Results!$F:$F,"*tive") + COUNTIFS(Results!$E:$E,"&gt;="&amp;$I$2,Results!$E:$E,"&lt;="&amp;$I$3,Results!$L:$L,"Not Done",Results!$K:$K,"On Treatment", Results!$F:$F,"*tive")</f>
        <v>0</v>
      </c>
      <c r="D15" s="28">
        <f>COUNTIFS(Results!$E:$E,"&gt;="&amp;$I$2,Results!$E:$E,"&lt;="&amp;$I$3,Results!$L:$L,"Not Done",Results!$K:$K,"Yes", Results!$F:$F,"*tive")</f>
        <v>0</v>
      </c>
      <c r="E15" s="28">
        <f>COUNTIFS(Results!$E:$E,"&gt;="&amp;$I$2,Results!$E:$E,"&lt;="&amp;$I$3,Results!$L:$L,"Not Done",Results!$K:$K,"Unknown", Results!$F:$F,"*tive")</f>
        <v>0</v>
      </c>
      <c r="F15" s="28">
        <f>COUNTIFS(Results!$E:$E,"&gt;="&amp;$I$2,Results!$E:$E,"&lt;="&amp;$I$3,Results!$L:$L,"Not Done", Results!$F:$F,"*tive", Results!$K:$K,"&lt;&gt;Not on Form", Results!$K:$K,"&lt;&gt;N/A", Results!$L:$L,"&lt;&gt;Not on Form", Results!$L:$L,"&lt;&gt;N/A")</f>
        <v>0</v>
      </c>
      <c r="G15" s="33"/>
      <c r="I15" s="15" t="str">
        <f t="shared" si="1"/>
        <v/>
      </c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t="14.25" customHeight="1">
      <c r="A16" s="25" t="s">
        <v>60</v>
      </c>
      <c r="B16" s="28" t="s">
        <v>61</v>
      </c>
      <c r="C16" s="28">
        <f>COUNTIFS(Results!$E:$E,"&gt;="&amp;$I$2,Results!$E:$E,"&lt;="&amp;$I$3,Results!$F:$F,"Negative",Results!$K:$K,"No") + COUNTIFS(Results!$E:$E,"&gt;="&amp;$I$2,Results!$E:$E,"&lt;="&amp;$I$3,Results!$F:$F,"Negative",Results!$K:$K,"On Treatment")</f>
        <v>0</v>
      </c>
      <c r="D16" s="28">
        <f>COUNTIFS(Results!$E:$E,"&gt;="&amp;$I$2,Results!$E:$E,"&lt;="&amp;$I$3,Results!$F:$F,"Negative",Results!$K:$K,"Yes")</f>
        <v>0</v>
      </c>
      <c r="E16" s="28">
        <f>COUNTIFS(Results!$E:$E,"&gt;="&amp;$I$2,Results!$E:$E,"&lt;="&amp;$I$3,Results!$F:$F,"Negative",Results!$K:$K,"Unknown")</f>
        <v>0</v>
      </c>
      <c r="F16" s="28">
        <f>COUNTIFS(Results!$E:$E,"&gt;="&amp;$I$2,Results!$E:$E,"&lt;="&amp;$I$3,Results!$F:$F,"Negative", Results!$K:$K,"&lt;&gt;Not on Form", Results!$K:$K,"&lt;&gt;N/A")</f>
        <v>0</v>
      </c>
      <c r="G16" s="31" t="str">
        <f>IF($F$9=SUM(F16:F20),"","Error! Cross information between Xpert result and treatment category are not match; possibly there will be Erorr or missing information on MTB result OR RIF result")</f>
        <v/>
      </c>
      <c r="I16" s="15" t="str">
        <f t="shared" si="1"/>
        <v/>
      </c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t="14.25" customHeight="1">
      <c r="A17" s="32"/>
      <c r="B17" s="28" t="s">
        <v>62</v>
      </c>
      <c r="C17" s="28">
        <f>COUNTIFS(Results!$E:$E,"&gt;="&amp;$I$2,Results!$E:$E,"&lt;="&amp;$I$3,Results!$F:$F,"Positive",Results!$G:$G,"Negative",Results!$K:$K,"No") + COUNTIFS(Results!$E:$E,"&gt;="&amp;$I$2,Results!$E:$E,"&lt;="&amp;$I$3,Results!$F:$F,"Positive",Results!$G:$G,"Negative",Results!$K:$K,"On Treatment")</f>
        <v>0</v>
      </c>
      <c r="D17" s="28">
        <f>COUNTIFS(Results!$E:$E,"&gt;="&amp;$I$2,Results!$E:$E,"&lt;="&amp;$I$3,Results!$F:$F,"Positive",Results!$G:$G,"Negative",Results!$K:$K,"Yes")</f>
        <v>0</v>
      </c>
      <c r="E17" s="28">
        <f>COUNTIFS(Results!$E:$E,"&gt;="&amp;$I$2,Results!$E:$E,"&lt;="&amp;$I$3,Results!$F:$F,"Positive",Results!$G:$G,"Negative",Results!$K:$K,"Unknown")</f>
        <v>0</v>
      </c>
      <c r="F17" s="28">
        <f>COUNTIFS(Results!$E:$E,"&gt;="&amp;$I$2,Results!$E:$E,"&lt;="&amp;$I$3,Results!$F:$F,"Positive",Results!$G:$G,"Negative", Results!$K:$K,"&lt;&gt;Not on Form", Results!$K:$K,"&lt;&gt;N/A")</f>
        <v>0</v>
      </c>
      <c r="G17" s="33"/>
      <c r="I17" s="15" t="str">
        <f t="shared" si="1"/>
        <v/>
      </c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t="14.25" customHeight="1">
      <c r="A18" s="32"/>
      <c r="B18" s="28" t="s">
        <v>63</v>
      </c>
      <c r="C18" s="28">
        <f>COUNTIFS(Results!$E:$E,"&gt;="&amp;$I$2,Results!$E:$E,"&lt;="&amp;$I$3,Results!$F:$F,"Positive",Results!$G:$G,"Positive",Results!$K:$K,"No") + COUNTIFS(Results!$E:$E,"&gt;="&amp;$I$2,Results!$E:$E,"&lt;="&amp;$I$3,Results!$F:$F,"Positive",Results!$G:$G,"Positive",Results!$K:$K,"On Treatment")</f>
        <v>0</v>
      </c>
      <c r="D18" s="28">
        <f>COUNTIFS(Results!$E:$E,"&gt;="&amp;$I$2,Results!$E:$E,"&lt;="&amp;$I$3,Results!$F:$F,"Positive",Results!$G:$G,"Positive",Results!$K:$K,"Yes")</f>
        <v>0</v>
      </c>
      <c r="E18" s="28">
        <f>COUNTIFS(Results!$E:$E,"&gt;="&amp;$I$2,Results!$E:$E,"&lt;="&amp;$I$3,Results!$F:$F,"Positive",Results!$G:$G,"Positive",Results!$K:$K,"Unknown")</f>
        <v>0</v>
      </c>
      <c r="F18" s="28">
        <f>COUNTIFS(Results!$E:$E,"&gt;="&amp;$I$2,Results!$E:$E,"&lt;="&amp;$I$3,Results!$F:$F,"Positive",Results!$G:$G,"Positive", Results!$K:$K,"&lt;&gt;Not on Form", Results!$K:$K,"&lt;&gt;N/A")</f>
        <v>0</v>
      </c>
      <c r="G18" s="33"/>
      <c r="I18" s="15" t="str">
        <f t="shared" si="1"/>
        <v/>
      </c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t="14.25" customHeight="1">
      <c r="A19" s="32"/>
      <c r="B19" s="28" t="s">
        <v>64</v>
      </c>
      <c r="C19" s="28">
        <f>COUNTIFS(Results!$E:$E,"&gt;="&amp;$I$2,Results!$E:$E,"&lt;="&amp;$I$3,Results!$F:$F,"Positive",Results!$G:$G,"Indeterminate",Results!$K:$K,"No") + COUNTIFS(Results!$E:$E,"&gt;="&amp;$I$2,Results!$E:$E,"&lt;="&amp;$I$3,Results!$F:$F,"Positive",Results!$G:$G,"Indeterminate",Results!$K:$K,"On Treatment")</f>
        <v>0</v>
      </c>
      <c r="D19" s="28">
        <f>COUNTIFS(Results!$E:$E,"&gt;="&amp;$I$2,Results!$E:$E,"&lt;="&amp;$I$3,Results!$F:$F,"Positive",Results!$G:$G,"Indeterminate",Results!$K:$K,"Yes")</f>
        <v>0</v>
      </c>
      <c r="E19" s="28">
        <f>COUNTIFS(Results!$E:$E,"&gt;="&amp;$I$2,Results!$E:$E,"&lt;="&amp;$I$3,Results!$F:$F,"Positive",Results!$G:$G,"Indeterminate",Results!$K:$K,"Unknown")</f>
        <v>0</v>
      </c>
      <c r="F19" s="28">
        <f>COUNTIFS(Results!$E:$E,"&gt;="&amp;$I$2,Results!$E:$E,"&lt;="&amp;$I$3,Results!$F:$F,"Positive",Results!$G:$G,"Indeterminate", Results!$K:$K,"&lt;&gt;Not on Form", Results!$K:$K,"&lt;&gt;N/A")</f>
        <v>0</v>
      </c>
      <c r="G19" s="33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t="14.25" customHeight="1">
      <c r="A20" s="26"/>
      <c r="B20" s="28" t="s">
        <v>65</v>
      </c>
      <c r="C20" s="28">
        <f>COUNTIFS(Results!$E:$E,"&gt;="&amp;$I$2,Results!$E:$E,"&lt;="&amp;$I$3,Results!$F:$F,"Trace",Results!$G:$G,"Indeterminate",Results!$K:$K,"No") + COUNTIFS(Results!$E:$E,"&gt;="&amp;$I$2,Results!$E:$E,"&lt;="&amp;$I$3,Results!$F:$F,"Trace",Results!$G:$G,"Indeterminate",Results!$K:$K,"On Treatment")</f>
        <v>0</v>
      </c>
      <c r="D20" s="28">
        <f>COUNTIFS(Results!$E:$E,"&gt;="&amp;$I$2,Results!$E:$E,"&lt;="&amp;$I$3,Results!$F:$F,"Trace",Results!$G:$G,"Indeterminate",Results!$K:$K,"Yes")</f>
        <v>0</v>
      </c>
      <c r="E20" s="28">
        <f>COUNTIFS(Results!$E:$E,"&gt;="&amp;$I$2,Results!$E:$E,"&lt;="&amp;$I$3,Results!$F:$F,"Trace",Results!$G:$G,"Indeterminate",Results!$K:$K,"Unknown")</f>
        <v>0</v>
      </c>
      <c r="F20" s="28">
        <f>COUNTIFS(Results!$E:$E,"&gt;="&amp;$I$2,Results!$E:$E,"&lt;="&amp;$I$3,Results!$F:$F,"Trace",Results!$G:$G,"Indeterminate", Results!$K:$K,"&lt;&gt;Not on Form", Results!$K:$K,"&lt;&gt;N/A")</f>
        <v>0</v>
      </c>
      <c r="G20" s="33"/>
      <c r="I20" s="15" t="str">
        <f>IF(SUM(C20:E20)=F20,"","Check Total Value &amp; Category")</f>
        <v/>
      </c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t="14.25" customHeight="1">
      <c r="A21" s="15"/>
      <c r="B21" s="15"/>
      <c r="C21" s="15"/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t="14.25" customHeight="1">
      <c r="A22" s="15" t="s">
        <v>66</v>
      </c>
      <c r="B22" s="15"/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t="14.25" customHeight="1">
      <c r="A23" s="28"/>
      <c r="B23" s="28"/>
      <c r="C23" s="34" t="s">
        <v>67</v>
      </c>
      <c r="D23" s="34" t="s">
        <v>68</v>
      </c>
      <c r="E23" s="27" t="s">
        <v>55</v>
      </c>
      <c r="F23" s="27" t="s">
        <v>49</v>
      </c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t="15.75" hidden="1" customHeight="1">
      <c r="A24" s="30" t="s">
        <v>56</v>
      </c>
      <c r="B24" s="28" t="s">
        <v>57</v>
      </c>
      <c r="C24" s="28">
        <f>COUNTIFS(Results!$E:$E,"&gt;="&amp;$I$2,Results!$E:$E,"&lt;="&amp;$I$3,Results!$L:$L,"Positive",Results!$H:$H,"Positive", Results!$F:$F,"*tive")</f>
        <v>0</v>
      </c>
      <c r="D24" s="28">
        <f>COUNTIFS(Results!$E:$E,"&gt;="&amp;$I$2,Results!$E:$E,"&lt;="&amp;$I$3,Results!$L:$L,"Positive",Results!$H:$H,"Negative", Results!$F:$F,"*tive")</f>
        <v>0</v>
      </c>
      <c r="E24" s="28">
        <f>COUNTIFS(Results!$E:$E,"&gt;="&amp;$I$2,Results!$E:$E,"&lt;="&amp;$I$3,Results!$L:$L,"Positive",Results!$H:$H,"Unknown", Results!$F:$F,"*tive")</f>
        <v>0</v>
      </c>
      <c r="F24" s="28">
        <f>COUNTIFS(Results!$E:$E,"&gt;="&amp;$I$2,Results!$E:$E,"&lt;="&amp;$I$3,Results!$L:$L,"Positive", Results!$F:$F,"*tive", Results!$H:$H,"&lt;&gt;Not on Form", Results!$H:$H,"&lt;&gt;N/A", Results!$L:$L,"&lt;&gt;Not on Form", Results!$L:$L,"&lt;&gt;N/A")</f>
        <v>0</v>
      </c>
      <c r="G24" s="31" t="str">
        <f>IF($F$9=SUM(F24:F26),"","Error! Microscope Result and HIV Status do NOT match; Crosscheck for missing information in Microscope Result OR HIV Status")</f>
        <v/>
      </c>
      <c r="I24" s="15" t="str">
        <f t="shared" ref="I24:I29" si="2">IF(SUM(C24:E24)=F24,"","Check Total Value &amp; Category")</f>
        <v/>
      </c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t="14.25" hidden="1" customHeight="1">
      <c r="A25" s="32"/>
      <c r="B25" s="28" t="s">
        <v>58</v>
      </c>
      <c r="C25" s="28">
        <f>COUNTIFS(Results!$E:$E,"&gt;="&amp;$I$2,Results!$E:$E,"&lt;="&amp;$I$3,Results!$L:$L,"Negative",Results!$H:$H,"Positive", Results!$F:$F,"*tive")</f>
        <v>0</v>
      </c>
      <c r="D25" s="28">
        <f>COUNTIFS(Results!$E:$E,"&gt;="&amp;$I$2,Results!$E:$E,"&lt;="&amp;$I$3,Results!$L:$L,"Negative",Results!$H:$H,"Negative", Results!$F:$F,"*tive")</f>
        <v>0</v>
      </c>
      <c r="E25" s="28">
        <f>COUNTIFS(Results!$E:$E,"&gt;="&amp;$I$2,Results!$E:$E,"&lt;="&amp;$I$3,Results!$L:$L,"Negative",Results!$H:$H,"Unknown", Results!$F:$F,"*tive")</f>
        <v>0</v>
      </c>
      <c r="F25" s="28">
        <f>COUNTIFS(Results!$E:$E,"&gt;="&amp;$I$2,Results!$E:$E,"&lt;="&amp;$I$3,Results!$L:$L,"Negative", Results!$F:$F,"*tive",  Results!$H:$H,"&lt;&gt;Not on Form", Results!$H:$H,"&lt;&gt;N/A", Results!$L:$L,"&lt;&gt;Not on Form", Results!$L:$L,"&lt;&gt;N/A")</f>
        <v>0</v>
      </c>
      <c r="G25" s="33"/>
      <c r="I25" s="15" t="str">
        <f t="shared" si="2"/>
        <v/>
      </c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t="14.25" hidden="1" customHeight="1">
      <c r="A26" s="26"/>
      <c r="B26" s="28" t="s">
        <v>59</v>
      </c>
      <c r="C26" s="28">
        <f>COUNTIFS(Results!$E:$E,"&gt;="&amp;$I$2,Results!$E:$E,"&lt;="&amp;$I$3,Results!$L:$L,"Not Done",Results!$H:$H,"Positive", Results!$F:$F,"*tive")</f>
        <v>0</v>
      </c>
      <c r="D26" s="28">
        <f>COUNTIFS(Results!$E:$E,"&gt;="&amp;$I$2,Results!$E:$E,"&lt;="&amp;$I$3,Results!$L:$L,"Not Done",Results!$H:$H,"Negative", Results!$F:$F,"*tive")</f>
        <v>0</v>
      </c>
      <c r="E26" s="28">
        <f>COUNTIFS(Results!$E:$E,"&gt;="&amp;$I$2,Results!$E:$E,"&lt;="&amp;$I$3,Results!$L:$L,"Not Done",Results!$H:$H,"Unknown", Results!$F:$F,"*tive")</f>
        <v>0</v>
      </c>
      <c r="F26" s="28">
        <f>COUNTIFS(Results!$E:$E,"&gt;="&amp;$I$2,Results!$E:$E,"&lt;="&amp;$I$3,Results!$L:$L,"Not Done",Results!$F:$F,"*tive",  Results!$H:$H,"&lt;&gt;Not on Form", Results!$H:$H,"&lt;&gt;N/A", Results!$L:$L,"&lt;&gt;Not on Form", Results!$L:$L,"&lt;&gt;N/A")</f>
        <v>0</v>
      </c>
      <c r="G26" s="33"/>
      <c r="I26" s="15" t="str">
        <f t="shared" si="2"/>
        <v/>
      </c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t="14.25" customHeight="1">
      <c r="A27" s="25" t="s">
        <v>60</v>
      </c>
      <c r="B27" s="28" t="s">
        <v>61</v>
      </c>
      <c r="C27" s="28">
        <f>COUNTIFS(Results!$E:$E,"&gt;="&amp;$I$2,Results!$E:$E,"&lt;="&amp;$I$3,Results!$F:$F,"Negative",Results!$H:$H,"Positive")</f>
        <v>0</v>
      </c>
      <c r="D27" s="28">
        <f>COUNTIFS(Results!$E:$E,"&gt;="&amp;$I$2,Results!$E:$E,"&lt;="&amp;$I$3,Results!$F:$F,"Negative",Results!$H:$H,"Negative")</f>
        <v>0</v>
      </c>
      <c r="E27" s="28">
        <f>COUNTIFS(Results!$E:$E,"&gt;="&amp;$I$2,Results!$E:$E,"&lt;="&amp;$I$3,Results!$F:$F,"Negative",Results!$H:$H,"Unknown")</f>
        <v>0</v>
      </c>
      <c r="F27" s="28">
        <f>COUNTIFS(Results!$E:$E,"&gt;="&amp;$I$2,Results!$E:$E,"&lt;="&amp;$I$3,Results!$F:$F,"Negative", Results!$H:$H,"&lt;&gt;Not on Form", Results!$H:$H,"&lt;&gt;N/A")</f>
        <v>0</v>
      </c>
      <c r="G27" s="31" t="str">
        <f>IF($F$9=SUM(F27:F31),"","Error! Cross information between Xpert result and HIV Status are not match; possibly there will be Erorr or missing information on MTB result OR HIV Status")</f>
        <v/>
      </c>
      <c r="I27" s="15" t="str">
        <f t="shared" si="2"/>
        <v/>
      </c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t="14.25" customHeight="1">
      <c r="A28" s="32"/>
      <c r="B28" s="28" t="s">
        <v>62</v>
      </c>
      <c r="C28" s="28">
        <f>COUNTIFS(Results!$E:$E,"&gt;="&amp;$I$2,Results!$E:$E,"&lt;="&amp;$I$3,Results!$F:$F,"Positive",Results!$G:$G,"Negative",Results!$H:$H,"Positive")</f>
        <v>0</v>
      </c>
      <c r="D28" s="28">
        <f>COUNTIFS(Results!$E:$E,"&gt;="&amp;$I$2,Results!$E:$E,"&lt;="&amp;$I$3,Results!$F:$F,"Positive",Results!$G:$G,"Negative",Results!$H:$H,"Negative")</f>
        <v>0</v>
      </c>
      <c r="E28" s="28">
        <f>COUNTIFS(Results!$E:$E,"&gt;="&amp;$I$2,Results!$E:$E,"&lt;="&amp;$I$3,Results!$F:$F,"Positive",Results!$G:$G,"Negative",Results!$H:$H,"Unknown")</f>
        <v>0</v>
      </c>
      <c r="F28" s="28">
        <f>COUNTIFS(Results!$E:$E,"&gt;="&amp;$I$2,Results!$E:$E,"&lt;="&amp;$I$3,Results!$F:$F,"Positive",Results!$G:$G,"Negative", Results!$H:$H,"&lt;&gt;Not on Form", Results!$H:$H,"&lt;&gt;N/A")</f>
        <v>0</v>
      </c>
      <c r="G28" s="33"/>
      <c r="I28" s="15" t="str">
        <f t="shared" si="2"/>
        <v/>
      </c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t="14.25" customHeight="1">
      <c r="A29" s="32"/>
      <c r="B29" s="28" t="s">
        <v>63</v>
      </c>
      <c r="C29" s="28">
        <f>COUNTIFS(Results!$E:$E,"&gt;="&amp;$I$2,Results!$E:$E,"&lt;="&amp;$I$3,Results!$F:$F,"Positive",Results!$G:$G,"Positive",Results!$H:$H,"Positive")</f>
        <v>0</v>
      </c>
      <c r="D29" s="28">
        <f>COUNTIFS(Results!$E:$E,"&gt;="&amp;$I$2,Results!$E:$E,"&lt;="&amp;$I$3,Results!$F:$F,"Positive",Results!$G:$G,"Positive",Results!$H:$H,"Negative")</f>
        <v>0</v>
      </c>
      <c r="E29" s="28">
        <f>COUNTIFS(Results!$E:$E,"&gt;="&amp;$I$2,Results!$E:$E,"&lt;="&amp;$I$3,Results!$F:$F,"Positive",Results!$G:$G,"Positive",Results!$H:$H,"Unknown")</f>
        <v>0</v>
      </c>
      <c r="F29" s="28">
        <f>COUNTIFS(Results!$E:$E,"&gt;="&amp;$I$2,Results!$E:$E,"&lt;="&amp;$I$3,Results!$F:$F,"Positive",Results!$G:$G,"Positive", Results!$H:$H,"&lt;&gt;Not on Form", Results!$H:$H,"&lt;&gt;N/A")</f>
        <v>0</v>
      </c>
      <c r="G29" s="33"/>
      <c r="I29" s="15" t="str">
        <f t="shared" si="2"/>
        <v/>
      </c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t="14.25" customHeight="1">
      <c r="A30" s="32"/>
      <c r="B30" s="28" t="s">
        <v>64</v>
      </c>
      <c r="C30" s="28">
        <f>COUNTIFS(Results!$E:$E,"&gt;="&amp;$I$2,Results!$E:$E,"&lt;="&amp;$I$3,Results!$F:$F,"Positive",Results!$G:$G,"Indeterminate",Results!$H:$H,"Positive")</f>
        <v>0</v>
      </c>
      <c r="D30" s="28">
        <f>COUNTIFS(Results!$E:$E,"&gt;="&amp;$I$2,Results!$E:$E,"&lt;="&amp;$I$3,Results!$F:$F,"Positive",Results!$G:$G,"Indeterminate",Results!$H:$H,"Negative")</f>
        <v>0</v>
      </c>
      <c r="E30" s="28">
        <f>COUNTIFS(Results!$E:$E,"&gt;="&amp;$I$2,Results!$E:$E,"&lt;="&amp;$I$3,Results!$F:$F,"Positive",Results!$G:$G,"Indeterminate",Results!$H:$H,"Unknown")</f>
        <v>0</v>
      </c>
      <c r="F30" s="28">
        <f>COUNTIFS(Results!$E:$E,"&gt;="&amp;$I$2,Results!$E:$E,"&lt;="&amp;$I$3,Results!$F:$F,"Positive",Results!$G:$G,"Indeterminate", Results!$H:$H,"&lt;&gt;Not on Form", Results!$H:$H,"&lt;&gt;N/A")</f>
        <v>0</v>
      </c>
      <c r="G30" s="33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t="14.25" customHeight="1">
      <c r="A31" s="26"/>
      <c r="B31" s="28" t="s">
        <v>65</v>
      </c>
      <c r="C31" s="28">
        <f>COUNTIFS(Results!$E:$E,"&gt;="&amp;$I$2,Results!$E:$E,"&lt;="&amp;$I$3,Results!$F:$F,"Trace",Results!$G:$G,"Indeterminate",Results!$H:$H,"Positive")</f>
        <v>0</v>
      </c>
      <c r="D31" s="28">
        <f>COUNTIFS(Results!$E:$E,"&gt;="&amp;$I$2,Results!$E:$E,"&lt;="&amp;$I$3,Results!$F:$F,"Trace",Results!$G:$G,"Indeterminate",Results!$H:$H,"Negative")</f>
        <v>0</v>
      </c>
      <c r="E31" s="28">
        <f>COUNTIFS(Results!$E:$E,"&gt;="&amp;$I$2,Results!$E:$E,"&lt;="&amp;$I$3,Results!$F:$F,"Trace",Results!$G:$G,"Indeterminate",Results!$H:$H,"Unknown")</f>
        <v>0</v>
      </c>
      <c r="F31" s="28">
        <f>COUNTIFS(Results!$E:$E,"&gt;="&amp;$I$2,Results!$E:$E,"&lt;="&amp;$I$3,Results!$F:$F,"Trace",Results!$G:$G,"Indeterminate", Results!$H:$H,"&lt;&gt;Not on Form", Results!$H:$H,"&lt;&gt;N/A")</f>
        <v>0</v>
      </c>
      <c r="G31" s="33"/>
      <c r="I31" s="15" t="str">
        <f>IF(SUM(C31:E31)=F31,"","Check Total Value &amp; Category")</f>
        <v/>
      </c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t="14.25" customHeight="1">
      <c r="A32" s="15"/>
      <c r="B32" s="15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t="14.25" customHeight="1">
      <c r="A33" s="15" t="s">
        <v>69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14.25" customHeight="1">
      <c r="A34" s="55"/>
      <c r="B34" s="55"/>
      <c r="C34" s="56" t="s">
        <v>70</v>
      </c>
      <c r="D34" s="56" t="s">
        <v>71</v>
      </c>
      <c r="E34" s="56" t="s">
        <v>72</v>
      </c>
      <c r="F34" s="56" t="s">
        <v>73</v>
      </c>
      <c r="G34" s="56" t="s">
        <v>74</v>
      </c>
      <c r="H34" s="57" t="s">
        <v>49</v>
      </c>
      <c r="I34" s="58"/>
      <c r="J34" s="58"/>
      <c r="K34" s="58"/>
      <c r="L34" s="58"/>
      <c r="M34" s="58"/>
      <c r="N34" s="58"/>
      <c r="O34" s="58"/>
      <c r="P34" s="58"/>
      <c r="Q34" s="58"/>
      <c r="R34" s="58"/>
      <c r="S34" s="58"/>
      <c r="T34" s="58"/>
      <c r="U34" s="58"/>
      <c r="V34" s="58"/>
      <c r="W34" s="58"/>
      <c r="X34" s="58"/>
      <c r="Y34" s="58"/>
      <c r="Z34" s="58"/>
    </row>
    <row r="35" ht="14.25" customHeight="1">
      <c r="A35" s="41" t="s">
        <v>60</v>
      </c>
      <c r="B35" s="59" t="s">
        <v>61</v>
      </c>
      <c r="C35" s="55">
        <f>COUNTIFS(Results!$E:$E,"&gt;="&amp;$I$2,Results!$E:$E,"&lt;="&amp;$I$3,Results!$F:$F,"Negative",Results!$S:$S,"*DX*")</f>
        <v>0</v>
      </c>
      <c r="D35" s="55">
        <f>COUNTIFS(Results!$E:$E,"&gt;="&amp;$I$2,Results!$E:$E,"&lt;="&amp;$I$3,Results!$F:$F,"Negative",Results!$S:$S,"*fu*")</f>
        <v>0</v>
      </c>
      <c r="E35" s="55">
        <f>COUNTIFS(Results!$E:$E,"&gt;="&amp;$I$2,Results!$E:$E,"&lt;="&amp;$I$3,Results!$F:$F,"Negative",Results!$S:$S,"*mdr*")</f>
        <v>0</v>
      </c>
      <c r="F35" s="55">
        <f>COUNTIFS(Results!$E:$E,"&gt;="&amp;$I$2,Results!$E:$E,"&lt;="&amp;$I$3,Results!$F:$F,"Negative",Results!$S:$S,"*dm*")</f>
        <v>0</v>
      </c>
      <c r="G35" s="55">
        <f>COUNTIFS(Results!$E:$E,"&gt;="&amp;$I$2,Results!$E:$E,"&lt;="&amp;$I$3,Results!$F:$F,"Negative",Results!$S:$S,"*na*")</f>
        <v>0</v>
      </c>
      <c r="H35" s="55">
        <f>COUNTIFS(Results!$E:$E,"&gt;="&amp;$I$2,Results!$E:$E,"&lt;="&amp;$I$3,Results!$F:$F,"Negative", Results!$O:$O,"&lt;&gt;Not on Form", Results!$O:$O,"&lt;&gt;N/A")</f>
        <v>0</v>
      </c>
      <c r="I35" s="58"/>
      <c r="J35" s="58"/>
      <c r="K35" s="58"/>
      <c r="L35" s="58"/>
      <c r="M35" s="58"/>
      <c r="N35" s="58"/>
      <c r="O35" s="58"/>
      <c r="P35" s="58"/>
      <c r="Q35" s="58"/>
      <c r="R35" s="58"/>
      <c r="S35" s="58"/>
      <c r="T35" s="58"/>
      <c r="U35" s="58"/>
      <c r="V35" s="58"/>
      <c r="W35" s="58"/>
      <c r="X35" s="58"/>
      <c r="Y35" s="58"/>
      <c r="Z35" s="58"/>
    </row>
    <row r="36" ht="14.25" customHeight="1">
      <c r="A36" s="32"/>
      <c r="B36" s="59" t="s">
        <v>62</v>
      </c>
      <c r="C36" s="55">
        <f>COUNTIFS(Results!$E:$E,"&gt;="&amp;$I$2,Results!$E:$E,"&lt;="&amp;$I$3,Results!$F:$F,"Positive",Results!$G:$G,"Negative",Results!$S:$S,"*DX*")</f>
        <v>0</v>
      </c>
      <c r="D36" s="55">
        <f>COUNTIFS(Results!$E:$E,"&gt;="&amp;$I$2,Results!$E:$E,"&lt;="&amp;$I$3,Results!$F:$F,"Positive",Results!$G:$G,"Negative",Results!$S:$S,"*fu*")</f>
        <v>0</v>
      </c>
      <c r="E36" s="55">
        <f>COUNTIFS(Results!$E:$E,"&gt;="&amp;$I$2,Results!$E:$E,"&lt;="&amp;$I$3,Results!$F:$F,"Positive",Results!$G:$G,"Negative",Results!$S:$S,"*mdr*")</f>
        <v>0</v>
      </c>
      <c r="F36" s="55">
        <f>COUNTIFS(Results!$E:$E,"&gt;="&amp;$I$2,Results!$E:$E,"&lt;="&amp;$I$3,Results!$F:$F,"Positive",Results!$G:$G,"Negative",Results!$S:$S,"*Dm*")</f>
        <v>0</v>
      </c>
      <c r="G36" s="55">
        <f>COUNTIFS(Results!$E:$E,"&gt;="&amp;$I$2,Results!$E:$E,"&lt;="&amp;$I$3,Results!$F:$F,"Positive",Results!$G:$G,"Negative",Results!$S:$S,"*na*")</f>
        <v>0</v>
      </c>
      <c r="H36" s="55">
        <f>COUNTIFS(Results!$E:$E,"&gt;="&amp;$I$2,Results!$E:$E,"&lt;="&amp;$I$3,Results!$F:$F,"Positive",Results!$G:$G,"Negative", Results!$O:$O,"&lt;&gt;Not on Form", Results!$O:$O,"&lt;&gt;N/A")</f>
        <v>0</v>
      </c>
      <c r="I36" s="58"/>
      <c r="J36" s="58"/>
      <c r="K36" s="58"/>
      <c r="L36" s="58"/>
      <c r="M36" s="58"/>
      <c r="N36" s="58"/>
      <c r="O36" s="58"/>
      <c r="P36" s="58"/>
      <c r="Q36" s="58"/>
      <c r="R36" s="58"/>
      <c r="S36" s="58"/>
      <c r="T36" s="58"/>
      <c r="U36" s="58"/>
      <c r="V36" s="58"/>
      <c r="W36" s="58"/>
      <c r="X36" s="58"/>
      <c r="Y36" s="58"/>
      <c r="Z36" s="58"/>
    </row>
    <row r="37" ht="14.25" customHeight="1">
      <c r="A37" s="32"/>
      <c r="B37" s="59" t="s">
        <v>63</v>
      </c>
      <c r="C37" s="55">
        <f>COUNTIFS(Results!$E:$E,"&gt;="&amp;$I$2,Results!$E:$E,"&lt;="&amp;$I$3,Results!$F:$F,"Positive",Results!$G:$G,"Positive",Results!$S:$S,"*DX*")</f>
        <v>0</v>
      </c>
      <c r="D37" s="55">
        <f>COUNTIFS(Results!$E:$E,"&gt;="&amp;$I$2,Results!$E:$E,"&lt;="&amp;$I$3,Results!$F:$F,"Positive",Results!$G:$G,"Positive",Results!$S:$S,"*fu*")</f>
        <v>0</v>
      </c>
      <c r="E37" s="55">
        <f>COUNTIFS(Results!$E:$E,"&gt;="&amp;$I$2,Results!$E:$E,"&lt;="&amp;$I$3,Results!$F:$F,"Positive",Results!$G:$G,"Positive",Results!$S:$S,"*mdr*")</f>
        <v>0</v>
      </c>
      <c r="F37" s="55">
        <f>COUNTIFS(Results!$E:$E,"&gt;="&amp;$I$2,Results!$E:$E,"&lt;="&amp;$I$3,Results!$F:$F,"Positive",Results!$G:$G,"Positive",Results!$S:$S,"*dm*")</f>
        <v>0</v>
      </c>
      <c r="G37" s="55">
        <f>COUNTIFS(Results!$E:$E,"&gt;="&amp;$I$2,Results!$E:$E,"&lt;="&amp;$I$3,Results!$F:$F,"Positive",Results!$G:$G,"Positive",Results!$S:$S,"*na*")</f>
        <v>0</v>
      </c>
      <c r="H37" s="55">
        <f>COUNTIFS(Results!$E:$E,"&gt;="&amp;$I$2,Results!$E:$E,"&lt;="&amp;$I$3,Results!$F:$F,"Positive",Results!$G:$G,"Positive", Results!$O:$O,"&lt;&gt;Not on Form", Results!$O:$O,"&lt;&gt;N/A")</f>
        <v>0</v>
      </c>
      <c r="I37" s="58"/>
      <c r="J37" s="58"/>
      <c r="K37" s="58"/>
      <c r="L37" s="58"/>
      <c r="M37" s="58"/>
      <c r="N37" s="58"/>
      <c r="O37" s="58"/>
      <c r="P37" s="58"/>
      <c r="Q37" s="58"/>
      <c r="R37" s="58"/>
      <c r="S37" s="58"/>
      <c r="T37" s="58"/>
      <c r="U37" s="58"/>
      <c r="V37" s="58"/>
      <c r="W37" s="58"/>
      <c r="X37" s="58"/>
      <c r="Y37" s="58"/>
      <c r="Z37" s="58"/>
    </row>
    <row r="38" ht="14.25" customHeight="1">
      <c r="A38" s="32"/>
      <c r="B38" s="59" t="s">
        <v>64</v>
      </c>
      <c r="C38" s="55">
        <f>COUNTIFS(Results!$E:$E,"&gt;="&amp;$I$2,Results!$E:$E,"&lt;="&amp;$I$3,Results!$F:$F,"Positive",Results!$G:$G,"Indeterminate",Results!$S:$S,"*DX*")</f>
        <v>0</v>
      </c>
      <c r="D38" s="55">
        <f>COUNTIFS(Results!$E:$E,"&gt;="&amp;$I$2,Results!$E:$E,"&lt;="&amp;$I$3,Results!$F:$F,"Positive",Results!$G:$G,"Indeterminate",Results!$S:$S,"*fu*")</f>
        <v>0</v>
      </c>
      <c r="E38" s="55">
        <f>COUNTIFS(Results!$E:$E,"&gt;="&amp;$I$2,Results!$E:$E,"&lt;="&amp;$I$3,Results!$F:$F,"Positive",Results!$G:$G,"Indeterminate",Results!$S:$S,"*mdr*")</f>
        <v>0</v>
      </c>
      <c r="F38" s="55">
        <f>COUNTIFS(Results!$E:$E,"&gt;="&amp;$I$2,Results!$E:$E,"&lt;="&amp;$I$3,Results!$F:$F,"Positive",Results!$G:$G,"Indeterminate",Results!$S:$S,"*dm*")</f>
        <v>0</v>
      </c>
      <c r="G38" s="55">
        <f>COUNTIFS(Results!$E:$E,"&gt;="&amp;$I$2,Results!$E:$E,"&lt;="&amp;$I$3,Results!$F:$F,"Positive",Results!$G:$G,"Indeterminate",Results!$S:$S,"*na*")</f>
        <v>0</v>
      </c>
      <c r="H38" s="55">
        <f>COUNTIFS(Results!$E:$E,"&gt;="&amp;$I$2,Results!$E:$E,"&lt;="&amp;$I$3,Results!$F:$F,"Positive",Results!$G:$G,"Indeterminate", Results!$O:$O,"&lt;&gt;Not on Form", Results!$O:$O,"&lt;&gt;N/A")</f>
        <v>0</v>
      </c>
      <c r="I38" s="58"/>
      <c r="J38" s="58"/>
      <c r="K38" s="58"/>
      <c r="L38" s="58"/>
      <c r="M38" s="58"/>
      <c r="N38" s="58"/>
      <c r="O38" s="58"/>
      <c r="P38" s="58"/>
      <c r="Q38" s="58"/>
      <c r="R38" s="58"/>
      <c r="S38" s="58"/>
      <c r="T38" s="58"/>
      <c r="U38" s="58"/>
      <c r="V38" s="58"/>
      <c r="W38" s="58"/>
      <c r="X38" s="58"/>
      <c r="Y38" s="58"/>
      <c r="Z38" s="58"/>
    </row>
    <row r="39" ht="14.25" customHeight="1">
      <c r="A39" s="26"/>
      <c r="B39" s="59" t="s">
        <v>75</v>
      </c>
      <c r="C39" s="55">
        <f>COUNTIFS(Results!$E:$E,"&gt;="&amp;$I$2,Results!$E:$E,"&lt;="&amp;$I$3,Results!$F:$F,"Trace",Results!$G:$G,"Indeterminate",Results!$S:$S,"*DX*")</f>
        <v>0</v>
      </c>
      <c r="D39" s="55">
        <f>COUNTIFS(Results!$E:$E,"&gt;="&amp;$I$2,Results!$E:$E,"&lt;="&amp;$I$3,Results!$F:$F,"Trace",Results!$G:$G,"Indeterminate",Results!$S:$S,"*fu*")</f>
        <v>0</v>
      </c>
      <c r="E39" s="55">
        <f>COUNTIFS(Results!$E:$E,"&gt;="&amp;$I$2,Results!$E:$E,"&lt;="&amp;$I$3,Results!$F:$F,"Trace",Results!$G:$G,"Indeterminate",Results!$S:$S,"*mdr*")</f>
        <v>0</v>
      </c>
      <c r="F39" s="55">
        <f>COUNTIFS(Results!$E:$E,"&gt;="&amp;$I$2,Results!$E:$E,"&lt;="&amp;$I$3,Results!$F:$F,"Trace",Results!$G:$G,"Indeterminate",Results!$S:$S,"*dm*")</f>
        <v>0</v>
      </c>
      <c r="G39" s="55">
        <f>COUNTIFS(Results!$E:$E,"&gt;="&amp;$I$2,Results!$E:$E,"&lt;="&amp;$I$3,Results!$F:$F,"Trace",Results!$G:$G,"Indeterminate",Results!$S:$S,"*na*")</f>
        <v>0</v>
      </c>
      <c r="H39" s="55">
        <f>COUNTIFS(Results!$E:$E,"&gt;="&amp;$I$2,Results!$E:$E,"&lt;="&amp;$I$3,Results!$F:$F,"Trace",Results!$G:$G,"Indeterminate", Results!$O:$O,"&lt;&gt;Not on Form", Results!$O:$O,"&lt;&gt;N/A")</f>
        <v>0</v>
      </c>
      <c r="I39" s="58"/>
      <c r="J39" s="58"/>
      <c r="K39" s="58"/>
      <c r="L39" s="58"/>
      <c r="M39" s="58"/>
      <c r="N39" s="58"/>
      <c r="O39" s="58"/>
      <c r="P39" s="58"/>
      <c r="Q39" s="58"/>
      <c r="R39" s="58"/>
      <c r="S39" s="58"/>
      <c r="T39" s="58"/>
      <c r="U39" s="58"/>
      <c r="V39" s="58"/>
      <c r="W39" s="58"/>
      <c r="X39" s="58"/>
      <c r="Y39" s="58"/>
      <c r="Z39" s="58"/>
    </row>
    <row r="40" ht="14.25" customHeight="1">
      <c r="A40" s="15"/>
      <c r="B40" s="15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t="14.25" customHeight="1">
      <c r="A41" s="15"/>
      <c r="B41" s="15"/>
      <c r="C41" s="23" t="s">
        <v>47</v>
      </c>
      <c r="D41" s="24"/>
      <c r="E41" s="23" t="s">
        <v>48</v>
      </c>
      <c r="F41" s="24"/>
      <c r="G41" s="22" t="s">
        <v>49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t="14.25" customHeight="1">
      <c r="A42" s="28" t="s">
        <v>76</v>
      </c>
      <c r="B42" s="28"/>
      <c r="C42" s="23">
        <f>COUNTIFS(Results!$E:$E,"&gt;="&amp;$I$2,Results!$E:$E,"&lt;="&amp;$I$3,Results!$I:$I,"Male",Results!$F:$F,"Positive",Results!$G:$G,"Positive")</f>
        <v>0</v>
      </c>
      <c r="D42" s="24"/>
      <c r="E42" s="23">
        <f>COUNTIFS(Results!$E:$E,"&gt;="&amp;$I$2,Results!$E:$E,"&lt;="&amp;$I$3,Results!$I:$I,"Female",Results!$F:$F,"Positive",Results!$G:$G,"Positive")</f>
        <v>0</v>
      </c>
      <c r="F42" s="24"/>
      <c r="G42" s="28">
        <f>COUNTIFS(Results!$E:$E,"&gt;="&amp;$I$2,Results!$E:$E,"&lt;="&amp;$I$3,Results!$F:$F,"Positive",Results!$G:$G,"Positive", Results!$I:$I,"&lt;&gt;Not on Form", Results!$I:$I,"&lt;&gt;N/A")</f>
        <v>0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t="14.25" customHeight="1">
      <c r="A43" s="15"/>
      <c r="B43" s="15"/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t="14.25" customHeight="1">
      <c r="A44" s="15" t="s">
        <v>77</v>
      </c>
      <c r="B44" s="15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t="14.25" customHeight="1">
      <c r="A45" s="28"/>
      <c r="B45" s="28"/>
      <c r="C45" s="23" t="s">
        <v>78</v>
      </c>
      <c r="D45" s="24"/>
      <c r="E45" s="23" t="s">
        <v>79</v>
      </c>
      <c r="F45" s="24"/>
      <c r="G45" s="28" t="s">
        <v>49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t="14.25" customHeight="1">
      <c r="A46" s="44" t="s">
        <v>80</v>
      </c>
      <c r="B46" s="45"/>
      <c r="C46" s="23">
        <f>COUNTIFS(Results!$E:$E,"&gt;="&amp;$I$2,Results!$E:$E,"&lt;="&amp;$I$3,Results!$F:$F,"Positive",Results!$L:$L,"Positive")</f>
        <v>0</v>
      </c>
      <c r="D46" s="24"/>
      <c r="E46" s="23">
        <f>COUNTIFS(Results!$E:$E,"&gt;="&amp;$I$2,Results!$E:$E,"&lt;="&amp;$I$3,Results!$F:$F,"Negative",Results!$L:$L,"Positive")</f>
        <v>0</v>
      </c>
      <c r="F46" s="24"/>
      <c r="G46" s="28">
        <f>COUNTIFS(Results!$E:$E,"&gt;="&amp;$I$2,Results!$E:$E,"&lt;="&amp;$I$3,Results!$L:$L,"Positive", Results!$F:$F,"*tive", Results!$L:$L,"&lt;&gt;Not on Form", Results!$L:$L,"&lt;&gt;N/A")</f>
        <v>0</v>
      </c>
      <c r="H46" s="31" t="s">
        <v>81</v>
      </c>
      <c r="J46" s="15" t="str">
        <f t="shared" ref="J46:J48" si="3">IF(SUM(C46:F46)=G46,"","Check Total Value &amp; Category")</f>
        <v/>
      </c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t="14.25" customHeight="1">
      <c r="A47" s="44" t="s">
        <v>82</v>
      </c>
      <c r="B47" s="45"/>
      <c r="C47" s="23">
        <f>COUNTIFS(Results!$E:$E,"&gt;="&amp;$I$2,Results!$E:$E,"&lt;="&amp;$I$3,Results!$F:$F,"Positive",Results!$L:$L,"Negative")</f>
        <v>0</v>
      </c>
      <c r="D47" s="24"/>
      <c r="E47" s="23">
        <f>COUNTIFS(Results!$E:$E,"&gt;="&amp;$I$2,Results!$E:$E,"&lt;="&amp;$I$3,Results!$F:$F,"Negative",Results!$L:$L,"Negative")</f>
        <v>0</v>
      </c>
      <c r="F47" s="24"/>
      <c r="G47" s="28">
        <f>COUNTIFS(Results!$E:$E,"&gt;="&amp;$I$2,Results!$E:$E,"&lt;="&amp;$I$3,Results!$L:$L,"Negative", Results!$F:$F,"*tive", Results!$F:$F,"*tive", Results!$L:$L,"&lt;&gt;Not on Form", Results!$L:$L,"&lt;&gt;N/A")</f>
        <v>0</v>
      </c>
      <c r="H47" s="33"/>
      <c r="J47" s="15" t="str">
        <f t="shared" si="3"/>
        <v/>
      </c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t="14.25" customHeight="1">
      <c r="A48" s="44" t="s">
        <v>83</v>
      </c>
      <c r="B48" s="45"/>
      <c r="C48" s="23">
        <f>COUNTIFS(Results!$E:$E,"&gt;="&amp;$I$2,Results!$E:$E,"&lt;="&amp;$I$3,Results!$F:$F,"Positive",Results!$L:$L,"Not Done")</f>
        <v>0</v>
      </c>
      <c r="D48" s="24"/>
      <c r="E48" s="23">
        <f>COUNTIFS(Results!$E:$E,"&gt;="&amp;$I$2,Results!$E:$E,"&lt;="&amp;$I$3,Results!$F:$F,"Negative",Results!$L:$L,"Not Done")</f>
        <v>0</v>
      </c>
      <c r="F48" s="24"/>
      <c r="G48" s="28">
        <f>COUNTIFS(Results!$E:$E,"&gt;="&amp;$I$2,Results!$E:$E,"&lt;="&amp;$I$3,Results!$L:$L,"Not Done", Results!$F:$F,"*tive", Results!$F:$F,"*tive", Results!$L:$L,"&lt;&gt;Not on Form", Results!$L:$L,"&lt;&gt;N/A")</f>
        <v>0</v>
      </c>
      <c r="H48" s="33"/>
      <c r="J48" s="15" t="str">
        <f t="shared" si="3"/>
        <v/>
      </c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t="14.25" customHeight="1">
      <c r="A49" s="15"/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t="14.25" customHeight="1">
      <c r="A50" s="2"/>
      <c r="B50" s="2"/>
      <c r="C50" s="60" t="s">
        <v>78</v>
      </c>
      <c r="D50" s="24"/>
      <c r="E50" s="60" t="s">
        <v>79</v>
      </c>
      <c r="F50" s="24"/>
      <c r="G50" s="61" t="s">
        <v>49</v>
      </c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4.25" customHeight="1">
      <c r="A51" s="59" t="s">
        <v>84</v>
      </c>
      <c r="B51" s="55"/>
      <c r="C51" s="62">
        <f>COUNTIFS(Results!$E:$E,"&gt;="&amp;$I$2,Results!$E:$E,"&lt;="&amp;$I$3,Results!$F:$F,"Positive",Results!$P:$P,"CXR")</f>
        <v>0</v>
      </c>
      <c r="D51" s="24"/>
      <c r="E51" s="62">
        <f>COUNTIFS(Results!$E:$E,"&gt;="&amp;$I$2,Results!$E:$E,"&lt;="&amp;$I$3,Results!$F:$F,"Negative",Results!$P:$P,"CXR")</f>
        <v>0</v>
      </c>
      <c r="F51" s="24"/>
      <c r="G51" s="63">
        <f>COUNTIFS(Results!$E:$E,"&gt;="&amp;$I$2,Results!$E:$E,"&lt;="&amp;$I$3,Results!$F:$F,"Negative",Results!$P:$P,"CXR")</f>
        <v>0</v>
      </c>
      <c r="H51" s="58"/>
      <c r="I51" s="58"/>
      <c r="J51" s="58"/>
      <c r="K51" s="58"/>
      <c r="L51" s="58"/>
      <c r="M51" s="58"/>
      <c r="N51" s="58"/>
      <c r="O51" s="58"/>
      <c r="P51" s="58"/>
      <c r="Q51" s="58"/>
      <c r="R51" s="58"/>
      <c r="S51" s="58"/>
      <c r="T51" s="58"/>
      <c r="U51" s="58"/>
      <c r="V51" s="58"/>
      <c r="W51" s="58"/>
      <c r="X51" s="58"/>
      <c r="Y51" s="58"/>
      <c r="Z51" s="58"/>
    </row>
    <row r="52" ht="14.25" customHeight="1">
      <c r="A52" s="15"/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t="14.25" customHeight="1">
      <c r="A53" s="15" t="s">
        <v>85</v>
      </c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t="14.25" customHeight="1">
      <c r="A54" s="28"/>
      <c r="B54" s="28"/>
      <c r="C54" s="23" t="s">
        <v>86</v>
      </c>
      <c r="D54" s="24"/>
      <c r="E54" s="23" t="s">
        <v>87</v>
      </c>
      <c r="F54" s="24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t="14.25" customHeight="1">
      <c r="A55" s="44" t="s">
        <v>88</v>
      </c>
      <c r="B55" s="45"/>
      <c r="C55" s="23"/>
      <c r="D55" s="24"/>
      <c r="E55" s="23"/>
      <c r="F55" s="24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t="14.25" customHeight="1">
      <c r="A56" s="44" t="s">
        <v>89</v>
      </c>
      <c r="B56" s="45"/>
      <c r="C56" s="23"/>
      <c r="D56" s="24"/>
      <c r="E56" s="23"/>
      <c r="F56" s="24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t="14.25" customHeight="1">
      <c r="A57" s="44" t="s">
        <v>90</v>
      </c>
      <c r="B57" s="45"/>
      <c r="C57" s="23">
        <f>COUNTIFS(Results!$E:$E,"&gt;="&amp;$I$2,Results!$E:$E,"&lt;="&amp;$I$3)</f>
        <v>0</v>
      </c>
      <c r="D57" s="24"/>
      <c r="E57" s="23"/>
      <c r="F57" s="24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t="14.25" customHeight="1">
      <c r="A58" s="44" t="s">
        <v>91</v>
      </c>
      <c r="B58" s="45"/>
      <c r="C58" s="23">
        <f>C55+C56-C57</f>
        <v>0</v>
      </c>
      <c r="D58" s="24"/>
      <c r="E58" s="23"/>
      <c r="F58" s="24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t="14.25" customHeight="1">
      <c r="A59" s="50" t="s">
        <v>92</v>
      </c>
      <c r="B59" s="50"/>
      <c r="C59" s="50">
        <f>COUNTIFS(Results!$E:$E,"&gt;="&amp;$I$2,Results!$E:$E,"&lt;="&amp;$I$3,Results!$F:$F,"Error")+COUNTIFS(Results!$E:$E,"&gt;="&amp;$I$2,Results!$E:$E,"&lt;="&amp;$I$3,Results!$F:$F,"Invalid")</f>
        <v>0</v>
      </c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t="14.25" customHeight="1">
      <c r="A60" s="50" t="s">
        <v>93</v>
      </c>
      <c r="B60" s="15"/>
      <c r="C60" s="50">
        <f>COUNTIFS(Results!$E:$E,"&gt;="&amp;$I$2,Results!$E:$E,"&lt;="&amp;$I$3,Results!$F:$F,"No Result")</f>
        <v>0</v>
      </c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t="14.25" customHeight="1">
      <c r="A61" s="15"/>
      <c r="B61" s="15"/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t="14.25" customHeight="1">
      <c r="A62" s="15"/>
      <c r="B62" s="15"/>
      <c r="C62" s="15"/>
      <c r="D62" s="15"/>
      <c r="E62" s="15" t="s">
        <v>94</v>
      </c>
      <c r="F62" s="51"/>
      <c r="G62" s="51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t="14.25" customHeight="1">
      <c r="A63" s="15"/>
      <c r="B63" s="15"/>
      <c r="C63" s="15"/>
      <c r="D63" s="15"/>
      <c r="E63" s="15" t="s">
        <v>95</v>
      </c>
      <c r="F63" s="52"/>
      <c r="G63" s="52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t="14.25" customHeight="1">
      <c r="A64" s="15"/>
      <c r="B64" s="15"/>
      <c r="C64" s="15"/>
      <c r="D64" s="15"/>
      <c r="E64" s="15" t="s">
        <v>96</v>
      </c>
      <c r="F64" s="52"/>
      <c r="G64" s="52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t="14.25" customHeight="1">
      <c r="A65" s="15"/>
      <c r="B65" s="15"/>
      <c r="C65" s="15"/>
      <c r="D65" s="15"/>
      <c r="E65" s="15" t="s">
        <v>97</v>
      </c>
      <c r="F65" s="52"/>
      <c r="G65" s="52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t="14.25" customHeight="1">
      <c r="A66" s="15"/>
      <c r="B66" s="15"/>
      <c r="C66" s="15"/>
      <c r="D66" s="15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t="14.25" customHeight="1">
      <c r="A67" s="15"/>
      <c r="B67" s="15"/>
      <c r="C67" s="15"/>
      <c r="D67" s="15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t="14.25" customHeight="1">
      <c r="A68" s="15"/>
      <c r="B68" s="15"/>
      <c r="C68" s="15"/>
      <c r="D68" s="15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t="14.25" customHeight="1">
      <c r="A69" s="15"/>
      <c r="B69" s="15"/>
      <c r="C69" s="15"/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t="14.25" customHeight="1">
      <c r="A70" s="15"/>
      <c r="B70" s="15"/>
      <c r="C70" s="15"/>
      <c r="D70" s="15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t="14.25" customHeight="1">
      <c r="A71" s="15"/>
      <c r="B71" s="15"/>
      <c r="C71" s="15"/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t="14.25" customHeight="1">
      <c r="A72" s="15"/>
      <c r="B72" s="15"/>
      <c r="C72" s="15"/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t="14.25" customHeight="1">
      <c r="A73" s="15"/>
      <c r="B73" s="15"/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t="14.25" customHeight="1">
      <c r="A74" s="15"/>
      <c r="B74" s="15"/>
      <c r="C74" s="15"/>
      <c r="D74" s="15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t="14.25" customHeight="1">
      <c r="A75" s="15"/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t="14.25" customHeight="1">
      <c r="A76" s="15"/>
      <c r="B76" s="15"/>
      <c r="C76" s="15"/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t="14.25" customHeight="1">
      <c r="A77" s="15"/>
      <c r="B77" s="15"/>
      <c r="C77" s="15"/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t="14.25" customHeight="1">
      <c r="A78" s="15"/>
      <c r="B78" s="15"/>
      <c r="C78" s="15"/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t="14.25" customHeight="1">
      <c r="A79" s="15"/>
      <c r="B79" s="15"/>
      <c r="C79" s="15"/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t="14.25" customHeight="1">
      <c r="A80" s="15"/>
      <c r="B80" s="15"/>
      <c r="C80" s="15"/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t="14.25" customHeight="1">
      <c r="A81" s="15"/>
      <c r="B81" s="15"/>
      <c r="C81" s="15"/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t="14.25" customHeight="1">
      <c r="A82" s="15"/>
      <c r="B82" s="15"/>
      <c r="C82" s="15"/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t="14.25" customHeight="1">
      <c r="A83" s="15"/>
      <c r="B83" s="15"/>
      <c r="C83" s="15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t="14.25" customHeight="1">
      <c r="A84" s="15"/>
      <c r="B84" s="15"/>
      <c r="C84" s="15"/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t="14.25" customHeight="1">
      <c r="A85" s="15"/>
      <c r="B85" s="15"/>
      <c r="C85" s="15"/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t="14.25" customHeight="1">
      <c r="A86" s="15"/>
      <c r="B86" s="15"/>
      <c r="C86" s="15"/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t="14.25" customHeight="1">
      <c r="A87" s="15"/>
      <c r="B87" s="15"/>
      <c r="C87" s="15"/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t="14.25" customHeight="1">
      <c r="A88" s="15"/>
      <c r="B88" s="15"/>
      <c r="C88" s="15"/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t="14.25" customHeight="1">
      <c r="A89" s="15"/>
      <c r="B89" s="15"/>
      <c r="C89" s="15"/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t="14.25" customHeight="1">
      <c r="A90" s="15"/>
      <c r="B90" s="15"/>
      <c r="C90" s="15"/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t="14.25" customHeight="1">
      <c r="A91" s="15"/>
      <c r="B91" s="15"/>
      <c r="C91" s="15"/>
      <c r="D91" s="15"/>
      <c r="E91" s="15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t="14.25" customHeight="1">
      <c r="A92" s="15"/>
      <c r="B92" s="15"/>
      <c r="C92" s="15"/>
      <c r="D92" s="15"/>
      <c r="E92" s="15"/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t="14.25" customHeight="1">
      <c r="A93" s="15"/>
      <c r="B93" s="15"/>
      <c r="C93" s="15"/>
      <c r="D93" s="15"/>
      <c r="E93" s="15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t="14.25" customHeight="1">
      <c r="A94" s="15"/>
      <c r="B94" s="15"/>
      <c r="C94" s="15"/>
      <c r="D94" s="15"/>
      <c r="E94" s="15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t="14.25" customHeight="1">
      <c r="A95" s="15"/>
      <c r="B95" s="15"/>
      <c r="C95" s="15"/>
      <c r="D95" s="15"/>
      <c r="E95" s="15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t="14.25" customHeight="1">
      <c r="A96" s="15"/>
      <c r="B96" s="15"/>
      <c r="C96" s="15"/>
      <c r="D96" s="15"/>
      <c r="E96" s="15"/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t="14.25" customHeight="1">
      <c r="A97" s="15"/>
      <c r="B97" s="15"/>
      <c r="C97" s="15"/>
      <c r="D97" s="15"/>
      <c r="E97" s="15"/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t="14.25" customHeight="1">
      <c r="A98" s="15"/>
      <c r="B98" s="15"/>
      <c r="C98" s="15"/>
      <c r="D98" s="15"/>
      <c r="E98" s="15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t="14.25" customHeight="1">
      <c r="A99" s="15"/>
      <c r="B99" s="15"/>
      <c r="C99" s="15"/>
      <c r="D99" s="15"/>
      <c r="E99" s="15"/>
      <c r="F99" s="15"/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t="14.25" customHeight="1">
      <c r="A100" s="15"/>
      <c r="B100" s="15"/>
      <c r="C100" s="15"/>
      <c r="D100" s="15"/>
      <c r="E100" s="15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t="14.25" customHeight="1">
      <c r="A101" s="15"/>
      <c r="B101" s="15"/>
      <c r="C101" s="15"/>
      <c r="D101" s="15"/>
      <c r="E101" s="15"/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t="14.25" customHeight="1">
      <c r="A102" s="15"/>
      <c r="B102" s="15"/>
      <c r="C102" s="15"/>
      <c r="D102" s="15"/>
      <c r="E102" s="15"/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t="14.25" customHeight="1">
      <c r="A103" s="15"/>
      <c r="B103" s="15"/>
      <c r="C103" s="15"/>
      <c r="D103" s="15"/>
      <c r="E103" s="15"/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t="14.25" customHeight="1">
      <c r="A104" s="15"/>
      <c r="B104" s="15"/>
      <c r="C104" s="15"/>
      <c r="D104" s="15"/>
      <c r="E104" s="15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t="14.25" customHeight="1">
      <c r="A105" s="15"/>
      <c r="B105" s="15"/>
      <c r="C105" s="15"/>
      <c r="D105" s="15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t="14.25" customHeight="1">
      <c r="A106" s="15"/>
      <c r="B106" s="15"/>
      <c r="C106" s="15"/>
      <c r="D106" s="15"/>
      <c r="E106" s="15"/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t="14.25" customHeight="1">
      <c r="A107" s="15"/>
      <c r="B107" s="15"/>
      <c r="C107" s="15"/>
      <c r="D107" s="15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t="14.25" customHeight="1">
      <c r="A108" s="15"/>
      <c r="B108" s="15"/>
      <c r="C108" s="15"/>
      <c r="D108" s="15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t="14.25" customHeight="1">
      <c r="A109" s="15"/>
      <c r="B109" s="15"/>
      <c r="C109" s="15"/>
      <c r="D109" s="15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t="14.25" customHeight="1">
      <c r="A110" s="15"/>
      <c r="B110" s="15"/>
      <c r="C110" s="15"/>
      <c r="D110" s="15"/>
      <c r="E110" s="15"/>
      <c r="F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t="14.25" customHeight="1">
      <c r="A111" s="15"/>
      <c r="B111" s="15"/>
      <c r="C111" s="15"/>
      <c r="D111" s="15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t="14.25" customHeight="1">
      <c r="A112" s="15"/>
      <c r="B112" s="15"/>
      <c r="C112" s="15"/>
      <c r="D112" s="15"/>
      <c r="E112" s="15"/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t="14.25" customHeight="1">
      <c r="A113" s="15"/>
      <c r="B113" s="15"/>
      <c r="C113" s="15"/>
      <c r="D113" s="15"/>
      <c r="E113" s="15"/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t="14.25" customHeight="1">
      <c r="A114" s="15"/>
      <c r="B114" s="15"/>
      <c r="C114" s="15"/>
      <c r="D114" s="15"/>
      <c r="E114" s="15"/>
      <c r="F114" s="15"/>
      <c r="G114" s="15"/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t="14.25" customHeight="1">
      <c r="A115" s="15"/>
      <c r="B115" s="15"/>
      <c r="C115" s="15"/>
      <c r="D115" s="15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t="14.25" customHeight="1">
      <c r="A116" s="15"/>
      <c r="B116" s="15"/>
      <c r="C116" s="15"/>
      <c r="D116" s="15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t="14.25" customHeight="1">
      <c r="A117" s="15"/>
      <c r="B117" s="15"/>
      <c r="C117" s="15"/>
      <c r="D117" s="15"/>
      <c r="E117" s="15"/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t="14.25" customHeight="1">
      <c r="A118" s="15"/>
      <c r="B118" s="15"/>
      <c r="C118" s="15"/>
      <c r="D118" s="15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t="14.25" customHeight="1">
      <c r="A119" s="15"/>
      <c r="B119" s="15"/>
      <c r="C119" s="15"/>
      <c r="D119" s="15"/>
      <c r="E119" s="15"/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t="14.25" customHeight="1">
      <c r="A120" s="15"/>
      <c r="B120" s="15"/>
      <c r="C120" s="15"/>
      <c r="D120" s="15"/>
      <c r="E120" s="15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t="14.25" customHeight="1">
      <c r="A121" s="15"/>
      <c r="B121" s="15"/>
      <c r="C121" s="15"/>
      <c r="D121" s="15"/>
      <c r="E121" s="15"/>
      <c r="F121" s="15"/>
      <c r="G121" s="15"/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t="14.25" customHeight="1">
      <c r="A122" s="15"/>
      <c r="B122" s="15"/>
      <c r="C122" s="15"/>
      <c r="D122" s="15"/>
      <c r="E122" s="15"/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t="14.25" customHeight="1">
      <c r="A123" s="15"/>
      <c r="B123" s="15"/>
      <c r="C123" s="15"/>
      <c r="D123" s="15"/>
      <c r="E123" s="15"/>
      <c r="F123" s="15"/>
      <c r="G123" s="15"/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t="14.25" customHeight="1">
      <c r="A124" s="15"/>
      <c r="B124" s="15"/>
      <c r="C124" s="15"/>
      <c r="D124" s="15"/>
      <c r="E124" s="15"/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t="14.25" customHeight="1">
      <c r="A125" s="15"/>
      <c r="B125" s="15"/>
      <c r="C125" s="15"/>
      <c r="D125" s="15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t="14.25" customHeight="1">
      <c r="A126" s="15"/>
      <c r="B126" s="15"/>
      <c r="C126" s="15"/>
      <c r="D126" s="15"/>
      <c r="E126" s="15"/>
      <c r="F126" s="15"/>
      <c r="G126" s="15"/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t="14.25" customHeight="1">
      <c r="A127" s="15"/>
      <c r="B127" s="15"/>
      <c r="C127" s="15"/>
      <c r="D127" s="15"/>
      <c r="E127" s="15"/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t="14.25" customHeight="1">
      <c r="A128" s="15"/>
      <c r="B128" s="15"/>
      <c r="C128" s="15"/>
      <c r="D128" s="15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t="14.25" customHeight="1">
      <c r="A129" s="15"/>
      <c r="B129" s="15"/>
      <c r="C129" s="15"/>
      <c r="D129" s="15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t="14.25" customHeight="1">
      <c r="A130" s="15"/>
      <c r="B130" s="15"/>
      <c r="C130" s="15"/>
      <c r="D130" s="15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t="14.25" customHeight="1">
      <c r="A131" s="15"/>
      <c r="B131" s="15"/>
      <c r="C131" s="15"/>
      <c r="D131" s="15"/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t="14.25" customHeight="1">
      <c r="A132" s="15"/>
      <c r="B132" s="15"/>
      <c r="C132" s="15"/>
      <c r="D132" s="15"/>
      <c r="E132" s="15"/>
      <c r="F132" s="15"/>
      <c r="G132" s="15"/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t="14.25" customHeight="1">
      <c r="A133" s="15"/>
      <c r="B133" s="15"/>
      <c r="C133" s="15"/>
      <c r="D133" s="15"/>
      <c r="E133" s="15"/>
      <c r="F133" s="15"/>
      <c r="G133" s="15"/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t="14.25" customHeight="1">
      <c r="A134" s="15"/>
      <c r="B134" s="15"/>
      <c r="C134" s="15"/>
      <c r="D134" s="15"/>
      <c r="E134" s="15"/>
      <c r="F134" s="15"/>
      <c r="G134" s="15"/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t="14.25" customHeight="1">
      <c r="A135" s="15"/>
      <c r="B135" s="15"/>
      <c r="C135" s="15"/>
      <c r="D135" s="15"/>
      <c r="E135" s="15"/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t="14.25" customHeight="1">
      <c r="A136" s="15"/>
      <c r="B136" s="15"/>
      <c r="C136" s="15"/>
      <c r="D136" s="15"/>
      <c r="E136" s="15"/>
      <c r="F136" s="15"/>
      <c r="G136" s="15"/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t="14.25" customHeight="1">
      <c r="A137" s="15"/>
      <c r="B137" s="15"/>
      <c r="C137" s="15"/>
      <c r="D137" s="15"/>
      <c r="E137" s="15"/>
      <c r="F137" s="15"/>
      <c r="G137" s="15"/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t="14.25" customHeight="1">
      <c r="A138" s="15"/>
      <c r="B138" s="15"/>
      <c r="C138" s="15"/>
      <c r="D138" s="15"/>
      <c r="E138" s="15"/>
      <c r="F138" s="15"/>
      <c r="G138" s="15"/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t="14.25" customHeight="1">
      <c r="A139" s="15"/>
      <c r="B139" s="15"/>
      <c r="C139" s="15"/>
      <c r="D139" s="15"/>
      <c r="E139" s="15"/>
      <c r="F139" s="15"/>
      <c r="G139" s="15"/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t="14.25" customHeight="1">
      <c r="A140" s="15"/>
      <c r="B140" s="15"/>
      <c r="C140" s="15"/>
      <c r="D140" s="15"/>
      <c r="E140" s="15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t="14.25" customHeight="1">
      <c r="A141" s="15"/>
      <c r="B141" s="15"/>
      <c r="C141" s="15"/>
      <c r="D141" s="15"/>
      <c r="E141" s="15"/>
      <c r="F141" s="15"/>
      <c r="G141" s="15"/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t="14.25" customHeight="1">
      <c r="A142" s="15"/>
      <c r="B142" s="15"/>
      <c r="C142" s="15"/>
      <c r="D142" s="15"/>
      <c r="E142" s="15"/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t="14.25" customHeight="1">
      <c r="A143" s="15"/>
      <c r="B143" s="15"/>
      <c r="C143" s="15"/>
      <c r="D143" s="15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t="14.25" customHeight="1">
      <c r="A144" s="15"/>
      <c r="B144" s="15"/>
      <c r="C144" s="15"/>
      <c r="D144" s="15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t="14.25" customHeight="1">
      <c r="A145" s="15"/>
      <c r="B145" s="15"/>
      <c r="C145" s="15"/>
      <c r="D145" s="15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t="14.25" customHeight="1">
      <c r="A146" s="15"/>
      <c r="B146" s="15"/>
      <c r="C146" s="15"/>
      <c r="D146" s="15"/>
      <c r="E146" s="15"/>
      <c r="F146" s="15"/>
      <c r="G146" s="15"/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t="14.25" customHeight="1">
      <c r="A147" s="15"/>
      <c r="B147" s="15"/>
      <c r="C147" s="15"/>
      <c r="D147" s="15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t="14.25" customHeight="1">
      <c r="A148" s="15"/>
      <c r="B148" s="15"/>
      <c r="C148" s="15"/>
      <c r="D148" s="15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t="14.25" customHeight="1">
      <c r="A149" s="15"/>
      <c r="B149" s="15"/>
      <c r="C149" s="15"/>
      <c r="D149" s="15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t="14.25" customHeight="1">
      <c r="A150" s="15"/>
      <c r="B150" s="15"/>
      <c r="C150" s="15"/>
      <c r="D150" s="15"/>
      <c r="E150" s="15"/>
      <c r="F150" s="15"/>
      <c r="G150" s="15"/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t="14.25" customHeight="1">
      <c r="A151" s="15"/>
      <c r="B151" s="15"/>
      <c r="C151" s="15"/>
      <c r="D151" s="15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t="14.25" customHeight="1">
      <c r="A152" s="15"/>
      <c r="B152" s="15"/>
      <c r="C152" s="15"/>
      <c r="D152" s="15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t="14.25" customHeight="1">
      <c r="A153" s="15"/>
      <c r="B153" s="15"/>
      <c r="C153" s="15"/>
      <c r="D153" s="15"/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t="14.25" customHeight="1">
      <c r="A154" s="15"/>
      <c r="B154" s="15"/>
      <c r="C154" s="15"/>
      <c r="D154" s="15"/>
      <c r="E154" s="15"/>
      <c r="F154" s="15"/>
      <c r="G154" s="15"/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t="14.25" customHeight="1">
      <c r="A155" s="15"/>
      <c r="B155" s="15"/>
      <c r="C155" s="15"/>
      <c r="D155" s="15"/>
      <c r="E155" s="15"/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t="14.25" customHeight="1">
      <c r="A156" s="15"/>
      <c r="B156" s="15"/>
      <c r="C156" s="15"/>
      <c r="D156" s="15"/>
      <c r="E156" s="15"/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t="14.25" customHeight="1">
      <c r="A157" s="15"/>
      <c r="B157" s="15"/>
      <c r="C157" s="15"/>
      <c r="D157" s="15"/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t="14.25" customHeight="1">
      <c r="A158" s="15"/>
      <c r="B158" s="15"/>
      <c r="C158" s="15"/>
      <c r="D158" s="15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t="14.25" customHeight="1">
      <c r="A159" s="15"/>
      <c r="B159" s="15"/>
      <c r="C159" s="15"/>
      <c r="D159" s="15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t="14.25" customHeight="1">
      <c r="A160" s="15"/>
      <c r="B160" s="15"/>
      <c r="C160" s="15"/>
      <c r="D160" s="15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t="14.25" customHeight="1">
      <c r="A161" s="15"/>
      <c r="B161" s="15"/>
      <c r="C161" s="15"/>
      <c r="D161" s="15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t="14.25" customHeight="1">
      <c r="A162" s="15"/>
      <c r="B162" s="15"/>
      <c r="C162" s="15"/>
      <c r="D162" s="15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t="14.25" customHeight="1">
      <c r="A163" s="15"/>
      <c r="B163" s="15"/>
      <c r="C163" s="15"/>
      <c r="D163" s="15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t="14.25" customHeight="1">
      <c r="A164" s="15"/>
      <c r="B164" s="15"/>
      <c r="C164" s="15"/>
      <c r="D164" s="15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t="14.25" customHeight="1">
      <c r="A165" s="15"/>
      <c r="B165" s="15"/>
      <c r="C165" s="15"/>
      <c r="D165" s="15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t="14.25" customHeight="1">
      <c r="A166" s="15"/>
      <c r="B166" s="15"/>
      <c r="C166" s="15"/>
      <c r="D166" s="15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t="14.25" customHeight="1">
      <c r="A167" s="15"/>
      <c r="B167" s="15"/>
      <c r="C167" s="15"/>
      <c r="D167" s="15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t="14.25" customHeight="1">
      <c r="A168" s="15"/>
      <c r="B168" s="15"/>
      <c r="C168" s="15"/>
      <c r="D168" s="15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t="14.25" customHeight="1">
      <c r="A169" s="15"/>
      <c r="B169" s="15"/>
      <c r="C169" s="15"/>
      <c r="D169" s="15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t="14.25" customHeight="1">
      <c r="A170" s="15"/>
      <c r="B170" s="15"/>
      <c r="C170" s="15"/>
      <c r="D170" s="15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t="14.25" customHeight="1">
      <c r="A171" s="15"/>
      <c r="B171" s="15"/>
      <c r="C171" s="15"/>
      <c r="D171" s="15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t="14.25" customHeight="1">
      <c r="A172" s="15"/>
      <c r="B172" s="15"/>
      <c r="C172" s="15"/>
      <c r="D172" s="15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t="14.25" customHeight="1">
      <c r="A173" s="15"/>
      <c r="B173" s="15"/>
      <c r="C173" s="15"/>
      <c r="D173" s="15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t="14.25" customHeight="1">
      <c r="A174" s="15"/>
      <c r="B174" s="15"/>
      <c r="C174" s="15"/>
      <c r="D174" s="15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t="14.25" customHeight="1">
      <c r="A175" s="15"/>
      <c r="B175" s="15"/>
      <c r="C175" s="15"/>
      <c r="D175" s="15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t="14.25" customHeight="1">
      <c r="A176" s="15"/>
      <c r="B176" s="15"/>
      <c r="C176" s="15"/>
      <c r="D176" s="15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t="14.25" customHeight="1">
      <c r="A177" s="15"/>
      <c r="B177" s="15"/>
      <c r="C177" s="15"/>
      <c r="D177" s="15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t="14.25" customHeight="1">
      <c r="A178" s="15"/>
      <c r="B178" s="15"/>
      <c r="C178" s="15"/>
      <c r="D178" s="15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t="14.25" customHeight="1">
      <c r="A179" s="15"/>
      <c r="B179" s="15"/>
      <c r="C179" s="15"/>
      <c r="D179" s="15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t="14.25" customHeight="1">
      <c r="A180" s="15"/>
      <c r="B180" s="15"/>
      <c r="C180" s="15"/>
      <c r="D180" s="15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t="14.25" customHeight="1">
      <c r="A181" s="15"/>
      <c r="B181" s="15"/>
      <c r="C181" s="15"/>
      <c r="D181" s="15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t="14.25" customHeight="1">
      <c r="A182" s="15"/>
      <c r="B182" s="15"/>
      <c r="C182" s="15"/>
      <c r="D182" s="15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t="14.25" customHeight="1">
      <c r="A183" s="15"/>
      <c r="B183" s="15"/>
      <c r="C183" s="15"/>
      <c r="D183" s="15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t="14.25" customHeight="1">
      <c r="A184" s="15"/>
      <c r="B184" s="15"/>
      <c r="C184" s="15"/>
      <c r="D184" s="15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t="14.25" customHeight="1">
      <c r="A185" s="15"/>
      <c r="B185" s="15"/>
      <c r="C185" s="15"/>
      <c r="D185" s="15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t="14.25" customHeight="1">
      <c r="A186" s="15"/>
      <c r="B186" s="15"/>
      <c r="C186" s="15"/>
      <c r="D186" s="15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t="14.25" customHeight="1">
      <c r="A187" s="15"/>
      <c r="B187" s="15"/>
      <c r="C187" s="15"/>
      <c r="D187" s="15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t="14.25" customHeight="1">
      <c r="A188" s="15"/>
      <c r="B188" s="15"/>
      <c r="C188" s="15"/>
      <c r="D188" s="15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t="14.25" customHeight="1">
      <c r="A189" s="15"/>
      <c r="B189" s="15"/>
      <c r="C189" s="15"/>
      <c r="D189" s="15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t="14.25" customHeight="1">
      <c r="A190" s="15"/>
      <c r="B190" s="15"/>
      <c r="C190" s="15"/>
      <c r="D190" s="15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t="14.25" customHeight="1">
      <c r="A191" s="15"/>
      <c r="B191" s="15"/>
      <c r="C191" s="15"/>
      <c r="D191" s="15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t="14.25" customHeight="1">
      <c r="A192" s="15"/>
      <c r="B192" s="15"/>
      <c r="C192" s="15"/>
      <c r="D192" s="15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t="14.25" customHeight="1">
      <c r="A193" s="15"/>
      <c r="B193" s="15"/>
      <c r="C193" s="15"/>
      <c r="D193" s="15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t="14.25" customHeight="1">
      <c r="A194" s="15"/>
      <c r="B194" s="15"/>
      <c r="C194" s="15"/>
      <c r="D194" s="15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t="14.25" customHeight="1">
      <c r="A195" s="15"/>
      <c r="B195" s="15"/>
      <c r="C195" s="15"/>
      <c r="D195" s="15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t="14.25" customHeight="1">
      <c r="A196" s="15"/>
      <c r="B196" s="15"/>
      <c r="C196" s="15"/>
      <c r="D196" s="15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t="14.25" customHeight="1">
      <c r="A197" s="15"/>
      <c r="B197" s="15"/>
      <c r="C197" s="15"/>
      <c r="D197" s="15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t="14.25" customHeight="1">
      <c r="A198" s="15"/>
      <c r="B198" s="15"/>
      <c r="C198" s="15"/>
      <c r="D198" s="15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t="14.25" customHeight="1">
      <c r="A199" s="15"/>
      <c r="B199" s="15"/>
      <c r="C199" s="15"/>
      <c r="D199" s="15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t="14.25" customHeight="1">
      <c r="A200" s="15"/>
      <c r="B200" s="15"/>
      <c r="C200" s="15"/>
      <c r="D200" s="15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t="14.25" customHeight="1">
      <c r="A201" s="15"/>
      <c r="B201" s="15"/>
      <c r="C201" s="15"/>
      <c r="D201" s="15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t="14.25" customHeight="1">
      <c r="A202" s="15"/>
      <c r="B202" s="15"/>
      <c r="C202" s="15"/>
      <c r="D202" s="15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t="14.25" customHeight="1">
      <c r="A203" s="15"/>
      <c r="B203" s="15"/>
      <c r="C203" s="15"/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t="14.25" customHeight="1">
      <c r="A204" s="15"/>
      <c r="B204" s="15"/>
      <c r="C204" s="15"/>
      <c r="D204" s="15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t="14.25" customHeight="1">
      <c r="A205" s="15"/>
      <c r="B205" s="15"/>
      <c r="C205" s="15"/>
      <c r="D205" s="15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t="14.25" customHeight="1">
      <c r="A206" s="15"/>
      <c r="B206" s="15"/>
      <c r="C206" s="15"/>
      <c r="D206" s="15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t="14.25" customHeight="1">
      <c r="A207" s="15"/>
      <c r="B207" s="15"/>
      <c r="C207" s="15"/>
      <c r="D207" s="15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t="14.25" customHeight="1">
      <c r="A208" s="15"/>
      <c r="B208" s="15"/>
      <c r="C208" s="15"/>
      <c r="D208" s="15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t="14.25" customHeight="1">
      <c r="A209" s="15"/>
      <c r="B209" s="15"/>
      <c r="C209" s="15"/>
      <c r="D209" s="15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t="14.25" customHeight="1">
      <c r="A210" s="15"/>
      <c r="B210" s="15"/>
      <c r="C210" s="15"/>
      <c r="D210" s="15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t="14.25" customHeight="1">
      <c r="A211" s="15"/>
      <c r="B211" s="15"/>
      <c r="C211" s="15"/>
      <c r="D211" s="15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t="14.25" customHeight="1">
      <c r="A212" s="15"/>
      <c r="B212" s="15"/>
      <c r="C212" s="15"/>
      <c r="D212" s="15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t="14.25" customHeight="1">
      <c r="A213" s="15"/>
      <c r="B213" s="15"/>
      <c r="C213" s="15"/>
      <c r="D213" s="15"/>
      <c r="E213" s="15"/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t="14.25" customHeight="1">
      <c r="A214" s="15"/>
      <c r="B214" s="15"/>
      <c r="C214" s="15"/>
      <c r="D214" s="15"/>
      <c r="E214" s="15"/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t="14.25" customHeight="1">
      <c r="A215" s="15"/>
      <c r="B215" s="15"/>
      <c r="C215" s="15"/>
      <c r="D215" s="15"/>
      <c r="E215" s="15"/>
      <c r="F215" s="15"/>
      <c r="G215" s="15"/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t="14.25" customHeight="1">
      <c r="A216" s="15"/>
      <c r="B216" s="15"/>
      <c r="C216" s="15"/>
      <c r="D216" s="15"/>
      <c r="E216" s="15"/>
      <c r="F216" s="15"/>
      <c r="G216" s="15"/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t="14.25" customHeight="1">
      <c r="A217" s="15"/>
      <c r="B217" s="15"/>
      <c r="C217" s="15"/>
      <c r="D217" s="15"/>
      <c r="E217" s="15"/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t="14.25" customHeight="1">
      <c r="A218" s="15"/>
      <c r="B218" s="15"/>
      <c r="C218" s="15"/>
      <c r="D218" s="15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t="14.25" customHeight="1">
      <c r="A219" s="15"/>
      <c r="B219" s="15"/>
      <c r="C219" s="15"/>
      <c r="D219" s="15"/>
      <c r="E219" s="15"/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t="14.25" customHeight="1">
      <c r="A220" s="15"/>
      <c r="B220" s="15"/>
      <c r="C220" s="15"/>
      <c r="D220" s="15"/>
      <c r="E220" s="15"/>
      <c r="F220" s="15"/>
      <c r="G220" s="15"/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t="14.25" customHeight="1">
      <c r="A221" s="15"/>
      <c r="B221" s="15"/>
      <c r="C221" s="15"/>
      <c r="D221" s="15"/>
      <c r="E221" s="15"/>
      <c r="F221" s="15"/>
      <c r="G221" s="15"/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t="14.25" customHeight="1">
      <c r="A222" s="15"/>
      <c r="B222" s="15"/>
      <c r="C222" s="15"/>
      <c r="D222" s="15"/>
      <c r="E222" s="15"/>
      <c r="F222" s="15"/>
      <c r="G222" s="15"/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t="14.25" customHeight="1">
      <c r="A223" s="15"/>
      <c r="B223" s="15"/>
      <c r="C223" s="15"/>
      <c r="D223" s="15"/>
      <c r="E223" s="15"/>
      <c r="F223" s="15"/>
      <c r="G223" s="15"/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t="14.25" customHeight="1">
      <c r="A224" s="15"/>
      <c r="B224" s="15"/>
      <c r="C224" s="15"/>
      <c r="D224" s="15"/>
      <c r="E224" s="15"/>
      <c r="F224" s="15"/>
      <c r="G224" s="15"/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t="14.25" customHeight="1">
      <c r="A225" s="15"/>
      <c r="B225" s="15"/>
      <c r="C225" s="15"/>
      <c r="D225" s="15"/>
      <c r="E225" s="15"/>
      <c r="F225" s="15"/>
      <c r="G225" s="15"/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t="14.25" customHeight="1">
      <c r="A226" s="15"/>
      <c r="B226" s="15"/>
      <c r="C226" s="15"/>
      <c r="D226" s="15"/>
      <c r="E226" s="15"/>
      <c r="F226" s="15"/>
      <c r="G226" s="15"/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t="14.25" customHeight="1">
      <c r="A227" s="15"/>
      <c r="B227" s="15"/>
      <c r="C227" s="15"/>
      <c r="D227" s="15"/>
      <c r="E227" s="15"/>
      <c r="F227" s="15"/>
      <c r="G227" s="15"/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t="14.25" customHeight="1">
      <c r="A228" s="15"/>
      <c r="B228" s="15"/>
      <c r="C228" s="15"/>
      <c r="D228" s="15"/>
      <c r="E228" s="15"/>
      <c r="F228" s="15"/>
      <c r="G228" s="15"/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t="14.25" customHeight="1">
      <c r="A229" s="15"/>
      <c r="B229" s="15"/>
      <c r="C229" s="15"/>
      <c r="D229" s="15"/>
      <c r="E229" s="15"/>
      <c r="F229" s="15"/>
      <c r="G229" s="15"/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t="14.25" customHeight="1">
      <c r="A230" s="15"/>
      <c r="B230" s="15"/>
      <c r="C230" s="15"/>
      <c r="D230" s="15"/>
      <c r="E230" s="15"/>
      <c r="F230" s="15"/>
      <c r="G230" s="15"/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t="14.25" customHeight="1">
      <c r="A231" s="15"/>
      <c r="B231" s="15"/>
      <c r="C231" s="15"/>
      <c r="D231" s="15"/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t="14.25" customHeight="1">
      <c r="A232" s="15"/>
      <c r="B232" s="15"/>
      <c r="C232" s="15"/>
      <c r="D232" s="15"/>
      <c r="E232" s="15"/>
      <c r="F232" s="15"/>
      <c r="G232" s="15"/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t="14.25" customHeight="1">
      <c r="A233" s="15"/>
      <c r="B233" s="15"/>
      <c r="C233" s="15"/>
      <c r="D233" s="15"/>
      <c r="E233" s="15"/>
      <c r="F233" s="15"/>
      <c r="G233" s="15"/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t="14.25" customHeight="1">
      <c r="A234" s="15"/>
      <c r="B234" s="15"/>
      <c r="C234" s="15"/>
      <c r="D234" s="15"/>
      <c r="E234" s="15"/>
      <c r="F234" s="15"/>
      <c r="G234" s="15"/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t="14.25" customHeight="1">
      <c r="A235" s="15"/>
      <c r="B235" s="15"/>
      <c r="C235" s="15"/>
      <c r="D235" s="15"/>
      <c r="E235" s="15"/>
      <c r="F235" s="15"/>
      <c r="G235" s="15"/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t="14.25" customHeight="1">
      <c r="A236" s="15"/>
      <c r="B236" s="15"/>
      <c r="C236" s="15"/>
      <c r="D236" s="15"/>
      <c r="E236" s="15"/>
      <c r="F236" s="15"/>
      <c r="G236" s="15"/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t="14.25" customHeight="1">
      <c r="A237" s="15"/>
      <c r="B237" s="15"/>
      <c r="C237" s="15"/>
      <c r="D237" s="15"/>
      <c r="E237" s="15"/>
      <c r="F237" s="15"/>
      <c r="G237" s="15"/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t="14.25" customHeight="1">
      <c r="A238" s="15"/>
      <c r="B238" s="15"/>
      <c r="C238" s="15"/>
      <c r="D238" s="15"/>
      <c r="E238" s="15"/>
      <c r="F238" s="15"/>
      <c r="G238" s="15"/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t="14.25" customHeight="1">
      <c r="A239" s="15"/>
      <c r="B239" s="15"/>
      <c r="C239" s="15"/>
      <c r="D239" s="15"/>
      <c r="E239" s="15"/>
      <c r="F239" s="15"/>
      <c r="G239" s="15"/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t="14.25" customHeight="1">
      <c r="A240" s="15"/>
      <c r="B240" s="15"/>
      <c r="C240" s="15"/>
      <c r="D240" s="15"/>
      <c r="E240" s="15"/>
      <c r="F240" s="15"/>
      <c r="G240" s="15"/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t="14.25" customHeight="1">
      <c r="A241" s="15"/>
      <c r="B241" s="15"/>
      <c r="C241" s="15"/>
      <c r="D241" s="15"/>
      <c r="E241" s="15"/>
      <c r="F241" s="15"/>
      <c r="G241" s="15"/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t="14.25" customHeight="1">
      <c r="A242" s="15"/>
      <c r="B242" s="15"/>
      <c r="C242" s="15"/>
      <c r="D242" s="15"/>
      <c r="E242" s="15"/>
      <c r="F242" s="15"/>
      <c r="G242" s="15"/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t="14.25" customHeight="1">
      <c r="A243" s="15"/>
      <c r="B243" s="15"/>
      <c r="C243" s="15"/>
      <c r="D243" s="15"/>
      <c r="E243" s="15"/>
      <c r="F243" s="15"/>
      <c r="G243" s="15"/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t="14.25" customHeight="1">
      <c r="A244" s="15"/>
      <c r="B244" s="15"/>
      <c r="C244" s="15"/>
      <c r="D244" s="15"/>
      <c r="E244" s="15"/>
      <c r="F244" s="15"/>
      <c r="G244" s="15"/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t="14.25" customHeight="1">
      <c r="A245" s="15"/>
      <c r="B245" s="15"/>
      <c r="C245" s="15"/>
      <c r="D245" s="15"/>
      <c r="E245" s="15"/>
      <c r="F245" s="15"/>
      <c r="G245" s="15"/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t="14.25" customHeight="1">
      <c r="A246" s="15"/>
      <c r="B246" s="15"/>
      <c r="C246" s="15"/>
      <c r="D246" s="15"/>
      <c r="E246" s="15"/>
      <c r="F246" s="15"/>
      <c r="G246" s="15"/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t="14.25" customHeight="1">
      <c r="A247" s="15"/>
      <c r="B247" s="15"/>
      <c r="C247" s="15"/>
      <c r="D247" s="15"/>
      <c r="E247" s="15"/>
      <c r="F247" s="15"/>
      <c r="G247" s="15"/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t="14.25" customHeight="1">
      <c r="A248" s="15"/>
      <c r="B248" s="15"/>
      <c r="C248" s="15"/>
      <c r="D248" s="15"/>
      <c r="E248" s="15"/>
      <c r="F248" s="15"/>
      <c r="G248" s="15"/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t="14.25" customHeight="1">
      <c r="A249" s="15"/>
      <c r="B249" s="15"/>
      <c r="C249" s="15"/>
      <c r="D249" s="15"/>
      <c r="E249" s="15"/>
      <c r="F249" s="15"/>
      <c r="G249" s="15"/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t="14.25" customHeight="1">
      <c r="A250" s="15"/>
      <c r="B250" s="15"/>
      <c r="C250" s="15"/>
      <c r="D250" s="15"/>
      <c r="E250" s="15"/>
      <c r="F250" s="15"/>
      <c r="G250" s="15"/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t="14.25" customHeight="1">
      <c r="A251" s="15"/>
      <c r="B251" s="15"/>
      <c r="C251" s="15"/>
      <c r="D251" s="15"/>
      <c r="E251" s="15"/>
      <c r="F251" s="15"/>
      <c r="G251" s="15"/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t="14.25" customHeight="1">
      <c r="A252" s="15"/>
      <c r="B252" s="15"/>
      <c r="C252" s="15"/>
      <c r="D252" s="15"/>
      <c r="E252" s="15"/>
      <c r="F252" s="15"/>
      <c r="G252" s="15"/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t="14.25" customHeight="1">
      <c r="A253" s="15"/>
      <c r="B253" s="15"/>
      <c r="C253" s="15"/>
      <c r="D253" s="15"/>
      <c r="E253" s="15"/>
      <c r="F253" s="15"/>
      <c r="G253" s="15"/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t="14.25" customHeight="1">
      <c r="A254" s="15"/>
      <c r="B254" s="15"/>
      <c r="C254" s="15"/>
      <c r="D254" s="15"/>
      <c r="E254" s="15"/>
      <c r="F254" s="15"/>
      <c r="G254" s="15"/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t="14.25" customHeight="1">
      <c r="A255" s="15"/>
      <c r="B255" s="15"/>
      <c r="C255" s="15"/>
      <c r="D255" s="15"/>
      <c r="E255" s="15"/>
      <c r="F255" s="15"/>
      <c r="G255" s="15"/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t="14.25" customHeight="1">
      <c r="A256" s="15"/>
      <c r="B256" s="15"/>
      <c r="C256" s="15"/>
      <c r="D256" s="15"/>
      <c r="E256" s="15"/>
      <c r="F256" s="15"/>
      <c r="G256" s="15"/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t="14.25" customHeight="1">
      <c r="A257" s="15"/>
      <c r="B257" s="15"/>
      <c r="C257" s="15"/>
      <c r="D257" s="15"/>
      <c r="E257" s="15"/>
      <c r="F257" s="15"/>
      <c r="G257" s="15"/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t="14.25" customHeight="1">
      <c r="A258" s="15"/>
      <c r="B258" s="15"/>
      <c r="C258" s="15"/>
      <c r="D258" s="15"/>
      <c r="E258" s="15"/>
      <c r="F258" s="15"/>
      <c r="G258" s="15"/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t="14.25" customHeight="1">
      <c r="A259" s="15"/>
      <c r="B259" s="15"/>
      <c r="C259" s="15"/>
      <c r="D259" s="15"/>
      <c r="E259" s="15"/>
      <c r="F259" s="15"/>
      <c r="G259" s="15"/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t="14.25" customHeight="1">
      <c r="A260" s="15"/>
      <c r="B260" s="15"/>
      <c r="C260" s="15"/>
      <c r="D260" s="15"/>
      <c r="E260" s="15"/>
      <c r="F260" s="15"/>
      <c r="G260" s="15"/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t="14.25" customHeight="1">
      <c r="A261" s="15"/>
      <c r="B261" s="15"/>
      <c r="C261" s="15"/>
      <c r="D261" s="15"/>
      <c r="E261" s="15"/>
      <c r="F261" s="15"/>
      <c r="G261" s="15"/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t="14.25" customHeight="1">
      <c r="A262" s="15"/>
      <c r="B262" s="15"/>
      <c r="C262" s="15"/>
      <c r="D262" s="15"/>
      <c r="E262" s="15"/>
      <c r="F262" s="15"/>
      <c r="G262" s="15"/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t="14.25" customHeight="1">
      <c r="A263" s="15"/>
      <c r="B263" s="15"/>
      <c r="C263" s="15"/>
      <c r="D263" s="15"/>
      <c r="E263" s="15"/>
      <c r="F263" s="15"/>
      <c r="G263" s="15"/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t="14.25" customHeight="1">
      <c r="A264" s="15"/>
      <c r="B264" s="15"/>
      <c r="C264" s="15"/>
      <c r="D264" s="15"/>
      <c r="E264" s="15"/>
      <c r="F264" s="15"/>
      <c r="G264" s="15"/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t="14.25" customHeight="1">
      <c r="A265" s="15"/>
      <c r="B265" s="15"/>
      <c r="C265" s="15"/>
      <c r="D265" s="15"/>
      <c r="E265" s="15"/>
      <c r="F265" s="15"/>
      <c r="G265" s="15"/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1">
    <mergeCell ref="G13:H15"/>
    <mergeCell ref="G16:H20"/>
    <mergeCell ref="G24:H26"/>
    <mergeCell ref="G27:H31"/>
    <mergeCell ref="A1:F1"/>
    <mergeCell ref="A7:A8"/>
    <mergeCell ref="B7:C7"/>
    <mergeCell ref="D7:E7"/>
    <mergeCell ref="F7:F8"/>
    <mergeCell ref="A13:A15"/>
    <mergeCell ref="A16:A20"/>
    <mergeCell ref="A24:A26"/>
    <mergeCell ref="A27:A31"/>
    <mergeCell ref="A35:A39"/>
    <mergeCell ref="C41:D41"/>
    <mergeCell ref="E41:F41"/>
    <mergeCell ref="C42:D42"/>
    <mergeCell ref="E42:F42"/>
    <mergeCell ref="C45:D45"/>
    <mergeCell ref="E45:F45"/>
    <mergeCell ref="C46:D46"/>
    <mergeCell ref="E46:F46"/>
    <mergeCell ref="H46:I48"/>
    <mergeCell ref="C47:D47"/>
    <mergeCell ref="E47:F47"/>
    <mergeCell ref="C54:D54"/>
    <mergeCell ref="C55:D55"/>
    <mergeCell ref="C56:D56"/>
    <mergeCell ref="C57:D57"/>
    <mergeCell ref="C58:D58"/>
    <mergeCell ref="E55:F55"/>
    <mergeCell ref="E56:F56"/>
    <mergeCell ref="E57:F57"/>
    <mergeCell ref="E58:F58"/>
    <mergeCell ref="C48:D48"/>
    <mergeCell ref="E48:F48"/>
    <mergeCell ref="C50:D50"/>
    <mergeCell ref="E50:F50"/>
    <mergeCell ref="C51:D51"/>
    <mergeCell ref="E51:F51"/>
    <mergeCell ref="E54:F54"/>
  </mergeCells>
  <conditionalFormatting sqref="G9">
    <cfRule type="notContainsBlanks" dxfId="0" priority="1">
      <formula>LEN(TRIM(G9))&gt;0</formula>
    </cfRule>
  </conditionalFormatting>
  <conditionalFormatting sqref="G13">
    <cfRule type="notContainsBlanks" dxfId="1" priority="2">
      <formula>LEN(TRIM(G13))&gt;0</formula>
    </cfRule>
  </conditionalFormatting>
  <conditionalFormatting sqref="G16">
    <cfRule type="notContainsBlanks" dxfId="1" priority="3">
      <formula>LEN(TRIM(G16))&gt;0</formula>
    </cfRule>
  </conditionalFormatting>
  <conditionalFormatting sqref="G24">
    <cfRule type="notContainsBlanks" dxfId="1" priority="4">
      <formula>LEN(TRIM(G24))&gt;0</formula>
    </cfRule>
  </conditionalFormatting>
  <conditionalFormatting sqref="G27">
    <cfRule type="notContainsBlanks" dxfId="1" priority="5">
      <formula>LEN(TRIM(G27))&gt;0</formula>
    </cfRule>
  </conditionalFormatting>
  <conditionalFormatting sqref="H46">
    <cfRule type="notContainsBlanks" dxfId="1" priority="6">
      <formula>LEN(TRIM(H46))&gt;0</formula>
    </cfRule>
  </conditionalFormatting>
  <conditionalFormatting sqref="I13:I20">
    <cfRule type="notContainsBlanks" dxfId="0" priority="7">
      <formula>LEN(TRIM(I13))&gt;0</formula>
    </cfRule>
  </conditionalFormatting>
  <conditionalFormatting sqref="I24:I31">
    <cfRule type="notContainsBlanks" dxfId="0" priority="8">
      <formula>LEN(TRIM(I24))&gt;0</formula>
    </cfRule>
  </conditionalFormatting>
  <conditionalFormatting sqref="J46:J48">
    <cfRule type="notContainsBlanks" dxfId="0" priority="9">
      <formula>LEN(TRIM(J46))&gt;0</formula>
    </cfRule>
  </conditionalFormatting>
  <printOptions/>
  <pageMargins bottom="0.75" footer="0.0" header="0.0" left="0.7" right="0.7" top="0.75"/>
  <pageSetup orientation="portrait"/>
  <drawing r:id="rId1"/>
</worksheet>
</file>