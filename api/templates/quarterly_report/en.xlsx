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S_2020\SystemOne\aspect\api\templates\quarterly_report\"/>
    </mc:Choice>
  </mc:AlternateContent>
  <bookViews>
    <workbookView xWindow="-28920" yWindow="-60" windowWidth="29040" windowHeight="15720" activeTab="1"/>
  </bookViews>
  <sheets>
    <sheet name="Results" sheetId="2" r:id="rId1"/>
    <sheet name="Jan" sheetId="4" r:id="rId2"/>
    <sheet name="Feb" sheetId="12" r:id="rId3"/>
    <sheet name="Mar" sheetId="13" r:id="rId4"/>
    <sheet name="Q1" sheetId="14" r:id="rId5"/>
    <sheet name="Apr" sheetId="15" r:id="rId6"/>
    <sheet name="May" sheetId="16" r:id="rId7"/>
    <sheet name="Jun" sheetId="17" r:id="rId8"/>
    <sheet name="Q2" sheetId="18" r:id="rId9"/>
    <sheet name="Jul" sheetId="19" r:id="rId10"/>
    <sheet name="Aug" sheetId="20" r:id="rId11"/>
    <sheet name="Sep" sheetId="21" r:id="rId12"/>
    <sheet name="Q3" sheetId="22" r:id="rId13"/>
    <sheet name="Oct" sheetId="23" r:id="rId14"/>
    <sheet name="Nov" sheetId="24" r:id="rId15"/>
    <sheet name="Dec" sheetId="25" r:id="rId16"/>
    <sheet name="Q4" sheetId="26" r:id="rId17"/>
    <sheet name="Annual" sheetId="27" r:id="rId18"/>
  </sheets>
  <definedNames>
    <definedName name="GeneAge">Results!$J$1:$J$17245</definedName>
    <definedName name="GeneDate">Results!$E$1:$E$17245</definedName>
    <definedName name="GeneDeployment">Results!$D$1:$D$17245</definedName>
    <definedName name="GeneHIV">Results!$H$1:$H$17245</definedName>
    <definedName name="GeneLab">Results!$D$1:$D$17245</definedName>
    <definedName name="GeneMicroscope">Results!#REF!</definedName>
    <definedName name="GeneMTB">Results!$F$1:$F$17245</definedName>
    <definedName name="GenePreviousHistory">Results!#REF!</definedName>
    <definedName name="GeneRif">Results!$G$1:$G$17245</definedName>
    <definedName name="GeneSex">Results!$I$1:$I$17245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1" i="27" l="1"/>
  <c r="E31" i="27"/>
  <c r="D31" i="27"/>
  <c r="C31" i="27"/>
  <c r="F31" i="26"/>
  <c r="E31" i="26"/>
  <c r="D31" i="26"/>
  <c r="C31" i="26"/>
  <c r="F31" i="25"/>
  <c r="E31" i="25"/>
  <c r="D31" i="25"/>
  <c r="C31" i="25"/>
  <c r="F31" i="24"/>
  <c r="E31" i="24"/>
  <c r="D31" i="24"/>
  <c r="C31" i="24"/>
  <c r="F31" i="23"/>
  <c r="E31" i="23"/>
  <c r="D31" i="23"/>
  <c r="C31" i="23"/>
  <c r="F31" i="22"/>
  <c r="E31" i="22"/>
  <c r="D31" i="22"/>
  <c r="C31" i="22"/>
  <c r="F31" i="21"/>
  <c r="E31" i="21"/>
  <c r="D31" i="21"/>
  <c r="C31" i="21"/>
  <c r="F31" i="20"/>
  <c r="E31" i="20"/>
  <c r="D31" i="20"/>
  <c r="C31" i="20"/>
  <c r="F31" i="19"/>
  <c r="E31" i="19"/>
  <c r="D31" i="19"/>
  <c r="C31" i="19"/>
  <c r="F31" i="18"/>
  <c r="E31" i="18"/>
  <c r="D31" i="18"/>
  <c r="C31" i="18"/>
  <c r="F31" i="17"/>
  <c r="E31" i="17"/>
  <c r="D31" i="17"/>
  <c r="C31" i="17"/>
  <c r="F31" i="16"/>
  <c r="E31" i="16"/>
  <c r="D31" i="16"/>
  <c r="C31" i="16"/>
  <c r="F31" i="15"/>
  <c r="E31" i="15"/>
  <c r="D31" i="15"/>
  <c r="C31" i="15"/>
  <c r="F31" i="14"/>
  <c r="E31" i="14"/>
  <c r="D31" i="14"/>
  <c r="C31" i="14"/>
  <c r="F31" i="13"/>
  <c r="E31" i="13"/>
  <c r="D31" i="13"/>
  <c r="C31" i="13"/>
  <c r="F31" i="12"/>
  <c r="E31" i="12"/>
  <c r="D31" i="12"/>
  <c r="C31" i="12"/>
  <c r="F3" i="27"/>
  <c r="F3" i="26"/>
  <c r="F3" i="25"/>
  <c r="F3" i="24"/>
  <c r="F3" i="23"/>
  <c r="F3" i="22"/>
  <c r="F3" i="21"/>
  <c r="F3" i="20"/>
  <c r="F3" i="19"/>
  <c r="F3" i="18"/>
  <c r="F3" i="17"/>
  <c r="F3" i="16"/>
  <c r="F3" i="15"/>
  <c r="F3" i="14"/>
  <c r="F3" i="13" l="1"/>
  <c r="F3" i="12"/>
  <c r="F3" i="4" l="1"/>
  <c r="I2" i="4" l="1"/>
  <c r="I2" i="13"/>
  <c r="I2" i="27"/>
  <c r="I2" i="26"/>
  <c r="I2" i="25"/>
  <c r="I2" i="24"/>
  <c r="I2" i="23"/>
  <c r="I2" i="22"/>
  <c r="I2" i="21"/>
  <c r="I2" i="20"/>
  <c r="I2" i="19"/>
  <c r="I2" i="18"/>
  <c r="I2" i="17"/>
  <c r="I2" i="16"/>
  <c r="I2" i="15"/>
  <c r="I2" i="14"/>
  <c r="I2" i="12"/>
  <c r="D30" i="18" l="1"/>
  <c r="D30" i="14"/>
  <c r="E30" i="20"/>
  <c r="C30" i="23"/>
  <c r="F30" i="23"/>
  <c r="D30" i="23"/>
  <c r="D30" i="12"/>
  <c r="D30" i="15"/>
  <c r="E30" i="13"/>
  <c r="D30" i="13"/>
  <c r="C30" i="13"/>
  <c r="F30" i="13"/>
  <c r="E19" i="23"/>
  <c r="D19" i="23"/>
  <c r="F19" i="23"/>
  <c r="I3" i="22"/>
  <c r="F20" i="22" s="1"/>
  <c r="I3" i="21"/>
  <c r="C19" i="21" s="1"/>
  <c r="D19" i="21"/>
  <c r="C19" i="16"/>
  <c r="I3" i="12"/>
  <c r="F20" i="12" s="1"/>
  <c r="I3" i="23"/>
  <c r="E34" i="23" s="1"/>
  <c r="F13" i="23"/>
  <c r="E39" i="21"/>
  <c r="C34" i="23"/>
  <c r="C29" i="23"/>
  <c r="G39" i="21"/>
  <c r="I3" i="20"/>
  <c r="F9" i="20" s="1"/>
  <c r="E38" i="21"/>
  <c r="C40" i="21"/>
  <c r="I3" i="24"/>
  <c r="E29" i="24" s="1"/>
  <c r="I3" i="25"/>
  <c r="C29" i="25" s="1"/>
  <c r="I3" i="27"/>
  <c r="G38" i="27" s="1"/>
  <c r="I3" i="13"/>
  <c r="E38" i="13" s="1"/>
  <c r="I3" i="4"/>
  <c r="D17" i="4" s="1"/>
  <c r="D28" i="21"/>
  <c r="E28" i="21"/>
  <c r="C14" i="21"/>
  <c r="G38" i="21"/>
  <c r="C17" i="21"/>
  <c r="D9" i="21"/>
  <c r="C46" i="21"/>
  <c r="C47" i="21" s="1"/>
  <c r="E26" i="21"/>
  <c r="D17" i="21"/>
  <c r="E9" i="21"/>
  <c r="G34" i="21"/>
  <c r="C48" i="21"/>
  <c r="F17" i="21"/>
  <c r="G40" i="21"/>
  <c r="C25" i="21"/>
  <c r="E34" i="21"/>
  <c r="F24" i="21"/>
  <c r="E15" i="21"/>
  <c r="F15" i="21"/>
  <c r="I3" i="17"/>
  <c r="E28" i="17" s="1"/>
  <c r="I3" i="18"/>
  <c r="D26" i="18" s="1"/>
  <c r="I3" i="19"/>
  <c r="E17" i="19" s="1"/>
  <c r="E29" i="20"/>
  <c r="C17" i="20"/>
  <c r="C27" i="21"/>
  <c r="E25" i="21"/>
  <c r="D16" i="21"/>
  <c r="F14" i="21"/>
  <c r="F25" i="21"/>
  <c r="C18" i="21"/>
  <c r="E16" i="21"/>
  <c r="C29" i="21"/>
  <c r="E27" i="21"/>
  <c r="D18" i="21"/>
  <c r="F16" i="21"/>
  <c r="C13" i="21"/>
  <c r="D29" i="21"/>
  <c r="F27" i="21"/>
  <c r="C24" i="21"/>
  <c r="E18" i="21"/>
  <c r="D13" i="21"/>
  <c r="E29" i="21"/>
  <c r="D24" i="21"/>
  <c r="F18" i="21"/>
  <c r="C15" i="21"/>
  <c r="E13" i="21"/>
  <c r="F29" i="21"/>
  <c r="C26" i="21"/>
  <c r="E24" i="21"/>
  <c r="D15" i="21"/>
  <c r="F13" i="21"/>
  <c r="I3" i="14"/>
  <c r="E27" i="14" s="1"/>
  <c r="I3" i="15"/>
  <c r="F25" i="15" s="1"/>
  <c r="F15" i="27"/>
  <c r="C28" i="27"/>
  <c r="D28" i="23"/>
  <c r="F26" i="23"/>
  <c r="F25" i="23"/>
  <c r="C18" i="23"/>
  <c r="I3" i="16"/>
  <c r="D14" i="16" s="1"/>
  <c r="E14" i="21"/>
  <c r="F15" i="23"/>
  <c r="D15" i="24"/>
  <c r="E24" i="24"/>
  <c r="F29" i="24"/>
  <c r="D14" i="21"/>
  <c r="F28" i="21"/>
  <c r="E15" i="23"/>
  <c r="C13" i="27"/>
  <c r="E29" i="27"/>
  <c r="F29" i="27"/>
  <c r="C26" i="27"/>
  <c r="E24" i="27"/>
  <c r="C16" i="24"/>
  <c r="I3" i="26"/>
  <c r="D26" i="26" s="1"/>
  <c r="D14" i="24"/>
  <c r="C25" i="24"/>
  <c r="C14" i="24"/>
  <c r="F17" i="24"/>
  <c r="E28" i="24"/>
  <c r="E17" i="24"/>
  <c r="F26" i="24"/>
  <c r="D28" i="24"/>
  <c r="F15" i="24"/>
  <c r="E15" i="24"/>
  <c r="C17" i="24"/>
  <c r="F19" i="16" l="1"/>
  <c r="C30" i="15"/>
  <c r="C30" i="12"/>
  <c r="D30" i="20"/>
  <c r="C30" i="14"/>
  <c r="C30" i="18"/>
  <c r="E30" i="15"/>
  <c r="E30" i="12"/>
  <c r="C30" i="20"/>
  <c r="E30" i="14"/>
  <c r="E30" i="18"/>
  <c r="F30" i="15"/>
  <c r="F30" i="12"/>
  <c r="F30" i="20"/>
  <c r="F30" i="14"/>
  <c r="F30" i="18"/>
  <c r="F30" i="16"/>
  <c r="D30" i="26"/>
  <c r="D30" i="4"/>
  <c r="C30" i="24"/>
  <c r="D30" i="17"/>
  <c r="D30" i="16"/>
  <c r="E30" i="26"/>
  <c r="E30" i="23"/>
  <c r="E30" i="4"/>
  <c r="D30" i="24"/>
  <c r="E30" i="17"/>
  <c r="C30" i="16"/>
  <c r="F30" i="26"/>
  <c r="F30" i="4"/>
  <c r="E30" i="24"/>
  <c r="F30" i="17"/>
  <c r="E30" i="16"/>
  <c r="C30" i="26"/>
  <c r="C30" i="4"/>
  <c r="F30" i="24"/>
  <c r="C30" i="17"/>
  <c r="E19" i="24"/>
  <c r="C30" i="27"/>
  <c r="C30" i="25"/>
  <c r="C30" i="21"/>
  <c r="C31" i="4"/>
  <c r="D30" i="22"/>
  <c r="F30" i="19"/>
  <c r="D27" i="21"/>
  <c r="C28" i="21"/>
  <c r="I28" i="21" s="1"/>
  <c r="E40" i="21"/>
  <c r="C26" i="23"/>
  <c r="F20" i="20"/>
  <c r="D30" i="27"/>
  <c r="D30" i="25"/>
  <c r="D30" i="21"/>
  <c r="D31" i="4"/>
  <c r="F30" i="22"/>
  <c r="C30" i="19"/>
  <c r="C20" i="24"/>
  <c r="E30" i="27"/>
  <c r="E30" i="25"/>
  <c r="E30" i="21"/>
  <c r="E31" i="4"/>
  <c r="C30" i="22"/>
  <c r="D30" i="19"/>
  <c r="F20" i="27"/>
  <c r="F30" i="27"/>
  <c r="F30" i="25"/>
  <c r="F30" i="21"/>
  <c r="F31" i="4"/>
  <c r="E30" i="22"/>
  <c r="E30" i="19"/>
  <c r="D13" i="27"/>
  <c r="D19" i="27"/>
  <c r="F25" i="27"/>
  <c r="F16" i="27"/>
  <c r="C20" i="27"/>
  <c r="D27" i="27"/>
  <c r="E20" i="27"/>
  <c r="D20" i="27"/>
  <c r="C20" i="26"/>
  <c r="E20" i="26"/>
  <c r="D20" i="26"/>
  <c r="F20" i="26"/>
  <c r="D28" i="25"/>
  <c r="E20" i="25"/>
  <c r="F26" i="25"/>
  <c r="C20" i="25"/>
  <c r="D20" i="25"/>
  <c r="F20" i="25"/>
  <c r="D20" i="24"/>
  <c r="E20" i="24"/>
  <c r="F20" i="24"/>
  <c r="C20" i="23"/>
  <c r="E25" i="23"/>
  <c r="D20" i="23"/>
  <c r="D27" i="23"/>
  <c r="F14" i="23"/>
  <c r="D14" i="23"/>
  <c r="E20" i="23"/>
  <c r="C25" i="23"/>
  <c r="F20" i="23"/>
  <c r="G40" i="22"/>
  <c r="C14" i="22"/>
  <c r="F13" i="22"/>
  <c r="F9" i="22"/>
  <c r="C17" i="22"/>
  <c r="E24" i="22"/>
  <c r="D18" i="22"/>
  <c r="C29" i="22"/>
  <c r="E40" i="22"/>
  <c r="D17" i="22"/>
  <c r="C9" i="22"/>
  <c r="D28" i="22"/>
  <c r="C18" i="22"/>
  <c r="C28" i="22"/>
  <c r="G38" i="22"/>
  <c r="E18" i="22"/>
  <c r="E39" i="22"/>
  <c r="C24" i="22"/>
  <c r="F14" i="22"/>
  <c r="C49" i="22"/>
  <c r="F26" i="22"/>
  <c r="C40" i="22"/>
  <c r="C15" i="22"/>
  <c r="E27" i="22"/>
  <c r="E38" i="22"/>
  <c r="E9" i="22"/>
  <c r="D14" i="22"/>
  <c r="F25" i="22"/>
  <c r="B9" i="22"/>
  <c r="F28" i="22"/>
  <c r="F27" i="22"/>
  <c r="D16" i="22"/>
  <c r="C34" i="22"/>
  <c r="E15" i="22"/>
  <c r="E17" i="22"/>
  <c r="C20" i="22"/>
  <c r="C39" i="22"/>
  <c r="C16" i="22"/>
  <c r="E29" i="22"/>
  <c r="E13" i="22"/>
  <c r="F24" i="22"/>
  <c r="D13" i="22"/>
  <c r="C38" i="22"/>
  <c r="F15" i="22"/>
  <c r="D29" i="22"/>
  <c r="E25" i="22"/>
  <c r="G34" i="22"/>
  <c r="E26" i="22"/>
  <c r="F29" i="22"/>
  <c r="C19" i="22"/>
  <c r="E20" i="22"/>
  <c r="E14" i="22"/>
  <c r="I14" i="22" s="1"/>
  <c r="C26" i="22"/>
  <c r="F18" i="22"/>
  <c r="E16" i="22"/>
  <c r="F17" i="22"/>
  <c r="D24" i="22"/>
  <c r="C25" i="22"/>
  <c r="D27" i="22"/>
  <c r="I27" i="22" s="1"/>
  <c r="C46" i="22"/>
  <c r="C47" i="22" s="1"/>
  <c r="C13" i="22"/>
  <c r="I13" i="22" s="1"/>
  <c r="C27" i="22"/>
  <c r="G39" i="22"/>
  <c r="D15" i="22"/>
  <c r="E34" i="22"/>
  <c r="D19" i="22"/>
  <c r="D20" i="22"/>
  <c r="F19" i="22"/>
  <c r="D25" i="22"/>
  <c r="E28" i="22"/>
  <c r="I28" i="22" s="1"/>
  <c r="F16" i="22"/>
  <c r="G16" i="22" s="1"/>
  <c r="G27" i="22"/>
  <c r="D9" i="22"/>
  <c r="G9" i="22" s="1"/>
  <c r="D26" i="22"/>
  <c r="I26" i="22" s="1"/>
  <c r="C48" i="22"/>
  <c r="E19" i="22"/>
  <c r="F19" i="21"/>
  <c r="D26" i="21"/>
  <c r="E19" i="21"/>
  <c r="C20" i="21"/>
  <c r="C34" i="21"/>
  <c r="F9" i="21"/>
  <c r="C49" i="21"/>
  <c r="C38" i="21"/>
  <c r="D20" i="21"/>
  <c r="C16" i="21"/>
  <c r="I16" i="21" s="1"/>
  <c r="E17" i="21"/>
  <c r="I17" i="21" s="1"/>
  <c r="C9" i="21"/>
  <c r="C39" i="21"/>
  <c r="J39" i="21" s="1"/>
  <c r="E20" i="21"/>
  <c r="D25" i="21"/>
  <c r="I25" i="21" s="1"/>
  <c r="F26" i="21"/>
  <c r="B9" i="21"/>
  <c r="G9" i="21" s="1"/>
  <c r="F20" i="21"/>
  <c r="C20" i="20"/>
  <c r="D20" i="20"/>
  <c r="E20" i="20"/>
  <c r="C13" i="19"/>
  <c r="E19" i="19"/>
  <c r="F19" i="19"/>
  <c r="C20" i="19"/>
  <c r="D19" i="19"/>
  <c r="D13" i="19"/>
  <c r="D20" i="19"/>
  <c r="E20" i="19"/>
  <c r="F20" i="19"/>
  <c r="C20" i="18"/>
  <c r="E20" i="18"/>
  <c r="D20" i="18"/>
  <c r="F20" i="18"/>
  <c r="E19" i="17"/>
  <c r="C20" i="17"/>
  <c r="D20" i="17"/>
  <c r="D26" i="17"/>
  <c r="E20" i="17"/>
  <c r="C17" i="17"/>
  <c r="F20" i="17"/>
  <c r="C20" i="16"/>
  <c r="E20" i="16"/>
  <c r="D20" i="16"/>
  <c r="F20" i="16"/>
  <c r="C20" i="15"/>
  <c r="E20" i="15"/>
  <c r="D20" i="15"/>
  <c r="F20" i="15"/>
  <c r="E20" i="14"/>
  <c r="C20" i="14"/>
  <c r="D20" i="14"/>
  <c r="F20" i="14"/>
  <c r="C20" i="13"/>
  <c r="D20" i="13"/>
  <c r="E20" i="13"/>
  <c r="C19" i="13"/>
  <c r="F20" i="13"/>
  <c r="C20" i="12"/>
  <c r="E20" i="4"/>
  <c r="D20" i="4"/>
  <c r="C19" i="4"/>
  <c r="C20" i="4"/>
  <c r="D19" i="4"/>
  <c r="E19" i="4"/>
  <c r="F20" i="4"/>
  <c r="F19" i="4"/>
  <c r="F17" i="27"/>
  <c r="D24" i="27"/>
  <c r="C18" i="27"/>
  <c r="E18" i="27"/>
  <c r="F14" i="27"/>
  <c r="C24" i="27"/>
  <c r="D16" i="27"/>
  <c r="F27" i="27"/>
  <c r="E25" i="27"/>
  <c r="F13" i="27"/>
  <c r="D15" i="27"/>
  <c r="D29" i="27"/>
  <c r="C27" i="27"/>
  <c r="D14" i="27"/>
  <c r="D18" i="27"/>
  <c r="D25" i="27"/>
  <c r="F24" i="27"/>
  <c r="C17" i="27"/>
  <c r="F19" i="27"/>
  <c r="E13" i="27"/>
  <c r="E27" i="27"/>
  <c r="C25" i="27"/>
  <c r="C16" i="27"/>
  <c r="E15" i="27"/>
  <c r="E19" i="27"/>
  <c r="C15" i="27"/>
  <c r="E16" i="27"/>
  <c r="I16" i="27" s="1"/>
  <c r="F26" i="27"/>
  <c r="C19" i="27"/>
  <c r="F19" i="26"/>
  <c r="C19" i="26"/>
  <c r="D19" i="26"/>
  <c r="E19" i="26"/>
  <c r="F29" i="25"/>
  <c r="C28" i="25"/>
  <c r="F13" i="25"/>
  <c r="D17" i="25"/>
  <c r="C26" i="25"/>
  <c r="E26" i="25"/>
  <c r="F15" i="25"/>
  <c r="F16" i="25"/>
  <c r="D15" i="25"/>
  <c r="D24" i="25"/>
  <c r="D26" i="25"/>
  <c r="E28" i="25"/>
  <c r="D19" i="25"/>
  <c r="E17" i="25"/>
  <c r="E24" i="25"/>
  <c r="D29" i="25"/>
  <c r="C19" i="25"/>
  <c r="F18" i="25"/>
  <c r="C15" i="25"/>
  <c r="C17" i="25"/>
  <c r="F17" i="25"/>
  <c r="C24" i="25"/>
  <c r="F19" i="25"/>
  <c r="E29" i="25"/>
  <c r="F24" i="25"/>
  <c r="E13" i="25"/>
  <c r="E15" i="25"/>
  <c r="C14" i="25"/>
  <c r="E19" i="25"/>
  <c r="C28" i="24"/>
  <c r="D24" i="24"/>
  <c r="E26" i="24"/>
  <c r="D25" i="24"/>
  <c r="C15" i="24"/>
  <c r="I15" i="24" s="1"/>
  <c r="D17" i="24"/>
  <c r="F28" i="24"/>
  <c r="C19" i="24"/>
  <c r="D26" i="24"/>
  <c r="D19" i="24"/>
  <c r="F24" i="24"/>
  <c r="E14" i="24"/>
  <c r="F19" i="24"/>
  <c r="E26" i="23"/>
  <c r="E24" i="23"/>
  <c r="F29" i="23"/>
  <c r="C19" i="23"/>
  <c r="F24" i="23"/>
  <c r="D16" i="23"/>
  <c r="F28" i="23"/>
  <c r="C13" i="23"/>
  <c r="D9" i="23"/>
  <c r="B9" i="23"/>
  <c r="C24" i="23"/>
  <c r="C14" i="23"/>
  <c r="D13" i="23"/>
  <c r="F17" i="23"/>
  <c r="C38" i="23"/>
  <c r="G40" i="23"/>
  <c r="C48" i="23"/>
  <c r="E14" i="23"/>
  <c r="G39" i="23"/>
  <c r="D17" i="23"/>
  <c r="C27" i="23"/>
  <c r="C39" i="23"/>
  <c r="C16" i="23"/>
  <c r="E28" i="23"/>
  <c r="F18" i="23"/>
  <c r="I20" i="23"/>
  <c r="C28" i="23"/>
  <c r="E16" i="23"/>
  <c r="D25" i="23"/>
  <c r="E17" i="23"/>
  <c r="E39" i="23"/>
  <c r="C40" i="23"/>
  <c r="E15" i="20"/>
  <c r="D24" i="20"/>
  <c r="D13" i="20"/>
  <c r="E18" i="20"/>
  <c r="C24" i="20"/>
  <c r="F27" i="20"/>
  <c r="D29" i="20"/>
  <c r="E24" i="20"/>
  <c r="C18" i="20"/>
  <c r="C26" i="20"/>
  <c r="C13" i="20"/>
  <c r="D27" i="20"/>
  <c r="F15" i="20"/>
  <c r="F29" i="20"/>
  <c r="F16" i="20"/>
  <c r="C19" i="20"/>
  <c r="F24" i="20"/>
  <c r="F13" i="20"/>
  <c r="D17" i="20"/>
  <c r="E13" i="20"/>
  <c r="D18" i="20"/>
  <c r="E16" i="20"/>
  <c r="D19" i="20"/>
  <c r="D15" i="20"/>
  <c r="F14" i="20"/>
  <c r="E26" i="20"/>
  <c r="C15" i="20"/>
  <c r="E27" i="20"/>
  <c r="E19" i="20"/>
  <c r="D26" i="20"/>
  <c r="C28" i="20"/>
  <c r="F18" i="20"/>
  <c r="C29" i="20"/>
  <c r="I29" i="20" s="1"/>
  <c r="F19" i="20"/>
  <c r="E28" i="19"/>
  <c r="C19" i="19"/>
  <c r="D19" i="18"/>
  <c r="E19" i="18"/>
  <c r="F19" i="18"/>
  <c r="C19" i="18"/>
  <c r="C19" i="17"/>
  <c r="D19" i="17"/>
  <c r="F19" i="17"/>
  <c r="D19" i="16"/>
  <c r="E19" i="16"/>
  <c r="E19" i="15"/>
  <c r="F19" i="15"/>
  <c r="D19" i="15"/>
  <c r="C19" i="15"/>
  <c r="C19" i="14"/>
  <c r="D19" i="14"/>
  <c r="F19" i="14"/>
  <c r="E19" i="14"/>
  <c r="D19" i="13"/>
  <c r="F19" i="13"/>
  <c r="E19" i="13"/>
  <c r="D29" i="12"/>
  <c r="C14" i="12"/>
  <c r="E15" i="12"/>
  <c r="D18" i="12"/>
  <c r="C25" i="12"/>
  <c r="E26" i="12"/>
  <c r="D16" i="12"/>
  <c r="D28" i="12"/>
  <c r="E28" i="12"/>
  <c r="C48" i="12"/>
  <c r="E14" i="12"/>
  <c r="E27" i="12"/>
  <c r="C27" i="12"/>
  <c r="G38" i="12"/>
  <c r="E40" i="12"/>
  <c r="C19" i="12"/>
  <c r="C18" i="12"/>
  <c r="C38" i="12"/>
  <c r="F29" i="12"/>
  <c r="C34" i="12"/>
  <c r="G40" i="12"/>
  <c r="C9" i="12"/>
  <c r="F17" i="12"/>
  <c r="E39" i="12"/>
  <c r="E9" i="12"/>
  <c r="D19" i="12"/>
  <c r="D25" i="12"/>
  <c r="D24" i="12"/>
  <c r="C16" i="12"/>
  <c r="F24" i="12"/>
  <c r="G39" i="12"/>
  <c r="D15" i="12"/>
  <c r="E34" i="12"/>
  <c r="D13" i="12"/>
  <c r="E19" i="12"/>
  <c r="D17" i="12"/>
  <c r="C46" i="12"/>
  <c r="C47" i="12" s="1"/>
  <c r="D26" i="12"/>
  <c r="C29" i="12"/>
  <c r="F15" i="12"/>
  <c r="E18" i="12"/>
  <c r="G34" i="12"/>
  <c r="E16" i="12"/>
  <c r="C15" i="12"/>
  <c r="F18" i="12"/>
  <c r="F25" i="12"/>
  <c r="E29" i="12"/>
  <c r="I29" i="12" s="1"/>
  <c r="D14" i="12"/>
  <c r="C17" i="12"/>
  <c r="I17" i="12" s="1"/>
  <c r="E25" i="12"/>
  <c r="C39" i="12"/>
  <c r="F26" i="12"/>
  <c r="F19" i="12"/>
  <c r="C26" i="12"/>
  <c r="C49" i="12"/>
  <c r="E17" i="12"/>
  <c r="C24" i="12"/>
  <c r="F28" i="12"/>
  <c r="F9" i="12"/>
  <c r="C28" i="12"/>
  <c r="D20" i="12"/>
  <c r="C40" i="12"/>
  <c r="J40" i="12" s="1"/>
  <c r="B9" i="12"/>
  <c r="E24" i="12"/>
  <c r="D27" i="12"/>
  <c r="E38" i="12"/>
  <c r="E13" i="12"/>
  <c r="D9" i="12"/>
  <c r="E20" i="12"/>
  <c r="F14" i="12"/>
  <c r="I14" i="12" s="1"/>
  <c r="F27" i="12"/>
  <c r="I31" i="12"/>
  <c r="F13" i="12"/>
  <c r="G13" i="12" s="1"/>
  <c r="F16" i="12"/>
  <c r="G16" i="12" s="1"/>
  <c r="C13" i="12"/>
  <c r="I24" i="22"/>
  <c r="I17" i="22"/>
  <c r="J38" i="21"/>
  <c r="J38" i="22"/>
  <c r="F26" i="19"/>
  <c r="E34" i="24"/>
  <c r="E14" i="27"/>
  <c r="C9" i="27"/>
  <c r="C14" i="27"/>
  <c r="C46" i="27"/>
  <c r="C47" i="27" s="1"/>
  <c r="E39" i="27"/>
  <c r="F24" i="4"/>
  <c r="F16" i="24"/>
  <c r="D28" i="27"/>
  <c r="C25" i="18"/>
  <c r="C49" i="27"/>
  <c r="D18" i="4"/>
  <c r="B9" i="27"/>
  <c r="G40" i="27"/>
  <c r="E40" i="27"/>
  <c r="I20" i="27"/>
  <c r="D26" i="27"/>
  <c r="E17" i="27"/>
  <c r="E34" i="27"/>
  <c r="D17" i="27"/>
  <c r="C46" i="23"/>
  <c r="C47" i="23" s="1"/>
  <c r="I31" i="21"/>
  <c r="F9" i="27"/>
  <c r="G13" i="27" s="1"/>
  <c r="F16" i="23"/>
  <c r="G38" i="23"/>
  <c r="E18" i="23"/>
  <c r="G34" i="23"/>
  <c r="F18" i="27"/>
  <c r="C29" i="27"/>
  <c r="I31" i="27"/>
  <c r="E28" i="27"/>
  <c r="C48" i="27"/>
  <c r="D16" i="4"/>
  <c r="C17" i="23"/>
  <c r="I17" i="23" s="1"/>
  <c r="F9" i="23"/>
  <c r="C27" i="15"/>
  <c r="D28" i="13"/>
  <c r="F29" i="13"/>
  <c r="E24" i="19"/>
  <c r="E29" i="13"/>
  <c r="E26" i="4"/>
  <c r="E9" i="20"/>
  <c r="C38" i="25"/>
  <c r="C34" i="4"/>
  <c r="D9" i="25"/>
  <c r="D29" i="23"/>
  <c r="C15" i="23"/>
  <c r="I15" i="23" s="1"/>
  <c r="D26" i="23"/>
  <c r="I26" i="23" s="1"/>
  <c r="F17" i="17"/>
  <c r="E25" i="4"/>
  <c r="C49" i="23"/>
  <c r="F27" i="23"/>
  <c r="E38" i="23"/>
  <c r="E26" i="17"/>
  <c r="G34" i="4"/>
  <c r="E40" i="23"/>
  <c r="J40" i="23" s="1"/>
  <c r="D24" i="23"/>
  <c r="I24" i="23" s="1"/>
  <c r="D18" i="23"/>
  <c r="E29" i="23"/>
  <c r="E27" i="23"/>
  <c r="I27" i="23" s="1"/>
  <c r="D17" i="17"/>
  <c r="F29" i="15"/>
  <c r="E15" i="18"/>
  <c r="E40" i="13"/>
  <c r="C9" i="24"/>
  <c r="C9" i="23"/>
  <c r="E9" i="23"/>
  <c r="E13" i="23"/>
  <c r="I13" i="23" s="1"/>
  <c r="D15" i="23"/>
  <c r="C28" i="14"/>
  <c r="E17" i="18"/>
  <c r="F26" i="4"/>
  <c r="F18" i="4"/>
  <c r="E38" i="4"/>
  <c r="C40" i="4"/>
  <c r="D13" i="25"/>
  <c r="E25" i="25"/>
  <c r="D16" i="25"/>
  <c r="D18" i="25"/>
  <c r="E40" i="24"/>
  <c r="E18" i="24"/>
  <c r="B9" i="4"/>
  <c r="C25" i="4"/>
  <c r="F13" i="4"/>
  <c r="C17" i="4"/>
  <c r="F9" i="25"/>
  <c r="E27" i="25"/>
  <c r="F28" i="25"/>
  <c r="I28" i="25" s="1"/>
  <c r="G39" i="24"/>
  <c r="F14" i="24"/>
  <c r="I14" i="24" s="1"/>
  <c r="D29" i="24"/>
  <c r="D15" i="14"/>
  <c r="F26" i="18"/>
  <c r="C15" i="4"/>
  <c r="G38" i="4"/>
  <c r="F16" i="4"/>
  <c r="C24" i="4"/>
  <c r="E14" i="25"/>
  <c r="B9" i="25"/>
  <c r="E39" i="25"/>
  <c r="G34" i="24"/>
  <c r="C49" i="24"/>
  <c r="F9" i="24"/>
  <c r="C13" i="15"/>
  <c r="F18" i="14"/>
  <c r="D28" i="18"/>
  <c r="E16" i="17"/>
  <c r="C18" i="4"/>
  <c r="E18" i="4"/>
  <c r="D26" i="4"/>
  <c r="G34" i="25"/>
  <c r="D25" i="25"/>
  <c r="C16" i="25"/>
  <c r="C34" i="25"/>
  <c r="C24" i="24"/>
  <c r="I24" i="24" s="1"/>
  <c r="G40" i="24"/>
  <c r="C34" i="24"/>
  <c r="D25" i="18"/>
  <c r="F15" i="18"/>
  <c r="D25" i="17"/>
  <c r="D27" i="4"/>
  <c r="E39" i="4"/>
  <c r="C29" i="4"/>
  <c r="D29" i="4"/>
  <c r="G39" i="25"/>
  <c r="C40" i="25"/>
  <c r="D27" i="25"/>
  <c r="C48" i="25"/>
  <c r="D17" i="18"/>
  <c r="F28" i="17"/>
  <c r="D13" i="4"/>
  <c r="C9" i="4"/>
  <c r="E14" i="4"/>
  <c r="E14" i="13"/>
  <c r="C13" i="25"/>
  <c r="I13" i="25" s="1"/>
  <c r="E9" i="25"/>
  <c r="E38" i="25"/>
  <c r="C18" i="25"/>
  <c r="E13" i="24"/>
  <c r="F27" i="24"/>
  <c r="D14" i="18"/>
  <c r="E26" i="18"/>
  <c r="D15" i="4"/>
  <c r="F27" i="4"/>
  <c r="F25" i="25"/>
  <c r="D14" i="25"/>
  <c r="I14" i="25" s="1"/>
  <c r="E18" i="25"/>
  <c r="F25" i="24"/>
  <c r="G24" i="24" s="1"/>
  <c r="G38" i="24"/>
  <c r="C49" i="25"/>
  <c r="C25" i="25"/>
  <c r="C27" i="25"/>
  <c r="E40" i="25"/>
  <c r="C40" i="24"/>
  <c r="C48" i="24"/>
  <c r="J40" i="22"/>
  <c r="F28" i="18"/>
  <c r="E29" i="4"/>
  <c r="C38" i="4"/>
  <c r="E34" i="4"/>
  <c r="F9" i="4"/>
  <c r="G40" i="25"/>
  <c r="E16" i="25"/>
  <c r="E34" i="25"/>
  <c r="E38" i="24"/>
  <c r="C46" i="24"/>
  <c r="C47" i="24" s="1"/>
  <c r="C26" i="19"/>
  <c r="C14" i="18"/>
  <c r="J40" i="21"/>
  <c r="E40" i="4"/>
  <c r="E9" i="4"/>
  <c r="D14" i="4"/>
  <c r="E38" i="27"/>
  <c r="C39" i="25"/>
  <c r="F27" i="25"/>
  <c r="G38" i="25"/>
  <c r="J38" i="25" s="1"/>
  <c r="B9" i="24"/>
  <c r="F18" i="24"/>
  <c r="F17" i="18"/>
  <c r="E13" i="4"/>
  <c r="F15" i="4"/>
  <c r="C39" i="4"/>
  <c r="D24" i="4"/>
  <c r="F14" i="25"/>
  <c r="C9" i="25"/>
  <c r="C46" i="25"/>
  <c r="C47" i="25" s="1"/>
  <c r="E39" i="24"/>
  <c r="C27" i="24"/>
  <c r="D25" i="16"/>
  <c r="C34" i="13"/>
  <c r="C18" i="13"/>
  <c r="E39" i="13"/>
  <c r="D16" i="16"/>
  <c r="E27" i="26"/>
  <c r="E18" i="26"/>
  <c r="E13" i="26"/>
  <c r="D18" i="26"/>
  <c r="C24" i="16"/>
  <c r="F27" i="14"/>
  <c r="D28" i="19"/>
  <c r="C28" i="18"/>
  <c r="D16" i="17"/>
  <c r="E26" i="27"/>
  <c r="C40" i="27"/>
  <c r="E16" i="4"/>
  <c r="F14" i="4"/>
  <c r="D9" i="4"/>
  <c r="C13" i="4"/>
  <c r="C49" i="4"/>
  <c r="E27" i="4"/>
  <c r="C16" i="13"/>
  <c r="C38" i="13"/>
  <c r="D9" i="13"/>
  <c r="B9" i="13"/>
  <c r="D25" i="13"/>
  <c r="C13" i="13"/>
  <c r="G39" i="27"/>
  <c r="D9" i="24"/>
  <c r="D13" i="24"/>
  <c r="E16" i="24"/>
  <c r="D18" i="24"/>
  <c r="F27" i="26"/>
  <c r="E29" i="26"/>
  <c r="D15" i="26"/>
  <c r="D29" i="16"/>
  <c r="D29" i="14"/>
  <c r="E15" i="19"/>
  <c r="E25" i="17"/>
  <c r="I20" i="4"/>
  <c r="F17" i="4"/>
  <c r="E15" i="4"/>
  <c r="C16" i="4"/>
  <c r="C46" i="4"/>
  <c r="C47" i="4" s="1"/>
  <c r="C46" i="13"/>
  <c r="C47" i="13" s="1"/>
  <c r="F15" i="13"/>
  <c r="D15" i="13"/>
  <c r="C28" i="13"/>
  <c r="E16" i="13"/>
  <c r="C34" i="27"/>
  <c r="F13" i="24"/>
  <c r="E25" i="24"/>
  <c r="I25" i="24" s="1"/>
  <c r="E27" i="24"/>
  <c r="C29" i="24"/>
  <c r="F16" i="26"/>
  <c r="C13" i="16"/>
  <c r="C29" i="14"/>
  <c r="C17" i="19"/>
  <c r="C27" i="17"/>
  <c r="D26" i="13"/>
  <c r="F9" i="13"/>
  <c r="C17" i="13"/>
  <c r="E18" i="13"/>
  <c r="C48" i="13"/>
  <c r="C38" i="27"/>
  <c r="E27" i="19"/>
  <c r="F27" i="19"/>
  <c r="E16" i="16"/>
  <c r="F24" i="19"/>
  <c r="F24" i="18"/>
  <c r="E14" i="17"/>
  <c r="E9" i="27"/>
  <c r="F29" i="4"/>
  <c r="C27" i="4"/>
  <c r="F25" i="4"/>
  <c r="D25" i="4"/>
  <c r="E17" i="4"/>
  <c r="C48" i="4"/>
  <c r="C14" i="13"/>
  <c r="C24" i="13"/>
  <c r="F25" i="13"/>
  <c r="G40" i="13"/>
  <c r="F26" i="13"/>
  <c r="C39" i="27"/>
  <c r="C39" i="24"/>
  <c r="C13" i="24"/>
  <c r="I13" i="24" s="1"/>
  <c r="D16" i="24"/>
  <c r="I16" i="24" s="1"/>
  <c r="E9" i="24"/>
  <c r="G9" i="24" s="1"/>
  <c r="F17" i="20"/>
  <c r="D25" i="20"/>
  <c r="D18" i="19"/>
  <c r="E18" i="19"/>
  <c r="C18" i="16"/>
  <c r="F28" i="27"/>
  <c r="I28" i="27" s="1"/>
  <c r="F13" i="19"/>
  <c r="E14" i="18"/>
  <c r="D9" i="27"/>
  <c r="G39" i="4"/>
  <c r="G40" i="4"/>
  <c r="F28" i="4"/>
  <c r="D28" i="4"/>
  <c r="E24" i="4"/>
  <c r="C14" i="4"/>
  <c r="D14" i="13"/>
  <c r="E17" i="13"/>
  <c r="D27" i="13"/>
  <c r="F28" i="13"/>
  <c r="C39" i="13"/>
  <c r="C29" i="13"/>
  <c r="G34" i="27"/>
  <c r="I20" i="25"/>
  <c r="C38" i="24"/>
  <c r="C26" i="24"/>
  <c r="D27" i="24"/>
  <c r="C18" i="24"/>
  <c r="B9" i="20"/>
  <c r="C14" i="20"/>
  <c r="F17" i="13"/>
  <c r="E24" i="13"/>
  <c r="E34" i="13"/>
  <c r="F13" i="13"/>
  <c r="D13" i="13"/>
  <c r="F14" i="13"/>
  <c r="I26" i="12"/>
  <c r="I15" i="12"/>
  <c r="I31" i="24"/>
  <c r="G34" i="20"/>
  <c r="F24" i="13"/>
  <c r="F27" i="13"/>
  <c r="C49" i="13"/>
  <c r="C15" i="13"/>
  <c r="F16" i="13"/>
  <c r="D16" i="13"/>
  <c r="E25" i="16"/>
  <c r="F17" i="19"/>
  <c r="D24" i="19"/>
  <c r="C26" i="13"/>
  <c r="E9" i="13"/>
  <c r="C9" i="13"/>
  <c r="D18" i="13"/>
  <c r="F29" i="26"/>
  <c r="E15" i="26"/>
  <c r="D17" i="26"/>
  <c r="D13" i="15"/>
  <c r="E29" i="19"/>
  <c r="D17" i="13"/>
  <c r="E15" i="13"/>
  <c r="E25" i="13"/>
  <c r="C25" i="13"/>
  <c r="E26" i="13"/>
  <c r="C40" i="13"/>
  <c r="J40" i="13" s="1"/>
  <c r="G38" i="13"/>
  <c r="J38" i="13" s="1"/>
  <c r="D24" i="13"/>
  <c r="F18" i="13"/>
  <c r="E28" i="13"/>
  <c r="D29" i="13"/>
  <c r="I29" i="13" s="1"/>
  <c r="C27" i="20"/>
  <c r="G38" i="20"/>
  <c r="F26" i="20"/>
  <c r="I26" i="20" s="1"/>
  <c r="D16" i="20"/>
  <c r="D9" i="20"/>
  <c r="F28" i="20"/>
  <c r="C16" i="20"/>
  <c r="C9" i="20"/>
  <c r="C34" i="20"/>
  <c r="E39" i="20"/>
  <c r="C49" i="20"/>
  <c r="E40" i="20"/>
  <c r="E38" i="20"/>
  <c r="C48" i="20"/>
  <c r="E34" i="20"/>
  <c r="E25" i="20"/>
  <c r="D14" i="20"/>
  <c r="C39" i="20"/>
  <c r="F25" i="20"/>
  <c r="G24" i="20" s="1"/>
  <c r="E14" i="20"/>
  <c r="G40" i="20"/>
  <c r="C40" i="20"/>
  <c r="G39" i="20"/>
  <c r="D28" i="20"/>
  <c r="E17" i="20"/>
  <c r="C38" i="20"/>
  <c r="C46" i="20"/>
  <c r="C47" i="20" s="1"/>
  <c r="F24" i="26"/>
  <c r="E26" i="26"/>
  <c r="C24" i="26"/>
  <c r="D24" i="26"/>
  <c r="F28" i="16"/>
  <c r="E24" i="14"/>
  <c r="C28" i="4"/>
  <c r="E28" i="4"/>
  <c r="C26" i="4"/>
  <c r="G34" i="13"/>
  <c r="G39" i="13"/>
  <c r="E27" i="13"/>
  <c r="C27" i="13"/>
  <c r="E13" i="13"/>
  <c r="C25" i="20"/>
  <c r="E28" i="20"/>
  <c r="J38" i="12"/>
  <c r="I18" i="22"/>
  <c r="I17" i="25"/>
  <c r="I15" i="22"/>
  <c r="J39" i="12"/>
  <c r="J38" i="4"/>
  <c r="I28" i="24"/>
  <c r="I24" i="27"/>
  <c r="I14" i="23"/>
  <c r="F26" i="15"/>
  <c r="E17" i="15"/>
  <c r="F17" i="15"/>
  <c r="C39" i="15"/>
  <c r="G40" i="15"/>
  <c r="C25" i="15"/>
  <c r="B9" i="15"/>
  <c r="G34" i="15"/>
  <c r="D25" i="15"/>
  <c r="C16" i="15"/>
  <c r="C9" i="15"/>
  <c r="E38" i="15"/>
  <c r="G38" i="15"/>
  <c r="C38" i="15"/>
  <c r="F24" i="15"/>
  <c r="E15" i="15"/>
  <c r="D9" i="15"/>
  <c r="C28" i="15"/>
  <c r="F15" i="15"/>
  <c r="E9" i="15"/>
  <c r="D28" i="15"/>
  <c r="F9" i="15"/>
  <c r="E28" i="15"/>
  <c r="C14" i="15"/>
  <c r="F28" i="15"/>
  <c r="D14" i="15"/>
  <c r="E14" i="15"/>
  <c r="D26" i="15"/>
  <c r="C17" i="15"/>
  <c r="E26" i="15"/>
  <c r="D17" i="15"/>
  <c r="C48" i="15"/>
  <c r="C49" i="15"/>
  <c r="C40" i="15"/>
  <c r="G39" i="15"/>
  <c r="E40" i="15"/>
  <c r="E39" i="15"/>
  <c r="C46" i="15"/>
  <c r="C47" i="15" s="1"/>
  <c r="E34" i="15"/>
  <c r="C34" i="15"/>
  <c r="C18" i="15"/>
  <c r="G13" i="20"/>
  <c r="I27" i="20"/>
  <c r="I17" i="24"/>
  <c r="C29" i="26"/>
  <c r="D13" i="16"/>
  <c r="F25" i="16"/>
  <c r="F13" i="15"/>
  <c r="E18" i="15"/>
  <c r="D27" i="15"/>
  <c r="C26" i="14"/>
  <c r="C13" i="14"/>
  <c r="I18" i="21"/>
  <c r="C27" i="19"/>
  <c r="F14" i="19"/>
  <c r="D27" i="19"/>
  <c r="C18" i="19"/>
  <c r="C38" i="19"/>
  <c r="B9" i="19"/>
  <c r="G34" i="19"/>
  <c r="C48" i="19"/>
  <c r="C9" i="19"/>
  <c r="E34" i="19"/>
  <c r="C34" i="19"/>
  <c r="C25" i="19"/>
  <c r="D9" i="19"/>
  <c r="D25" i="19"/>
  <c r="C16" i="19"/>
  <c r="E9" i="19"/>
  <c r="E25" i="19"/>
  <c r="D16" i="19"/>
  <c r="F9" i="19"/>
  <c r="F25" i="19"/>
  <c r="E16" i="19"/>
  <c r="G40" i="19"/>
  <c r="C29" i="19"/>
  <c r="F16" i="19"/>
  <c r="E40" i="19"/>
  <c r="D29" i="19"/>
  <c r="C24" i="19"/>
  <c r="I24" i="19" s="1"/>
  <c r="C40" i="19"/>
  <c r="F28" i="19"/>
  <c r="D14" i="19"/>
  <c r="E14" i="19"/>
  <c r="G38" i="19"/>
  <c r="E39" i="19"/>
  <c r="G39" i="19"/>
  <c r="C39" i="19"/>
  <c r="E38" i="19"/>
  <c r="C49" i="19"/>
  <c r="C46" i="19"/>
  <c r="C47" i="19" s="1"/>
  <c r="F18" i="17"/>
  <c r="E13" i="17"/>
  <c r="C26" i="17"/>
  <c r="F13" i="17"/>
  <c r="E39" i="17"/>
  <c r="B9" i="17"/>
  <c r="C39" i="17"/>
  <c r="C9" i="17"/>
  <c r="C49" i="17"/>
  <c r="G39" i="17"/>
  <c r="C29" i="17"/>
  <c r="F16" i="17"/>
  <c r="D9" i="17"/>
  <c r="C48" i="17"/>
  <c r="D29" i="17"/>
  <c r="C24" i="17"/>
  <c r="E9" i="17"/>
  <c r="E29" i="17"/>
  <c r="D24" i="17"/>
  <c r="C15" i="17"/>
  <c r="F9" i="17"/>
  <c r="C34" i="17"/>
  <c r="F29" i="17"/>
  <c r="E24" i="17"/>
  <c r="D15" i="17"/>
  <c r="G38" i="17"/>
  <c r="C38" i="17"/>
  <c r="F24" i="17"/>
  <c r="E15" i="17"/>
  <c r="E40" i="17"/>
  <c r="C28" i="17"/>
  <c r="F15" i="17"/>
  <c r="C40" i="17"/>
  <c r="E27" i="17"/>
  <c r="D18" i="17"/>
  <c r="C13" i="17"/>
  <c r="F27" i="17"/>
  <c r="E18" i="17"/>
  <c r="D13" i="17"/>
  <c r="E38" i="17"/>
  <c r="G34" i="17"/>
  <c r="E34" i="17"/>
  <c r="C46" i="17"/>
  <c r="C47" i="17" s="1"/>
  <c r="G40" i="17"/>
  <c r="I15" i="21"/>
  <c r="I28" i="23"/>
  <c r="C13" i="26"/>
  <c r="D13" i="26"/>
  <c r="F18" i="26"/>
  <c r="C26" i="26"/>
  <c r="I29" i="25"/>
  <c r="C15" i="26"/>
  <c r="E24" i="26"/>
  <c r="E18" i="16"/>
  <c r="D27" i="16"/>
  <c r="D15" i="15"/>
  <c r="C24" i="15"/>
  <c r="F14" i="15"/>
  <c r="F15" i="14"/>
  <c r="F29" i="14"/>
  <c r="F16" i="14"/>
  <c r="D26" i="19"/>
  <c r="C14" i="17"/>
  <c r="C25" i="26"/>
  <c r="F9" i="26"/>
  <c r="D25" i="26"/>
  <c r="C16" i="26"/>
  <c r="C39" i="26"/>
  <c r="E25" i="26"/>
  <c r="D16" i="26"/>
  <c r="G38" i="26"/>
  <c r="E34" i="26"/>
  <c r="F25" i="26"/>
  <c r="E16" i="26"/>
  <c r="C40" i="26"/>
  <c r="D28" i="26"/>
  <c r="E39" i="26"/>
  <c r="E28" i="26"/>
  <c r="C14" i="26"/>
  <c r="F28" i="26"/>
  <c r="D14" i="26"/>
  <c r="C48" i="26"/>
  <c r="E14" i="26"/>
  <c r="C46" i="26"/>
  <c r="C47" i="26" s="1"/>
  <c r="C27" i="26"/>
  <c r="F14" i="26"/>
  <c r="B9" i="26"/>
  <c r="D27" i="26"/>
  <c r="C18" i="26"/>
  <c r="C9" i="26"/>
  <c r="C49" i="26"/>
  <c r="F26" i="26"/>
  <c r="E17" i="26"/>
  <c r="D9" i="26"/>
  <c r="F17" i="26"/>
  <c r="E9" i="26"/>
  <c r="C38" i="26"/>
  <c r="G40" i="26"/>
  <c r="E38" i="26"/>
  <c r="G34" i="26"/>
  <c r="E40" i="26"/>
  <c r="C34" i="26"/>
  <c r="G39" i="26"/>
  <c r="D26" i="16"/>
  <c r="C17" i="16"/>
  <c r="F9" i="16"/>
  <c r="E26" i="16"/>
  <c r="D17" i="16"/>
  <c r="C34" i="16"/>
  <c r="F26" i="16"/>
  <c r="E17" i="16"/>
  <c r="C40" i="16"/>
  <c r="F17" i="16"/>
  <c r="G39" i="16"/>
  <c r="E29" i="16"/>
  <c r="D24" i="16"/>
  <c r="C15" i="16"/>
  <c r="F29" i="16"/>
  <c r="E24" i="16"/>
  <c r="D15" i="16"/>
  <c r="F24" i="16"/>
  <c r="E15" i="16"/>
  <c r="C48" i="16"/>
  <c r="C28" i="16"/>
  <c r="F15" i="16"/>
  <c r="C49" i="16"/>
  <c r="D28" i="16"/>
  <c r="B9" i="16"/>
  <c r="E28" i="16"/>
  <c r="C14" i="16"/>
  <c r="C9" i="16"/>
  <c r="G34" i="16"/>
  <c r="F18" i="16"/>
  <c r="E13" i="16"/>
  <c r="D9" i="16"/>
  <c r="C26" i="16"/>
  <c r="F13" i="16"/>
  <c r="E40" i="16"/>
  <c r="C38" i="16"/>
  <c r="E34" i="16"/>
  <c r="E9" i="16"/>
  <c r="E38" i="16"/>
  <c r="G40" i="16"/>
  <c r="E39" i="16"/>
  <c r="C46" i="16"/>
  <c r="C47" i="16" s="1"/>
  <c r="G38" i="16"/>
  <c r="C39" i="16"/>
  <c r="I31" i="23"/>
  <c r="E24" i="15"/>
  <c r="F27" i="15"/>
  <c r="D16" i="15"/>
  <c r="D17" i="14"/>
  <c r="E13" i="14"/>
  <c r="D18" i="14"/>
  <c r="I15" i="20"/>
  <c r="I20" i="24"/>
  <c r="F13" i="26"/>
  <c r="C17" i="26"/>
  <c r="C28" i="26"/>
  <c r="F27" i="16"/>
  <c r="F14" i="16"/>
  <c r="C25" i="16"/>
  <c r="C26" i="15"/>
  <c r="D29" i="15"/>
  <c r="E25" i="15"/>
  <c r="I25" i="15" s="1"/>
  <c r="I29" i="22"/>
  <c r="I20" i="22"/>
  <c r="E26" i="14"/>
  <c r="C15" i="14"/>
  <c r="D15" i="19"/>
  <c r="C16" i="17"/>
  <c r="I24" i="21"/>
  <c r="I13" i="27"/>
  <c r="E13" i="15"/>
  <c r="F16" i="15"/>
  <c r="C25" i="14"/>
  <c r="F9" i="14"/>
  <c r="D25" i="14"/>
  <c r="C16" i="14"/>
  <c r="E34" i="14"/>
  <c r="E25" i="14"/>
  <c r="D16" i="14"/>
  <c r="C34" i="14"/>
  <c r="F25" i="14"/>
  <c r="E16" i="14"/>
  <c r="G38" i="14"/>
  <c r="C39" i="14"/>
  <c r="C49" i="14"/>
  <c r="D28" i="14"/>
  <c r="E28" i="14"/>
  <c r="C14" i="14"/>
  <c r="F28" i="14"/>
  <c r="D14" i="14"/>
  <c r="E14" i="14"/>
  <c r="C27" i="14"/>
  <c r="F14" i="14"/>
  <c r="B9" i="14"/>
  <c r="D27" i="14"/>
  <c r="C18" i="14"/>
  <c r="C9" i="14"/>
  <c r="G40" i="14"/>
  <c r="F26" i="14"/>
  <c r="E17" i="14"/>
  <c r="F13" i="14"/>
  <c r="D9" i="14"/>
  <c r="F17" i="14"/>
  <c r="E40" i="14"/>
  <c r="C38" i="14"/>
  <c r="E9" i="14"/>
  <c r="C48" i="14"/>
  <c r="C46" i="14"/>
  <c r="C47" i="14" s="1"/>
  <c r="G39" i="14"/>
  <c r="E39" i="14"/>
  <c r="E38" i="14"/>
  <c r="C40" i="14"/>
  <c r="G34" i="14"/>
  <c r="D24" i="14"/>
  <c r="I13" i="21"/>
  <c r="I14" i="21"/>
  <c r="I26" i="25"/>
  <c r="F15" i="26"/>
  <c r="I27" i="27"/>
  <c r="F16" i="16"/>
  <c r="C27" i="16"/>
  <c r="C15" i="15"/>
  <c r="D18" i="15"/>
  <c r="E15" i="14"/>
  <c r="E29" i="14"/>
  <c r="I27" i="21"/>
  <c r="F15" i="19"/>
  <c r="F29" i="19"/>
  <c r="E27" i="18"/>
  <c r="D18" i="18"/>
  <c r="C13" i="18"/>
  <c r="F9" i="18"/>
  <c r="F27" i="18"/>
  <c r="E18" i="18"/>
  <c r="D13" i="18"/>
  <c r="G39" i="18"/>
  <c r="G34" i="18"/>
  <c r="F18" i="18"/>
  <c r="E13" i="18"/>
  <c r="E34" i="18"/>
  <c r="C26" i="18"/>
  <c r="I26" i="18" s="1"/>
  <c r="F13" i="18"/>
  <c r="G40" i="18"/>
  <c r="E38" i="18"/>
  <c r="C34" i="18"/>
  <c r="I31" i="18"/>
  <c r="E25" i="18"/>
  <c r="D16" i="18"/>
  <c r="F25" i="18"/>
  <c r="E16" i="18"/>
  <c r="C29" i="18"/>
  <c r="F16" i="18"/>
  <c r="D29" i="18"/>
  <c r="C24" i="18"/>
  <c r="E29" i="18"/>
  <c r="D24" i="18"/>
  <c r="C15" i="18"/>
  <c r="B9" i="18"/>
  <c r="F29" i="18"/>
  <c r="E24" i="18"/>
  <c r="D15" i="18"/>
  <c r="C9" i="18"/>
  <c r="C27" i="18"/>
  <c r="F14" i="18"/>
  <c r="D9" i="18"/>
  <c r="D27" i="18"/>
  <c r="C18" i="18"/>
  <c r="E40" i="18"/>
  <c r="C40" i="18"/>
  <c r="C39" i="18"/>
  <c r="E39" i="18"/>
  <c r="C38" i="18"/>
  <c r="E9" i="18"/>
  <c r="C49" i="18"/>
  <c r="G38" i="18"/>
  <c r="C46" i="18"/>
  <c r="C47" i="18" s="1"/>
  <c r="C48" i="18"/>
  <c r="C18" i="17"/>
  <c r="E17" i="17"/>
  <c r="I17" i="17" s="1"/>
  <c r="D18" i="16"/>
  <c r="I31" i="16"/>
  <c r="F18" i="15"/>
  <c r="E27" i="15"/>
  <c r="C17" i="14"/>
  <c r="D13" i="14"/>
  <c r="D17" i="19"/>
  <c r="I17" i="19" s="1"/>
  <c r="E13" i="19"/>
  <c r="I13" i="19" s="1"/>
  <c r="F25" i="17"/>
  <c r="D14" i="17"/>
  <c r="I24" i="25"/>
  <c r="D29" i="26"/>
  <c r="I26" i="24"/>
  <c r="E27" i="16"/>
  <c r="E14" i="16"/>
  <c r="I25" i="23"/>
  <c r="D24" i="15"/>
  <c r="C29" i="15"/>
  <c r="G13" i="22"/>
  <c r="F24" i="14"/>
  <c r="E18" i="14"/>
  <c r="I24" i="20"/>
  <c r="E26" i="19"/>
  <c r="C15" i="19"/>
  <c r="C16" i="18"/>
  <c r="E28" i="18"/>
  <c r="I28" i="18" s="1"/>
  <c r="C17" i="18"/>
  <c r="I17" i="18" s="1"/>
  <c r="D27" i="17"/>
  <c r="F26" i="17"/>
  <c r="I26" i="17" s="1"/>
  <c r="C29" i="16"/>
  <c r="C16" i="16"/>
  <c r="E29" i="15"/>
  <c r="E16" i="15"/>
  <c r="D26" i="14"/>
  <c r="C24" i="14"/>
  <c r="I29" i="21"/>
  <c r="C14" i="19"/>
  <c r="C28" i="19"/>
  <c r="F18" i="19"/>
  <c r="I20" i="18"/>
  <c r="F14" i="17"/>
  <c r="C25" i="17"/>
  <c r="D28" i="17"/>
  <c r="G24" i="22" l="1"/>
  <c r="J39" i="22"/>
  <c r="I18" i="12"/>
  <c r="I18" i="20"/>
  <c r="I16" i="22"/>
  <c r="G16" i="21"/>
  <c r="I27" i="24"/>
  <c r="I31" i="22"/>
  <c r="I20" i="21"/>
  <c r="I25" i="22"/>
  <c r="I25" i="12"/>
  <c r="I26" i="21"/>
  <c r="I26" i="27"/>
  <c r="G27" i="13"/>
  <c r="I25" i="25"/>
  <c r="I15" i="25"/>
  <c r="I27" i="12"/>
  <c r="G24" i="12"/>
  <c r="I25" i="27"/>
  <c r="J40" i="27"/>
  <c r="G16" i="27"/>
  <c r="I29" i="27"/>
  <c r="I15" i="27"/>
  <c r="I13" i="26"/>
  <c r="I15" i="26"/>
  <c r="I18" i="25"/>
  <c r="G9" i="25"/>
  <c r="J39" i="23"/>
  <c r="G27" i="21"/>
  <c r="G13" i="21"/>
  <c r="G24" i="21"/>
  <c r="G27" i="20"/>
  <c r="I13" i="20"/>
  <c r="G24" i="13"/>
  <c r="I28" i="12"/>
  <c r="I24" i="12"/>
  <c r="I13" i="12"/>
  <c r="I20" i="12"/>
  <c r="I13" i="4"/>
  <c r="I14" i="4"/>
  <c r="I24" i="4"/>
  <c r="J39" i="4"/>
  <c r="G24" i="27"/>
  <c r="G9" i="27"/>
  <c r="J38" i="27"/>
  <c r="I14" i="27"/>
  <c r="I29" i="26"/>
  <c r="I27" i="26"/>
  <c r="G27" i="25"/>
  <c r="I16" i="25"/>
  <c r="G16" i="25"/>
  <c r="G13" i="25"/>
  <c r="G24" i="25"/>
  <c r="I31" i="25"/>
  <c r="I18" i="24"/>
  <c r="J38" i="24"/>
  <c r="G13" i="24"/>
  <c r="H38" i="23"/>
  <c r="I16" i="23"/>
  <c r="I29" i="19"/>
  <c r="G27" i="12"/>
  <c r="G9" i="12"/>
  <c r="I16" i="12"/>
  <c r="I18" i="27"/>
  <c r="G27" i="27"/>
  <c r="J39" i="25"/>
  <c r="G16" i="24"/>
  <c r="J40" i="24"/>
  <c r="I29" i="24"/>
  <c r="G27" i="24"/>
  <c r="G24" i="23"/>
  <c r="G16" i="23"/>
  <c r="G13" i="23"/>
  <c r="G27" i="23"/>
  <c r="I27" i="19"/>
  <c r="I18" i="19"/>
  <c r="I14" i="18"/>
  <c r="J39" i="13"/>
  <c r="I26" i="13"/>
  <c r="I25" i="4"/>
  <c r="I27" i="4"/>
  <c r="I18" i="4"/>
  <c r="I16" i="4"/>
  <c r="I15" i="4"/>
  <c r="I26" i="4"/>
  <c r="I17" i="4"/>
  <c r="I29" i="4"/>
  <c r="I31" i="4"/>
  <c r="J40" i="4"/>
  <c r="G9" i="4"/>
  <c r="I28" i="16"/>
  <c r="I31" i="15"/>
  <c r="I26" i="19"/>
  <c r="J39" i="27"/>
  <c r="I24" i="26"/>
  <c r="G24" i="4"/>
  <c r="I14" i="13"/>
  <c r="J40" i="17"/>
  <c r="I17" i="13"/>
  <c r="G16" i="4"/>
  <c r="I14" i="15"/>
  <c r="G13" i="13"/>
  <c r="I17" i="20"/>
  <c r="G27" i="4"/>
  <c r="I18" i="23"/>
  <c r="I28" i="13"/>
  <c r="I17" i="27"/>
  <c r="I29" i="15"/>
  <c r="I20" i="17"/>
  <c r="I13" i="13"/>
  <c r="I15" i="13"/>
  <c r="I18" i="13"/>
  <c r="G9" i="13"/>
  <c r="G16" i="13"/>
  <c r="I20" i="13"/>
  <c r="J39" i="26"/>
  <c r="I26" i="26"/>
  <c r="I31" i="13"/>
  <c r="J38" i="23"/>
  <c r="I27" i="14"/>
  <c r="I25" i="13"/>
  <c r="J39" i="24"/>
  <c r="G9" i="23"/>
  <c r="I29" i="23"/>
  <c r="I28" i="4"/>
  <c r="I16" i="20"/>
  <c r="I27" i="13"/>
  <c r="J38" i="20"/>
  <c r="G9" i="20"/>
  <c r="I18" i="15"/>
  <c r="I28" i="20"/>
  <c r="I27" i="25"/>
  <c r="G13" i="4"/>
  <c r="G16" i="20"/>
  <c r="J40" i="25"/>
  <c r="I31" i="20"/>
  <c r="I14" i="20"/>
  <c r="I13" i="18"/>
  <c r="J39" i="20"/>
  <c r="J39" i="19"/>
  <c r="I24" i="13"/>
  <c r="I16" i="13"/>
  <c r="I15" i="18"/>
  <c r="I25" i="20"/>
  <c r="J40" i="20"/>
  <c r="I20" i="20"/>
  <c r="I24" i="18"/>
  <c r="J39" i="14"/>
  <c r="I15" i="17"/>
  <c r="I16" i="19"/>
  <c r="I31" i="14"/>
  <c r="I20" i="16"/>
  <c r="I18" i="14"/>
  <c r="I25" i="18"/>
  <c r="I29" i="18"/>
  <c r="I14" i="14"/>
  <c r="J38" i="16"/>
  <c r="I28" i="17"/>
  <c r="I25" i="17"/>
  <c r="J40" i="16"/>
  <c r="I26" i="16"/>
  <c r="J40" i="26"/>
  <c r="I25" i="19"/>
  <c r="I16" i="26"/>
  <c r="J38" i="17"/>
  <c r="J39" i="18"/>
  <c r="I31" i="26"/>
  <c r="J39" i="15"/>
  <c r="I28" i="15"/>
  <c r="I24" i="15"/>
  <c r="J40" i="15"/>
  <c r="I24" i="16"/>
  <c r="I13" i="15"/>
  <c r="I14" i="26"/>
  <c r="I14" i="19"/>
  <c r="J38" i="15"/>
  <c r="I17" i="15"/>
  <c r="I27" i="18"/>
  <c r="J38" i="19"/>
  <c r="J40" i="19"/>
  <c r="I25" i="16"/>
  <c r="G9" i="18"/>
  <c r="G24" i="18"/>
  <c r="G16" i="18"/>
  <c r="G13" i="18"/>
  <c r="G27" i="18"/>
  <c r="I17" i="14"/>
  <c r="G9" i="14"/>
  <c r="G27" i="14"/>
  <c r="G13" i="14"/>
  <c r="G16" i="14"/>
  <c r="G24" i="14"/>
  <c r="I29" i="16"/>
  <c r="I17" i="26"/>
  <c r="I24" i="17"/>
  <c r="I13" i="17"/>
  <c r="G13" i="15"/>
  <c r="G16" i="15"/>
  <c r="G9" i="15"/>
  <c r="G27" i="15"/>
  <c r="G24" i="15"/>
  <c r="J40" i="18"/>
  <c r="J38" i="14"/>
  <c r="I27" i="15"/>
  <c r="G9" i="16"/>
  <c r="G13" i="16"/>
  <c r="G16" i="16"/>
  <c r="G24" i="16"/>
  <c r="G27" i="16"/>
  <c r="G9" i="26"/>
  <c r="G24" i="26"/>
  <c r="G16" i="26"/>
  <c r="G27" i="26"/>
  <c r="G13" i="26"/>
  <c r="I20" i="19"/>
  <c r="I26" i="15"/>
  <c r="I20" i="14"/>
  <c r="I20" i="26"/>
  <c r="I16" i="14"/>
  <c r="G24" i="19"/>
  <c r="G16" i="19"/>
  <c r="G13" i="19"/>
  <c r="G9" i="19"/>
  <c r="G27" i="19"/>
  <c r="I16" i="16"/>
  <c r="I13" i="14"/>
  <c r="I25" i="14"/>
  <c r="I13" i="16"/>
  <c r="I25" i="26"/>
  <c r="I29" i="14"/>
  <c r="I27" i="17"/>
  <c r="I18" i="17"/>
  <c r="I16" i="18"/>
  <c r="I16" i="15"/>
  <c r="J39" i="16"/>
  <c r="I15" i="14"/>
  <c r="I18" i="26"/>
  <c r="I16" i="17"/>
  <c r="I28" i="19"/>
  <c r="I15" i="15"/>
  <c r="I24" i="14"/>
  <c r="J38" i="18"/>
  <c r="I26" i="14"/>
  <c r="I28" i="14"/>
  <c r="I15" i="16"/>
  <c r="I17" i="16"/>
  <c r="J38" i="26"/>
  <c r="I29" i="17"/>
  <c r="I31" i="19"/>
  <c r="I20" i="15"/>
  <c r="I14" i="17"/>
  <c r="I18" i="18"/>
  <c r="I15" i="19"/>
  <c r="J40" i="14"/>
  <c r="I14" i="16"/>
  <c r="I28" i="26"/>
  <c r="J39" i="17"/>
  <c r="I27" i="16"/>
  <c r="I18" i="16"/>
  <c r="I31" i="17"/>
  <c r="G24" i="17"/>
  <c r="G9" i="17"/>
  <c r="G13" i="17"/>
  <c r="G27" i="17"/>
  <c r="G16" i="17"/>
</calcChain>
</file>

<file path=xl/sharedStrings.xml><?xml version="1.0" encoding="utf-8"?>
<sst xmlns="http://schemas.openxmlformats.org/spreadsheetml/2006/main" count="1243" uniqueCount="106">
  <si>
    <t>Year</t>
  </si>
  <si>
    <t>Report Start Date</t>
  </si>
  <si>
    <t>Report End Date</t>
  </si>
  <si>
    <t>1. Age and sex distribution of tested patients</t>
  </si>
  <si>
    <t>Male</t>
  </si>
  <si>
    <t>Female</t>
  </si>
  <si>
    <t>&lt;15</t>
  </si>
  <si>
    <t>&gt;=15</t>
  </si>
  <si>
    <t>Total</t>
  </si>
  <si>
    <t>#</t>
  </si>
  <si>
    <t>Patient ID</t>
  </si>
  <si>
    <t>Sample ID</t>
  </si>
  <si>
    <t>Test Date</t>
  </si>
  <si>
    <t>MTB</t>
  </si>
  <si>
    <t>Rif</t>
  </si>
  <si>
    <t>HIV</t>
  </si>
  <si>
    <t>Gender</t>
  </si>
  <si>
    <t>Age</t>
  </si>
  <si>
    <t>Previously Treated for TB</t>
  </si>
  <si>
    <t>Microscopy Result</t>
  </si>
  <si>
    <t>Test Notes</t>
  </si>
  <si>
    <t>Negative</t>
  </si>
  <si>
    <t>2. Test results and previous history of TB</t>
  </si>
  <si>
    <t>New</t>
  </si>
  <si>
    <t>Retreatment</t>
  </si>
  <si>
    <t>Unknown</t>
  </si>
  <si>
    <t>Sputum microscopy</t>
  </si>
  <si>
    <t>Xpert MTB/RIF</t>
  </si>
  <si>
    <t>AFB (Positive)</t>
  </si>
  <si>
    <t>AFB (Negative)</t>
  </si>
  <si>
    <t>Not Done</t>
  </si>
  <si>
    <t>TB with NO RIF- Resistance</t>
  </si>
  <si>
    <t>TB with RIF- Resistance</t>
  </si>
  <si>
    <t>TB with RIF- Indeterminate</t>
  </si>
  <si>
    <t>3. Test results and HIV status</t>
  </si>
  <si>
    <t>HIV
(+)</t>
  </si>
  <si>
    <t>HIV
(-)</t>
  </si>
  <si>
    <t>4. TB with Rif-Resistance detected</t>
  </si>
  <si>
    <t>5. Compare with sputum microscopy</t>
  </si>
  <si>
    <t>Xpert Negative</t>
  </si>
  <si>
    <t>Xpert Positive</t>
  </si>
  <si>
    <t>Microscopy AFB (Positive)</t>
  </si>
  <si>
    <t>Microscopy AFB (Negative)</t>
  </si>
  <si>
    <t>Microscopy AFB (Not Done)</t>
  </si>
  <si>
    <t>6. Test kit Balance</t>
  </si>
  <si>
    <t>Amount</t>
  </si>
  <si>
    <t>Expire date</t>
  </si>
  <si>
    <t>Opening balance</t>
  </si>
  <si>
    <t>Received during this month</t>
  </si>
  <si>
    <t>Used</t>
  </si>
  <si>
    <t>Closing balance</t>
  </si>
  <si>
    <t>Remark : Error and Invalid result Cartridge</t>
  </si>
  <si>
    <t xml:space="preserve">Sign                      </t>
  </si>
  <si>
    <t xml:space="preserve">Name                  </t>
  </si>
  <si>
    <t xml:space="preserve">Designation       </t>
  </si>
  <si>
    <t xml:space="preserve">Date                      </t>
  </si>
  <si>
    <t>Reporting Unit</t>
  </si>
  <si>
    <t>January</t>
  </si>
  <si>
    <t>DD/MM/YYYY</t>
  </si>
  <si>
    <t>March</t>
  </si>
  <si>
    <t>February</t>
  </si>
  <si>
    <t xml:space="preserve">Monthly report for the month of </t>
  </si>
  <si>
    <t>Reporting Period</t>
  </si>
  <si>
    <t>1st Quarter</t>
  </si>
  <si>
    <t>April</t>
  </si>
  <si>
    <t>May</t>
  </si>
  <si>
    <t>June</t>
  </si>
  <si>
    <t>2nd Quarter</t>
  </si>
  <si>
    <t>July</t>
  </si>
  <si>
    <t>August</t>
  </si>
  <si>
    <t>September</t>
  </si>
  <si>
    <t>3rd Quarter</t>
  </si>
  <si>
    <t>October</t>
  </si>
  <si>
    <t>November</t>
  </si>
  <si>
    <t>December</t>
  </si>
  <si>
    <t>4th Quarter</t>
  </si>
  <si>
    <t>Annual</t>
  </si>
  <si>
    <t>GeneXpert MTB/RIF Testing Report</t>
  </si>
  <si>
    <t/>
  </si>
  <si>
    <t xml:space="preserve">                   No Results or Damaged Cartridge</t>
  </si>
  <si>
    <t>Patient City</t>
  </si>
  <si>
    <t>Treatment Unit</t>
  </si>
  <si>
    <t>Test Reason</t>
  </si>
  <si>
    <t>Error Code</t>
  </si>
  <si>
    <t>&lt;Table&gt;</t>
  </si>
  <si>
    <t>Device</t>
  </si>
  <si>
    <t>&lt;deviceName&gt;</t>
  </si>
  <si>
    <t>&lt;sampleId&gt;</t>
  </si>
  <si>
    <t>&lt;#&gt;</t>
  </si>
  <si>
    <t>&lt;errorCode&gt;</t>
  </si>
  <si>
    <t>&lt;patientId&gt;</t>
  </si>
  <si>
    <t>&lt;notes&gt;</t>
  </si>
  <si>
    <t>&lt;errorNotes&gt;</t>
  </si>
  <si>
    <t>Error Notes</t>
  </si>
  <si>
    <t>&lt;testDate&gt;</t>
  </si>
  <si>
    <t>&lt;result1&gt;</t>
  </si>
  <si>
    <t>&lt;result2&gt;</t>
  </si>
  <si>
    <t>&lt;patientAgeYears&gt;</t>
  </si>
  <si>
    <t>&lt;previouslyTreated&gt;</t>
  </si>
  <si>
    <t>&lt;gender&gt;</t>
  </si>
  <si>
    <t>&lt;patientCity&gt;</t>
  </si>
  <si>
    <t>&lt;microscopyResult&gt;</t>
  </si>
  <si>
    <t>&lt;testReason&gt;</t>
  </si>
  <si>
    <t>&lt;tag&gt;</t>
  </si>
  <si>
    <t>&lt;hivStatus&gt;</t>
  </si>
  <si>
    <t>TB Trace with RIF- Indeterminate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</si>
</sst>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-mm\-yy;@"/>
    <numFmt numFmtId="165" formatCode="[$-10455]dd\-mm\-yyyy;@"/>
  </numFmts>
  <fonts count="10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3" fillId="0" borderId="0"/>
    <xf numFmtId="0" fontId="5" fillId="0" borderId="0"/>
    <xf numFmtId="0" fontId="5" fillId="0" borderId="0" applyNumberFormat="0" applyFill="0" applyAlignment="0" applyProtection="0"/>
    <xf numFmtId="0" fontId="5" fillId="0" borderId="0" applyNumberFormat="0" applyFill="0" applyAlignment="0" applyProtection="0"/>
  </cellStyleXfs>
  <cellXfs count="58">
    <xf numFmtId="0" fontId="0" fillId="0" borderId="0" xfId="0"/>
    <xf numFmtId="0" fontId="4" fillId="3" borderId="7" xfId="1" applyFont="1" applyFill="1" applyBorder="1" applyAlignment="1">
      <alignment horizontal="center" vertical="center"/>
    </xf>
    <xf numFmtId="0" fontId="4" fillId="3" borderId="8" xfId="1" applyFont="1" applyFill="1" applyBorder="1" applyAlignment="1">
      <alignment horizontal="center" vertical="center"/>
    </xf>
    <xf numFmtId="0" fontId="4" fillId="3" borderId="8" xfId="1" applyFont="1" applyFill="1" applyBorder="1" applyAlignment="1">
      <alignment horizontal="center" vertical="center" wrapText="1"/>
    </xf>
    <xf numFmtId="0" fontId="3" fillId="0" borderId="0" xfId="1" applyAlignment="1">
      <alignment horizontal="center"/>
    </xf>
    <xf numFmtId="0" fontId="3" fillId="0" borderId="0" xfId="1"/>
    <xf numFmtId="0" fontId="0" fillId="0" borderId="0" xfId="0" applyAlignment="1">
      <alignment horizontal="center"/>
    </xf>
    <xf numFmtId="0" fontId="2" fillId="0" borderId="0" xfId="0" applyFont="1"/>
    <xf numFmtId="0" fontId="2" fillId="2" borderId="0" xfId="0" applyFont="1" applyFill="1" applyAlignment="1">
      <alignment horizontal="right"/>
    </xf>
    <xf numFmtId="0" fontId="7" fillId="2" borderId="0" xfId="0" applyFont="1" applyFill="1"/>
    <xf numFmtId="16" fontId="2" fillId="0" borderId="0" xfId="0" applyNumberFormat="1" applyFont="1"/>
    <xf numFmtId="0" fontId="7" fillId="0" borderId="0" xfId="0" applyFont="1"/>
    <xf numFmtId="14" fontId="2" fillId="0" borderId="0" xfId="0" applyNumberFormat="1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0" xfId="0" applyFont="1" applyProtection="1">
      <protection hidden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1" fontId="0" fillId="0" borderId="1" xfId="1" applyNumberFormat="1" applyFont="1" applyBorder="1" applyAlignment="1">
      <alignment horizontal="center"/>
    </xf>
    <xf numFmtId="0" fontId="2" fillId="0" borderId="0" xfId="0" applyFont="1" applyProtection="1">
      <protection locked="0"/>
    </xf>
    <xf numFmtId="0" fontId="2" fillId="0" borderId="1" xfId="0" applyFont="1" applyBorder="1" applyProtection="1">
      <protection locked="0"/>
    </xf>
    <xf numFmtId="0" fontId="2" fillId="0" borderId="3" xfId="0" applyFont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left"/>
      <protection locked="0"/>
    </xf>
    <xf numFmtId="0" fontId="6" fillId="0" borderId="0" xfId="0" applyFont="1" applyProtection="1">
      <protection locked="0"/>
    </xf>
    <xf numFmtId="0" fontId="2" fillId="0" borderId="6" xfId="0" applyFont="1" applyBorder="1" applyProtection="1">
      <protection locked="0"/>
    </xf>
    <xf numFmtId="0" fontId="2" fillId="0" borderId="5" xfId="0" applyFont="1" applyBorder="1" applyProtection="1">
      <protection locked="0"/>
    </xf>
    <xf numFmtId="0" fontId="9" fillId="0" borderId="0" xfId="0" applyFont="1"/>
    <xf numFmtId="0" fontId="1" fillId="0" borderId="0" xfId="0" applyFont="1"/>
    <xf numFmtId="164" fontId="3" fillId="0" borderId="0" xfId="1" applyNumberFormat="1"/>
    <xf numFmtId="164" fontId="4" fillId="3" borderId="8" xfId="1" applyNumberFormat="1" applyFont="1" applyFill="1" applyBorder="1" applyAlignment="1">
      <alignment horizontal="center" vertical="center"/>
    </xf>
    <xf numFmtId="164" fontId="0" fillId="0" borderId="1" xfId="1" applyNumberFormat="1" applyFont="1" applyBorder="1"/>
    <xf numFmtId="164" fontId="0" fillId="0" borderId="0" xfId="0" applyNumberFormat="1"/>
    <xf numFmtId="165" fontId="7" fillId="0" borderId="1" xfId="0" applyNumberFormat="1" applyFont="1" applyBorder="1"/>
    <xf numFmtId="0" fontId="0" fillId="0" borderId="0" xfId="0" applyAlignment="1">
      <alignment horizontal="left"/>
    </xf>
    <xf numFmtId="0" fontId="0" fillId="0" borderId="1" xfId="1" applyFont="1" applyBorder="1"/>
    <xf numFmtId="0" fontId="0" fillId="0" borderId="9" xfId="1" applyFont="1" applyBorder="1" applyAlignment="1">
      <alignment horizontal="center"/>
    </xf>
    <xf numFmtId="1" fontId="0" fillId="0" borderId="1" xfId="1" applyNumberFormat="1" applyFont="1" applyBorder="1"/>
    <xf numFmtId="0" fontId="2" fillId="0" borderId="3" xfId="0" applyFont="1" applyBorder="1" applyAlignment="1" applyProtection="1">
      <alignment horizontal="center"/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2" xfId="0" applyFont="1" applyBorder="1" applyAlignment="1" applyProtection="1">
      <alignment horizontal="center" vertical="center" wrapText="1"/>
      <protection hidden="1"/>
    </xf>
    <xf numFmtId="0" fontId="2" fillId="0" borderId="0" xfId="0" applyFont="1" applyAlignment="1" applyProtection="1">
      <alignment horizontal="center" vertical="center" wrapText="1"/>
      <protection hidden="1"/>
    </xf>
    <xf numFmtId="0" fontId="1" fillId="0" borderId="1" xfId="0" applyFont="1" applyBorder="1"/>
  </cellXfs>
  <cellStyles count="5">
    <cellStyle name="Normal" xfId="0" builtinId="0"/>
    <cellStyle name="Normal 10" xfId="3"/>
    <cellStyle name="Normal 2" xfId="1"/>
    <cellStyle name="Normal 3" xfId="2"/>
    <cellStyle name="Normal 8" xfId="4"/>
  </cellStyles>
  <dxfs count="15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54"/>
      <tableStyleElement type="headerRow" dxfId="15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"/>
  <sheetViews>
    <sheetView workbookViewId="0">
      <pane ySplit="1" topLeftCell="A2" activePane="bottomLeft" state="frozen"/>
      <selection pane="bottomLeft"/>
    </sheetView>
  </sheetViews>
  <sheetFormatPr defaultColWidth="8.8984375" defaultRowHeight="15.6" x14ac:dyDescent="0.3"/>
  <cols>
    <col min="1" max="1" width="6.59765625" customWidth="1"/>
    <col min="2" max="2" width="21.296875" customWidth="1"/>
    <col min="3" max="3" width="20.296875" customWidth="1"/>
    <col min="4" max="4" width="24.5" customWidth="1"/>
    <col min="5" max="5" width="16.296875" style="34" customWidth="1"/>
    <col min="6" max="6" width="12.59765625" customWidth="1"/>
    <col min="7" max="9" width="14.59765625" customWidth="1"/>
    <col min="10" max="10" width="13.796875" style="6" customWidth="1"/>
    <col min="11" max="17" width="14.59765625" customWidth="1"/>
    <col min="18" max="18" width="53.09765625" customWidth="1"/>
  </cols>
  <sheetData>
    <row r="1" spans="1:18" ht="16.2" thickBot="1" x14ac:dyDescent="0.35">
      <c r="A1" s="36" t="s">
        <v>84</v>
      </c>
      <c r="B1" s="5"/>
      <c r="C1" s="5"/>
      <c r="D1" s="5"/>
      <c r="E1" s="31"/>
      <c r="F1" s="5"/>
      <c r="G1" s="5"/>
      <c r="H1" s="5"/>
      <c r="I1" s="5"/>
      <c r="J1" s="4"/>
      <c r="K1" s="5"/>
      <c r="L1" s="5"/>
      <c r="M1" s="5"/>
      <c r="N1" s="5"/>
      <c r="O1" s="5"/>
      <c r="P1" s="5"/>
      <c r="Q1" s="5"/>
      <c r="R1" s="4"/>
    </row>
    <row r="2" spans="1:18" ht="31.2" x14ac:dyDescent="0.3">
      <c r="A2" s="1" t="s">
        <v>9</v>
      </c>
      <c r="B2" s="2" t="s">
        <v>10</v>
      </c>
      <c r="C2" s="2" t="s">
        <v>11</v>
      </c>
      <c r="D2" s="3" t="s">
        <v>85</v>
      </c>
      <c r="E2" s="3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s="2" t="s">
        <v>17</v>
      </c>
      <c r="K2" s="3" t="s">
        <v>18</v>
      </c>
      <c r="L2" s="3" t="s">
        <v>19</v>
      </c>
      <c r="M2" s="3" t="s">
        <v>80</v>
      </c>
      <c r="N2" s="3" t="s">
        <v>81</v>
      </c>
      <c r="O2" s="3" t="s">
        <v>82</v>
      </c>
      <c r="P2" s="3" t="s">
        <v>83</v>
      </c>
      <c r="Q2" s="3" t="s">
        <v>93</v>
      </c>
      <c r="R2" s="2" t="s">
        <v>20</v>
      </c>
    </row>
    <row r="3" spans="1:18" ht="15.6" customHeight="1" x14ac:dyDescent="0.3">
      <c r="A3" s="38" t="s">
        <v>88</v>
      </c>
      <c r="B3" s="37" t="s">
        <v>90</v>
      </c>
      <c r="C3" s="37" t="s">
        <v>87</v>
      </c>
      <c r="D3" s="37" t="s">
        <v>86</v>
      </c>
      <c r="E3" s="33" t="s">
        <v>94</v>
      </c>
      <c r="F3" s="37" t="s">
        <v>95</v>
      </c>
      <c r="G3" s="37" t="s">
        <v>96</v>
      </c>
      <c r="H3" s="37" t="s">
        <v>104</v>
      </c>
      <c r="I3" s="37" t="s">
        <v>99</v>
      </c>
      <c r="J3" s="21" t="s">
        <v>97</v>
      </c>
      <c r="K3" s="37" t="s">
        <v>98</v>
      </c>
      <c r="L3" s="37" t="s">
        <v>101</v>
      </c>
      <c r="M3" s="39" t="s">
        <v>100</v>
      </c>
      <c r="N3" s="39" t="s">
        <v>103</v>
      </c>
      <c r="O3" s="37" t="s">
        <v>102</v>
      </c>
      <c r="P3" s="37" t="s">
        <v>89</v>
      </c>
      <c r="Q3" s="37" t="s">
        <v>92</v>
      </c>
      <c r="R3" s="37" t="s">
        <v>91</v>
      </c>
    </row>
  </sheetData>
  <pageMargins left="0.7" right="0.5" top="0.5" bottom="0.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abSelected="1" topLeftCell="A7" zoomScaleNormal="100" zoomScaleSheetLayoutView="55" workbookViewId="0">
      <selection activeCell="F31" sqref="F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1, 1)</f>
        <v>#VALUE!</v>
      </c>
      <c r="K2" s="10"/>
    </row>
    <row r="3" spans="1:15" x14ac:dyDescent="0.3">
      <c r="A3" s="7" t="s">
        <v>61</v>
      </c>
      <c r="C3" s="11" t="s">
        <v>57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  <c r="F4" s="30"/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A1:F1"/>
    <mergeCell ref="B7:C7"/>
    <mergeCell ref="D7:E7"/>
    <mergeCell ref="F7:F8"/>
    <mergeCell ref="A7:A8"/>
    <mergeCell ref="C33:D33"/>
    <mergeCell ref="E33:F33"/>
    <mergeCell ref="C37:D37"/>
    <mergeCell ref="E37:F37"/>
    <mergeCell ref="A13:A15"/>
    <mergeCell ref="A16:A20"/>
    <mergeCell ref="A24:A26"/>
    <mergeCell ref="A27:A31"/>
    <mergeCell ref="C43:D43"/>
    <mergeCell ref="E43:F43"/>
    <mergeCell ref="C34:D34"/>
    <mergeCell ref="E34:F34"/>
    <mergeCell ref="C38:D38"/>
    <mergeCell ref="C39:D39"/>
    <mergeCell ref="C40:D40"/>
    <mergeCell ref="E38:F38"/>
    <mergeCell ref="E39:F39"/>
    <mergeCell ref="E40:F40"/>
    <mergeCell ref="C47:D47"/>
    <mergeCell ref="E47:F47"/>
    <mergeCell ref="C44:D44"/>
    <mergeCell ref="E44:F44"/>
    <mergeCell ref="C45:D45"/>
    <mergeCell ref="E45:F45"/>
    <mergeCell ref="C46:D46"/>
    <mergeCell ref="E46:F46"/>
  </mergeCells>
  <conditionalFormatting sqref="G9">
    <cfRule type="notContainsBlanks" dxfId="152" priority="8">
      <formula>LEN(TRIM(G9))&gt;0</formula>
    </cfRule>
  </conditionalFormatting>
  <conditionalFormatting sqref="G13">
    <cfRule type="notContainsBlanks" dxfId="151" priority="12">
      <formula>LEN(TRIM(G13))&gt;0</formula>
    </cfRule>
  </conditionalFormatting>
  <conditionalFormatting sqref="G16">
    <cfRule type="notContainsBlanks" dxfId="150" priority="13">
      <formula>LEN(TRIM(G16))&gt;0</formula>
    </cfRule>
  </conditionalFormatting>
  <conditionalFormatting sqref="G24">
    <cfRule type="notContainsBlanks" dxfId="149" priority="14">
      <formula>LEN(TRIM(G24))&gt;0</formula>
    </cfRule>
  </conditionalFormatting>
  <conditionalFormatting sqref="G27">
    <cfRule type="notContainsBlanks" dxfId="148" priority="15">
      <formula>LEN(TRIM(G27))&gt;0</formula>
    </cfRule>
  </conditionalFormatting>
  <conditionalFormatting sqref="H38">
    <cfRule type="notContainsBlanks" dxfId="147" priority="9">
      <formula>LEN(TRIM(H38))&gt;0</formula>
    </cfRule>
  </conditionalFormatting>
  <conditionalFormatting sqref="I13:I20">
    <cfRule type="notContainsBlanks" dxfId="146" priority="10">
      <formula>LEN(TRIM(I13))&gt;0</formula>
    </cfRule>
  </conditionalFormatting>
  <conditionalFormatting sqref="I24:I31">
    <cfRule type="notContainsBlanks" dxfId="145" priority="1">
      <formula>LEN(TRIM(I24))&gt;0</formula>
    </cfRule>
  </conditionalFormatting>
  <conditionalFormatting sqref="J38:J40">
    <cfRule type="notContainsBlanks" dxfId="144" priority="17">
      <formula>LEN(TRIM(J38))&gt;0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0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2, 1)</f>
        <v>#VALUE!</v>
      </c>
      <c r="K2" s="10"/>
    </row>
    <row r="3" spans="1:15" x14ac:dyDescent="0.3">
      <c r="A3" s="7" t="s">
        <v>61</v>
      </c>
      <c r="C3" s="11" t="s">
        <v>60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143" priority="9">
      <formula>LEN(TRIM(G9))&gt;0</formula>
    </cfRule>
  </conditionalFormatting>
  <conditionalFormatting sqref="G13">
    <cfRule type="notContainsBlanks" dxfId="142" priority="13">
      <formula>LEN(TRIM(G13))&gt;0</formula>
    </cfRule>
  </conditionalFormatting>
  <conditionalFormatting sqref="G16">
    <cfRule type="notContainsBlanks" dxfId="141" priority="14">
      <formula>LEN(TRIM(G16))&gt;0</formula>
    </cfRule>
  </conditionalFormatting>
  <conditionalFormatting sqref="G24">
    <cfRule type="notContainsBlanks" dxfId="140" priority="15">
      <formula>LEN(TRIM(G24))&gt;0</formula>
    </cfRule>
  </conditionalFormatting>
  <conditionalFormatting sqref="G27">
    <cfRule type="notContainsBlanks" dxfId="139" priority="16">
      <formula>LEN(TRIM(G27))&gt;0</formula>
    </cfRule>
  </conditionalFormatting>
  <conditionalFormatting sqref="H38">
    <cfRule type="notContainsBlanks" dxfId="138" priority="10">
      <formula>LEN(TRIM(H38))&gt;0</formula>
    </cfRule>
  </conditionalFormatting>
  <conditionalFormatting sqref="I13:I20">
    <cfRule type="notContainsBlanks" dxfId="137" priority="8">
      <formula>LEN(TRIM(I13))&gt;0</formula>
    </cfRule>
  </conditionalFormatting>
  <conditionalFormatting sqref="I24:I31">
    <cfRule type="notContainsBlanks" dxfId="136" priority="1">
      <formula>LEN(TRIM(I24))&gt;0</formula>
    </cfRule>
  </conditionalFormatting>
  <conditionalFormatting sqref="J38:J40">
    <cfRule type="notContainsBlanks" dxfId="135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3" workbookViewId="0">
      <selection activeCell="F31" sqref="F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3, 1)</f>
        <v>#VALUE!</v>
      </c>
      <c r="K2" s="10"/>
    </row>
    <row r="3" spans="1:15" x14ac:dyDescent="0.3">
      <c r="A3" s="7" t="s">
        <v>61</v>
      </c>
      <c r="C3" s="11" t="s">
        <v>59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134" priority="9">
      <formula>LEN(TRIM(G9))&gt;0</formula>
    </cfRule>
  </conditionalFormatting>
  <conditionalFormatting sqref="G13">
    <cfRule type="notContainsBlanks" dxfId="133" priority="13">
      <formula>LEN(TRIM(G13))&gt;0</formula>
    </cfRule>
  </conditionalFormatting>
  <conditionalFormatting sqref="G16">
    <cfRule type="notContainsBlanks" dxfId="132" priority="14">
      <formula>LEN(TRIM(G16))&gt;0</formula>
    </cfRule>
  </conditionalFormatting>
  <conditionalFormatting sqref="G24">
    <cfRule type="notContainsBlanks" dxfId="131" priority="15">
      <formula>LEN(TRIM(G24))&gt;0</formula>
    </cfRule>
  </conditionalFormatting>
  <conditionalFormatting sqref="G27">
    <cfRule type="notContainsBlanks" dxfId="130" priority="16">
      <formula>LEN(TRIM(G27))&gt;0</formula>
    </cfRule>
  </conditionalFormatting>
  <conditionalFormatting sqref="H38">
    <cfRule type="notContainsBlanks" dxfId="129" priority="10">
      <formula>LEN(TRIM(H38))&gt;0</formula>
    </cfRule>
  </conditionalFormatting>
  <conditionalFormatting sqref="I13:I20">
    <cfRule type="notContainsBlanks" dxfId="128" priority="8">
      <formula>LEN(TRIM(I13))&gt;0</formula>
    </cfRule>
  </conditionalFormatting>
  <conditionalFormatting sqref="I24:I31">
    <cfRule type="notContainsBlanks" dxfId="127" priority="1">
      <formula>LEN(TRIM(I24))&gt;0</formula>
    </cfRule>
  </conditionalFormatting>
  <conditionalFormatting sqref="J38:J40">
    <cfRule type="notContainsBlanks" dxfId="126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3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1, 1)</f>
        <v>#VALUE!</v>
      </c>
      <c r="K2" s="10"/>
    </row>
    <row r="3" spans="1:15" x14ac:dyDescent="0.3">
      <c r="A3" s="7" t="s">
        <v>62</v>
      </c>
      <c r="C3" s="11" t="s">
        <v>63</v>
      </c>
      <c r="E3" s="7" t="s">
        <v>0</v>
      </c>
      <c r="F3" s="11" t="e">
        <f>YEAR(Results!E3)</f>
        <v>#VALUE!</v>
      </c>
      <c r="H3" s="9" t="s">
        <v>2</v>
      </c>
      <c r="I3" s="35" t="e">
        <f>EOMONTH(I2,2)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ht="15.75" customHeight="1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31.5" customHeight="1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A1:F1"/>
    <mergeCell ref="C33:D33"/>
    <mergeCell ref="E33:F33"/>
    <mergeCell ref="A7:A8"/>
    <mergeCell ref="C46:D46"/>
    <mergeCell ref="E46:F46"/>
    <mergeCell ref="C44:D44"/>
    <mergeCell ref="E44:F44"/>
    <mergeCell ref="C43:D43"/>
    <mergeCell ref="E43:F43"/>
    <mergeCell ref="B7:C7"/>
    <mergeCell ref="D7:E7"/>
    <mergeCell ref="F7:F8"/>
    <mergeCell ref="A13:A15"/>
    <mergeCell ref="A16:A20"/>
    <mergeCell ref="C47:D47"/>
    <mergeCell ref="E47:F47"/>
    <mergeCell ref="A24:A26"/>
    <mergeCell ref="A27:A31"/>
    <mergeCell ref="C34:D34"/>
    <mergeCell ref="E34:F34"/>
    <mergeCell ref="C40:D40"/>
    <mergeCell ref="E40:F40"/>
    <mergeCell ref="C37:D37"/>
    <mergeCell ref="E37:F37"/>
    <mergeCell ref="C38:D38"/>
    <mergeCell ref="E38:F38"/>
    <mergeCell ref="C39:D39"/>
    <mergeCell ref="E39:F39"/>
    <mergeCell ref="C45:D45"/>
    <mergeCell ref="E45:F45"/>
  </mergeCells>
  <conditionalFormatting sqref="G9">
    <cfRule type="notContainsBlanks" dxfId="125" priority="9">
      <formula>LEN(TRIM(G9))&gt;0</formula>
    </cfRule>
  </conditionalFormatting>
  <conditionalFormatting sqref="G13">
    <cfRule type="notContainsBlanks" dxfId="124" priority="13">
      <formula>LEN(TRIM(G13))&gt;0</formula>
    </cfRule>
  </conditionalFormatting>
  <conditionalFormatting sqref="G16">
    <cfRule type="notContainsBlanks" dxfId="123" priority="14">
      <formula>LEN(TRIM(G16))&gt;0</formula>
    </cfRule>
  </conditionalFormatting>
  <conditionalFormatting sqref="G24">
    <cfRule type="notContainsBlanks" dxfId="122" priority="15">
      <formula>LEN(TRIM(G24))&gt;0</formula>
    </cfRule>
  </conditionalFormatting>
  <conditionalFormatting sqref="G27">
    <cfRule type="notContainsBlanks" dxfId="121" priority="16">
      <formula>LEN(TRIM(G27))&gt;0</formula>
    </cfRule>
  </conditionalFormatting>
  <conditionalFormatting sqref="H38">
    <cfRule type="notContainsBlanks" dxfId="120" priority="10">
      <formula>LEN(TRIM(H38))&gt;0</formula>
    </cfRule>
  </conditionalFormatting>
  <conditionalFormatting sqref="I13:I20">
    <cfRule type="notContainsBlanks" dxfId="119" priority="8">
      <formula>LEN(TRIM(I13))&gt;0</formula>
    </cfRule>
  </conditionalFormatting>
  <conditionalFormatting sqref="I24:I31">
    <cfRule type="notContainsBlanks" dxfId="118" priority="1">
      <formula>LEN(TRIM(I24))&gt;0</formula>
    </cfRule>
  </conditionalFormatting>
  <conditionalFormatting sqref="J38:J40">
    <cfRule type="notContainsBlanks" dxfId="117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3" workbookViewId="0">
      <selection activeCell="F31" sqref="F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4, 1)</f>
        <v>#VALUE!</v>
      </c>
      <c r="K2" s="10"/>
    </row>
    <row r="3" spans="1:15" x14ac:dyDescent="0.3">
      <c r="A3" s="7" t="s">
        <v>61</v>
      </c>
      <c r="C3" s="11" t="s">
        <v>64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116" priority="9">
      <formula>LEN(TRIM(G9))&gt;0</formula>
    </cfRule>
  </conditionalFormatting>
  <conditionalFormatting sqref="G13">
    <cfRule type="notContainsBlanks" dxfId="115" priority="13">
      <formula>LEN(TRIM(G13))&gt;0</formula>
    </cfRule>
  </conditionalFormatting>
  <conditionalFormatting sqref="G16">
    <cfRule type="notContainsBlanks" dxfId="114" priority="14">
      <formula>LEN(TRIM(G16))&gt;0</formula>
    </cfRule>
  </conditionalFormatting>
  <conditionalFormatting sqref="G24">
    <cfRule type="notContainsBlanks" dxfId="113" priority="15">
      <formula>LEN(TRIM(G24))&gt;0</formula>
    </cfRule>
  </conditionalFormatting>
  <conditionalFormatting sqref="G27">
    <cfRule type="notContainsBlanks" dxfId="112" priority="16">
      <formula>LEN(TRIM(G27))&gt;0</formula>
    </cfRule>
  </conditionalFormatting>
  <conditionalFormatting sqref="H38">
    <cfRule type="notContainsBlanks" dxfId="111" priority="10">
      <formula>LEN(TRIM(H38))&gt;0</formula>
    </cfRule>
  </conditionalFormatting>
  <conditionalFormatting sqref="I13:I20">
    <cfRule type="notContainsBlanks" dxfId="110" priority="8">
      <formula>LEN(TRIM(I13))&gt;0</formula>
    </cfRule>
  </conditionalFormatting>
  <conditionalFormatting sqref="I24:I31">
    <cfRule type="notContainsBlanks" dxfId="109" priority="1">
      <formula>LEN(TRIM(I24))&gt;0</formula>
    </cfRule>
  </conditionalFormatting>
  <conditionalFormatting sqref="J38:J40">
    <cfRule type="notContainsBlanks" dxfId="108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0" workbookViewId="0">
      <selection activeCell="F31" sqref="F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5, 1)</f>
        <v>#VALUE!</v>
      </c>
      <c r="K2" s="10"/>
    </row>
    <row r="3" spans="1:15" x14ac:dyDescent="0.3">
      <c r="A3" s="7" t="s">
        <v>61</v>
      </c>
      <c r="C3" s="11" t="s">
        <v>65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107" priority="9">
      <formula>LEN(TRIM(G9))&gt;0</formula>
    </cfRule>
  </conditionalFormatting>
  <conditionalFormatting sqref="G13">
    <cfRule type="notContainsBlanks" dxfId="106" priority="13">
      <formula>LEN(TRIM(G13))&gt;0</formula>
    </cfRule>
  </conditionalFormatting>
  <conditionalFormatting sqref="G16">
    <cfRule type="notContainsBlanks" dxfId="105" priority="14">
      <formula>LEN(TRIM(G16))&gt;0</formula>
    </cfRule>
  </conditionalFormatting>
  <conditionalFormatting sqref="G24">
    <cfRule type="notContainsBlanks" dxfId="104" priority="15">
      <formula>LEN(TRIM(G24))&gt;0</formula>
    </cfRule>
  </conditionalFormatting>
  <conditionalFormatting sqref="G27">
    <cfRule type="notContainsBlanks" dxfId="103" priority="16">
      <formula>LEN(TRIM(G27))&gt;0</formula>
    </cfRule>
  </conditionalFormatting>
  <conditionalFormatting sqref="H38">
    <cfRule type="notContainsBlanks" dxfId="102" priority="10">
      <formula>LEN(TRIM(H38))&gt;0</formula>
    </cfRule>
  </conditionalFormatting>
  <conditionalFormatting sqref="I13:I20">
    <cfRule type="notContainsBlanks" dxfId="101" priority="8">
      <formula>LEN(TRIM(I13))&gt;0</formula>
    </cfRule>
  </conditionalFormatting>
  <conditionalFormatting sqref="I24:I31">
    <cfRule type="notContainsBlanks" dxfId="100" priority="1">
      <formula>LEN(TRIM(I24))&gt;0</formula>
    </cfRule>
  </conditionalFormatting>
  <conditionalFormatting sqref="J38:J40">
    <cfRule type="notContainsBlanks" dxfId="99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0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6, 1)</f>
        <v>#VALUE!</v>
      </c>
      <c r="K2" s="10"/>
    </row>
    <row r="3" spans="1:15" x14ac:dyDescent="0.3">
      <c r="A3" s="7" t="s">
        <v>61</v>
      </c>
      <c r="C3" s="11" t="s">
        <v>66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ht="15.75" customHeight="1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t="15.75" hidden="1" customHeight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98" priority="9">
      <formula>LEN(TRIM(G9))&gt;0</formula>
    </cfRule>
  </conditionalFormatting>
  <conditionalFormatting sqref="G13">
    <cfRule type="notContainsBlanks" dxfId="97" priority="13">
      <formula>LEN(TRIM(G13))&gt;0</formula>
    </cfRule>
  </conditionalFormatting>
  <conditionalFormatting sqref="G16">
    <cfRule type="notContainsBlanks" dxfId="96" priority="14">
      <formula>LEN(TRIM(G16))&gt;0</formula>
    </cfRule>
  </conditionalFormatting>
  <conditionalFormatting sqref="G24">
    <cfRule type="notContainsBlanks" dxfId="95" priority="15">
      <formula>LEN(TRIM(G24))&gt;0</formula>
    </cfRule>
  </conditionalFormatting>
  <conditionalFormatting sqref="G27">
    <cfRule type="notContainsBlanks" dxfId="94" priority="16">
      <formula>LEN(TRIM(G27))&gt;0</formula>
    </cfRule>
  </conditionalFormatting>
  <conditionalFormatting sqref="H38">
    <cfRule type="notContainsBlanks" dxfId="93" priority="10">
      <formula>LEN(TRIM(H38))&gt;0</formula>
    </cfRule>
  </conditionalFormatting>
  <conditionalFormatting sqref="I13:I20">
    <cfRule type="notContainsBlanks" dxfId="92" priority="8">
      <formula>LEN(TRIM(I13))&gt;0</formula>
    </cfRule>
  </conditionalFormatting>
  <conditionalFormatting sqref="I24:I31">
    <cfRule type="notContainsBlanks" dxfId="91" priority="1">
      <formula>LEN(TRIM(I24))&gt;0</formula>
    </cfRule>
  </conditionalFormatting>
  <conditionalFormatting sqref="J38:J40">
    <cfRule type="notContainsBlanks" dxfId="90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0" workbookViewId="0">
      <selection activeCell="F31" sqref="F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4, 1)</f>
        <v>#VALUE!</v>
      </c>
      <c r="K2" s="10"/>
    </row>
    <row r="3" spans="1:15" x14ac:dyDescent="0.3">
      <c r="A3" s="7" t="s">
        <v>62</v>
      </c>
      <c r="C3" s="11" t="s">
        <v>67</v>
      </c>
      <c r="E3" s="7" t="s">
        <v>0</v>
      </c>
      <c r="F3" s="11" t="e">
        <f>YEAR(Results!E3)</f>
        <v>#VALUE!</v>
      </c>
      <c r="H3" s="9" t="s">
        <v>2</v>
      </c>
      <c r="I3" s="35" t="e">
        <f>EOMONTH(I2,2)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89" priority="9">
      <formula>LEN(TRIM(G9))&gt;0</formula>
    </cfRule>
  </conditionalFormatting>
  <conditionalFormatting sqref="G13">
    <cfRule type="notContainsBlanks" dxfId="88" priority="13">
      <formula>LEN(TRIM(G13))&gt;0</formula>
    </cfRule>
  </conditionalFormatting>
  <conditionalFormatting sqref="G16">
    <cfRule type="notContainsBlanks" dxfId="87" priority="14">
      <formula>LEN(TRIM(G16))&gt;0</formula>
    </cfRule>
  </conditionalFormatting>
  <conditionalFormatting sqref="G24">
    <cfRule type="notContainsBlanks" dxfId="86" priority="15">
      <formula>LEN(TRIM(G24))&gt;0</formula>
    </cfRule>
  </conditionalFormatting>
  <conditionalFormatting sqref="G27">
    <cfRule type="notContainsBlanks" dxfId="85" priority="16">
      <formula>LEN(TRIM(G27))&gt;0</formula>
    </cfRule>
  </conditionalFormatting>
  <conditionalFormatting sqref="H38">
    <cfRule type="notContainsBlanks" dxfId="84" priority="10">
      <formula>LEN(TRIM(H38))&gt;0</formula>
    </cfRule>
  </conditionalFormatting>
  <conditionalFormatting sqref="I13:I20">
    <cfRule type="notContainsBlanks" dxfId="83" priority="8">
      <formula>LEN(TRIM(I13))&gt;0</formula>
    </cfRule>
  </conditionalFormatting>
  <conditionalFormatting sqref="I24:I31">
    <cfRule type="notContainsBlanks" dxfId="82" priority="1">
      <formula>LEN(TRIM(I24))&gt;0</formula>
    </cfRule>
  </conditionalFormatting>
  <conditionalFormatting sqref="J38:J40">
    <cfRule type="notContainsBlanks" dxfId="81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0" workbookViewId="0">
      <selection activeCell="F31" sqref="F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7, 1)</f>
        <v>#VALUE!</v>
      </c>
      <c r="K2" s="10"/>
    </row>
    <row r="3" spans="1:15" x14ac:dyDescent="0.3">
      <c r="A3" s="7" t="s">
        <v>61</v>
      </c>
      <c r="C3" s="11" t="s">
        <v>68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  <c r="I4" s="29"/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80" priority="9">
      <formula>LEN(TRIM(G9))&gt;0</formula>
    </cfRule>
  </conditionalFormatting>
  <conditionalFormatting sqref="G13">
    <cfRule type="notContainsBlanks" dxfId="79" priority="13">
      <formula>LEN(TRIM(G13))&gt;0</formula>
    </cfRule>
  </conditionalFormatting>
  <conditionalFormatting sqref="G16">
    <cfRule type="notContainsBlanks" dxfId="78" priority="14">
      <formula>LEN(TRIM(G16))&gt;0</formula>
    </cfRule>
  </conditionalFormatting>
  <conditionalFormatting sqref="G24">
    <cfRule type="notContainsBlanks" dxfId="77" priority="15">
      <formula>LEN(TRIM(G24))&gt;0</formula>
    </cfRule>
  </conditionalFormatting>
  <conditionalFormatting sqref="G27">
    <cfRule type="notContainsBlanks" dxfId="76" priority="16">
      <formula>LEN(TRIM(G27))&gt;0</formula>
    </cfRule>
  </conditionalFormatting>
  <conditionalFormatting sqref="H38">
    <cfRule type="notContainsBlanks" dxfId="75" priority="10">
      <formula>LEN(TRIM(H38))&gt;0</formula>
    </cfRule>
  </conditionalFormatting>
  <conditionalFormatting sqref="I13:I20">
    <cfRule type="notContainsBlanks" dxfId="74" priority="8">
      <formula>LEN(TRIM(I13))&gt;0</formula>
    </cfRule>
  </conditionalFormatting>
  <conditionalFormatting sqref="I24:I31">
    <cfRule type="notContainsBlanks" dxfId="73" priority="1">
      <formula>LEN(TRIM(I24))&gt;0</formula>
    </cfRule>
  </conditionalFormatting>
  <conditionalFormatting sqref="J38:J40">
    <cfRule type="notContainsBlanks" dxfId="72" priority="19">
      <formula>LEN(TRIM(J38))&gt;0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3" workbookViewId="0">
      <selection activeCell="F31" sqref="F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8, 1)</f>
        <v>#VALUE!</v>
      </c>
      <c r="K2" s="10"/>
    </row>
    <row r="3" spans="1:15" x14ac:dyDescent="0.3">
      <c r="A3" s="7" t="s">
        <v>61</v>
      </c>
      <c r="C3" s="11" t="s">
        <v>69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71" priority="9">
      <formula>LEN(TRIM(G9))&gt;0</formula>
    </cfRule>
  </conditionalFormatting>
  <conditionalFormatting sqref="G13">
    <cfRule type="notContainsBlanks" dxfId="70" priority="13">
      <formula>LEN(TRIM(G13))&gt;0</formula>
    </cfRule>
  </conditionalFormatting>
  <conditionalFormatting sqref="G16">
    <cfRule type="notContainsBlanks" dxfId="69" priority="14">
      <formula>LEN(TRIM(G16))&gt;0</formula>
    </cfRule>
  </conditionalFormatting>
  <conditionalFormatting sqref="G24">
    <cfRule type="notContainsBlanks" dxfId="68" priority="15">
      <formula>LEN(TRIM(G24))&gt;0</formula>
    </cfRule>
  </conditionalFormatting>
  <conditionalFormatting sqref="G27">
    <cfRule type="notContainsBlanks" dxfId="67" priority="16">
      <formula>LEN(TRIM(G27))&gt;0</formula>
    </cfRule>
  </conditionalFormatting>
  <conditionalFormatting sqref="H38">
    <cfRule type="notContainsBlanks" dxfId="66" priority="10">
      <formula>LEN(TRIM(H38))&gt;0</formula>
    </cfRule>
  </conditionalFormatting>
  <conditionalFormatting sqref="I13:I20">
    <cfRule type="notContainsBlanks" dxfId="65" priority="8">
      <formula>LEN(TRIM(I13))&gt;0</formula>
    </cfRule>
  </conditionalFormatting>
  <conditionalFormatting sqref="I24:I31">
    <cfRule type="notContainsBlanks" dxfId="64" priority="1">
      <formula>LEN(TRIM(I24))&gt;0</formula>
    </cfRule>
  </conditionalFormatting>
  <conditionalFormatting sqref="J38:J40">
    <cfRule type="notContainsBlanks" dxfId="63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3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9, 1)</f>
        <v>#VALUE!</v>
      </c>
      <c r="K2" s="10"/>
    </row>
    <row r="3" spans="1:15" x14ac:dyDescent="0.3">
      <c r="A3" s="7" t="s">
        <v>61</v>
      </c>
      <c r="C3" s="11" t="s">
        <v>70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62" priority="9">
      <formula>LEN(TRIM(G9))&gt;0</formula>
    </cfRule>
  </conditionalFormatting>
  <conditionalFormatting sqref="G13">
    <cfRule type="notContainsBlanks" dxfId="61" priority="13">
      <formula>LEN(TRIM(G13))&gt;0</formula>
    </cfRule>
  </conditionalFormatting>
  <conditionalFormatting sqref="G16">
    <cfRule type="notContainsBlanks" dxfId="60" priority="14">
      <formula>LEN(TRIM(G16))&gt;0</formula>
    </cfRule>
  </conditionalFormatting>
  <conditionalFormatting sqref="G24">
    <cfRule type="notContainsBlanks" dxfId="59" priority="15">
      <formula>LEN(TRIM(G24))&gt;0</formula>
    </cfRule>
  </conditionalFormatting>
  <conditionalFormatting sqref="G27">
    <cfRule type="notContainsBlanks" dxfId="58" priority="16">
      <formula>LEN(TRIM(G27))&gt;0</formula>
    </cfRule>
  </conditionalFormatting>
  <conditionalFormatting sqref="H38">
    <cfRule type="notContainsBlanks" dxfId="57" priority="10">
      <formula>LEN(TRIM(H38))&gt;0</formula>
    </cfRule>
  </conditionalFormatting>
  <conditionalFormatting sqref="I13:I20">
    <cfRule type="notContainsBlanks" dxfId="56" priority="8">
      <formula>LEN(TRIM(I13))&gt;0</formula>
    </cfRule>
  </conditionalFormatting>
  <conditionalFormatting sqref="I24:I31">
    <cfRule type="notContainsBlanks" dxfId="55" priority="1">
      <formula>LEN(TRIM(I24))&gt;0</formula>
    </cfRule>
  </conditionalFormatting>
  <conditionalFormatting sqref="J38:J40">
    <cfRule type="notContainsBlanks" dxfId="54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3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7, 1)</f>
        <v>#VALUE!</v>
      </c>
      <c r="K2" s="10"/>
    </row>
    <row r="3" spans="1:15" x14ac:dyDescent="0.3">
      <c r="A3" s="7" t="s">
        <v>62</v>
      </c>
      <c r="C3" s="11" t="s">
        <v>71</v>
      </c>
      <c r="E3" s="7" t="s">
        <v>0</v>
      </c>
      <c r="F3" s="11" t="e">
        <f>YEAR(Results!E3)</f>
        <v>#VALUE!</v>
      </c>
      <c r="H3" s="9" t="s">
        <v>2</v>
      </c>
      <c r="I3" s="35" t="e">
        <f>EOMONTH(I2,2)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53" priority="9">
      <formula>LEN(TRIM(G9))&gt;0</formula>
    </cfRule>
  </conditionalFormatting>
  <conditionalFormatting sqref="G13">
    <cfRule type="notContainsBlanks" dxfId="52" priority="13">
      <formula>LEN(TRIM(G13))&gt;0</formula>
    </cfRule>
  </conditionalFormatting>
  <conditionalFormatting sqref="G16">
    <cfRule type="notContainsBlanks" dxfId="51" priority="14">
      <formula>LEN(TRIM(G16))&gt;0</formula>
    </cfRule>
  </conditionalFormatting>
  <conditionalFormatting sqref="G24">
    <cfRule type="notContainsBlanks" dxfId="50" priority="15">
      <formula>LEN(TRIM(G24))&gt;0</formula>
    </cfRule>
  </conditionalFormatting>
  <conditionalFormatting sqref="G27">
    <cfRule type="notContainsBlanks" dxfId="49" priority="16">
      <formula>LEN(TRIM(G27))&gt;0</formula>
    </cfRule>
  </conditionalFormatting>
  <conditionalFormatting sqref="H38">
    <cfRule type="notContainsBlanks" dxfId="48" priority="10">
      <formula>LEN(TRIM(H38))&gt;0</formula>
    </cfRule>
  </conditionalFormatting>
  <conditionalFormatting sqref="I13:I20">
    <cfRule type="notContainsBlanks" dxfId="47" priority="8">
      <formula>LEN(TRIM(I13))&gt;0</formula>
    </cfRule>
  </conditionalFormatting>
  <conditionalFormatting sqref="I24:I31">
    <cfRule type="notContainsBlanks" dxfId="46" priority="1">
      <formula>LEN(TRIM(I24))&gt;0</formula>
    </cfRule>
  </conditionalFormatting>
  <conditionalFormatting sqref="J38:J40">
    <cfRule type="notContainsBlanks" dxfId="45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3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10, 1)</f>
        <v>#VALUE!</v>
      </c>
      <c r="K2" s="10"/>
    </row>
    <row r="3" spans="1:15" x14ac:dyDescent="0.3">
      <c r="A3" s="7" t="s">
        <v>61</v>
      </c>
      <c r="C3" s="11" t="s">
        <v>72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tr">
        <f>IF($F$9=SUM(G38:G40),"","Error! Microscope and Xpert result do NOT match; Crosscheck for missing information in MTB result OR Microscope result")</f>
        <v/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44" priority="9">
      <formula>LEN(TRIM(G9))&gt;0</formula>
    </cfRule>
  </conditionalFormatting>
  <conditionalFormatting sqref="G13">
    <cfRule type="notContainsBlanks" dxfId="43" priority="15">
      <formula>LEN(TRIM(G13))&gt;0</formula>
    </cfRule>
  </conditionalFormatting>
  <conditionalFormatting sqref="G16">
    <cfRule type="notContainsBlanks" dxfId="42" priority="16">
      <formula>LEN(TRIM(G16))&gt;0</formula>
    </cfRule>
  </conditionalFormatting>
  <conditionalFormatting sqref="G24">
    <cfRule type="notContainsBlanks" dxfId="41" priority="17">
      <formula>LEN(TRIM(G24))&gt;0</formula>
    </cfRule>
  </conditionalFormatting>
  <conditionalFormatting sqref="G27">
    <cfRule type="notContainsBlanks" dxfId="40" priority="18">
      <formula>LEN(TRIM(G27))&gt;0</formula>
    </cfRule>
  </conditionalFormatting>
  <conditionalFormatting sqref="H38">
    <cfRule type="notContainsBlanks" dxfId="39" priority="12">
      <formula>LEN(TRIM(H38))&gt;0</formula>
    </cfRule>
  </conditionalFormatting>
  <conditionalFormatting sqref="I13:I20">
    <cfRule type="notContainsBlanks" dxfId="38" priority="8">
      <formula>LEN(TRIM(I13))&gt;0</formula>
    </cfRule>
  </conditionalFormatting>
  <conditionalFormatting sqref="I24:I31">
    <cfRule type="notContainsBlanks" dxfId="37" priority="1">
      <formula>LEN(TRIM(I24))&gt;0</formula>
    </cfRule>
  </conditionalFormatting>
  <conditionalFormatting sqref="J38:J40">
    <cfRule type="notContainsBlanks" dxfId="36" priority="11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6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11, 1)</f>
        <v>#VALUE!</v>
      </c>
      <c r="K2" s="10"/>
    </row>
    <row r="3" spans="1:15" x14ac:dyDescent="0.3">
      <c r="A3" s="7" t="s">
        <v>61</v>
      </c>
      <c r="C3" s="11" t="s">
        <v>73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35" priority="9">
      <formula>LEN(TRIM(G9))&gt;0</formula>
    </cfRule>
  </conditionalFormatting>
  <conditionalFormatting sqref="G13">
    <cfRule type="notContainsBlanks" dxfId="34" priority="13">
      <formula>LEN(TRIM(G13))&gt;0</formula>
    </cfRule>
  </conditionalFormatting>
  <conditionalFormatting sqref="G16">
    <cfRule type="notContainsBlanks" dxfId="33" priority="14">
      <formula>LEN(TRIM(G16))&gt;0</formula>
    </cfRule>
  </conditionalFormatting>
  <conditionalFormatting sqref="G24">
    <cfRule type="notContainsBlanks" dxfId="32" priority="15">
      <formula>LEN(TRIM(G24))&gt;0</formula>
    </cfRule>
  </conditionalFormatting>
  <conditionalFormatting sqref="G27">
    <cfRule type="notContainsBlanks" dxfId="31" priority="16">
      <formula>LEN(TRIM(G27))&gt;0</formula>
    </cfRule>
  </conditionalFormatting>
  <conditionalFormatting sqref="H38">
    <cfRule type="notContainsBlanks" dxfId="30" priority="10">
      <formula>LEN(TRIM(H38))&gt;0</formula>
    </cfRule>
  </conditionalFormatting>
  <conditionalFormatting sqref="I13:I20">
    <cfRule type="notContainsBlanks" dxfId="29" priority="8">
      <formula>LEN(TRIM(I13))&gt;0</formula>
    </cfRule>
  </conditionalFormatting>
  <conditionalFormatting sqref="I24:I31">
    <cfRule type="notContainsBlanks" dxfId="28" priority="1">
      <formula>LEN(TRIM(I24))&gt;0</formula>
    </cfRule>
  </conditionalFormatting>
  <conditionalFormatting sqref="J38:J40">
    <cfRule type="notContainsBlanks" dxfId="27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6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12, 1)</f>
        <v>#VALUE!</v>
      </c>
      <c r="K2" s="10"/>
    </row>
    <row r="3" spans="1:15" x14ac:dyDescent="0.3">
      <c r="A3" s="7" t="s">
        <v>61</v>
      </c>
      <c r="C3" s="11" t="s">
        <v>74</v>
      </c>
      <c r="E3" s="7" t="s">
        <v>0</v>
      </c>
      <c r="F3" s="11" t="e">
        <f>YEAR(Results!E3)</f>
        <v>#VALUE!</v>
      </c>
      <c r="H3" s="9" t="s">
        <v>2</v>
      </c>
      <c r="I3" s="35" t="e">
        <f>EOMONTH(I2,0)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26" priority="9">
      <formula>LEN(TRIM(G9))&gt;0</formula>
    </cfRule>
  </conditionalFormatting>
  <conditionalFormatting sqref="G13">
    <cfRule type="notContainsBlanks" dxfId="25" priority="13">
      <formula>LEN(TRIM(G13))&gt;0</formula>
    </cfRule>
  </conditionalFormatting>
  <conditionalFormatting sqref="G16">
    <cfRule type="notContainsBlanks" dxfId="24" priority="14">
      <formula>LEN(TRIM(G16))&gt;0</formula>
    </cfRule>
  </conditionalFormatting>
  <conditionalFormatting sqref="G24">
    <cfRule type="notContainsBlanks" dxfId="23" priority="15">
      <formula>LEN(TRIM(G24))&gt;0</formula>
    </cfRule>
  </conditionalFormatting>
  <conditionalFormatting sqref="G27">
    <cfRule type="notContainsBlanks" dxfId="22" priority="16">
      <formula>LEN(TRIM(G27))&gt;0</formula>
    </cfRule>
  </conditionalFormatting>
  <conditionalFormatting sqref="H38">
    <cfRule type="notContainsBlanks" dxfId="21" priority="10">
      <formula>LEN(TRIM(H38))&gt;0</formula>
    </cfRule>
  </conditionalFormatting>
  <conditionalFormatting sqref="I13:I20">
    <cfRule type="notContainsBlanks" dxfId="20" priority="8">
      <formula>LEN(TRIM(I13))&gt;0</formula>
    </cfRule>
  </conditionalFormatting>
  <conditionalFormatting sqref="I24:I31">
    <cfRule type="notContainsBlanks" dxfId="19" priority="1">
      <formula>LEN(TRIM(I24))&gt;0</formula>
    </cfRule>
  </conditionalFormatting>
  <conditionalFormatting sqref="J38:J40">
    <cfRule type="notContainsBlanks" dxfId="18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6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10, 1)</f>
        <v>#VALUE!</v>
      </c>
      <c r="K2" s="10"/>
    </row>
    <row r="3" spans="1:15" x14ac:dyDescent="0.3">
      <c r="A3" s="7" t="s">
        <v>62</v>
      </c>
      <c r="C3" s="11" t="s">
        <v>75</v>
      </c>
      <c r="E3" s="7" t="s">
        <v>0</v>
      </c>
      <c r="F3" s="11" t="e">
        <f>YEAR(Results!E3)</f>
        <v>#VALUE!</v>
      </c>
      <c r="H3" s="9" t="s">
        <v>2</v>
      </c>
      <c r="I3" s="35" t="e">
        <f>EOMONTH(I2,2)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17" priority="9">
      <formula>LEN(TRIM(G9))&gt;0</formula>
    </cfRule>
  </conditionalFormatting>
  <conditionalFormatting sqref="G13">
    <cfRule type="notContainsBlanks" dxfId="16" priority="13">
      <formula>LEN(TRIM(G13))&gt;0</formula>
    </cfRule>
  </conditionalFormatting>
  <conditionalFormatting sqref="G16">
    <cfRule type="notContainsBlanks" dxfId="15" priority="14">
      <formula>LEN(TRIM(G16))&gt;0</formula>
    </cfRule>
  </conditionalFormatting>
  <conditionalFormatting sqref="G24">
    <cfRule type="notContainsBlanks" dxfId="14" priority="15">
      <formula>LEN(TRIM(G24))&gt;0</formula>
    </cfRule>
  </conditionalFormatting>
  <conditionalFormatting sqref="G27">
    <cfRule type="notContainsBlanks" dxfId="13" priority="16">
      <formula>LEN(TRIM(G27))&gt;0</formula>
    </cfRule>
  </conditionalFormatting>
  <conditionalFormatting sqref="H38">
    <cfRule type="notContainsBlanks" dxfId="12" priority="10">
      <formula>LEN(TRIM(H38))&gt;0</formula>
    </cfRule>
  </conditionalFormatting>
  <conditionalFormatting sqref="I13:I20">
    <cfRule type="notContainsBlanks" dxfId="11" priority="8">
      <formula>LEN(TRIM(I13))&gt;0</formula>
    </cfRule>
  </conditionalFormatting>
  <conditionalFormatting sqref="I24:I31">
    <cfRule type="notContainsBlanks" dxfId="10" priority="1">
      <formula>LEN(TRIM(I24))&gt;0</formula>
    </cfRule>
  </conditionalFormatting>
  <conditionalFormatting sqref="J38:J40">
    <cfRule type="notContainsBlanks" dxfId="9" priority="19">
      <formula>LEN(TRIM(J38))&gt;0</formula>
    </cfRule>
  </conditionalFormatting>
  <pageMargins left="0.7" right="0.7" top="0.75" bottom="0.75" header="0.3" footer="0.3"/>
  <pageSetup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opLeftCell="A16" workbookViewId="0">
      <selection activeCell="C31" sqref="C31"/>
    </sheetView>
  </sheetViews>
  <sheetFormatPr defaultColWidth="11" defaultRowHeight="14.4" x14ac:dyDescent="0.3"/>
  <cols>
    <col min="1" max="1" width="13.796875" style="7" customWidth="1"/>
    <col min="2" max="2" width="25" style="7" customWidth="1"/>
    <col min="3" max="3" width="8" style="7" customWidth="1"/>
    <col min="4" max="4" width="11.296875" style="7" customWidth="1"/>
    <col min="5" max="5" width="9.296875" style="7" customWidth="1"/>
    <col min="6" max="6" width="6" style="7" customWidth="1"/>
    <col min="7" max="7" width="9.59765625" style="7" customWidth="1"/>
    <col min="8" max="8" width="20.296875" style="7" customWidth="1"/>
    <col min="9" max="9" width="20.59765625" style="7" customWidth="1"/>
    <col min="10" max="10" width="11" style="7"/>
    <col min="11" max="12" width="10.796875" style="7" customWidth="1"/>
    <col min="13" max="16384" width="11" style="7"/>
  </cols>
  <sheetData>
    <row r="1" spans="1:15" ht="18" x14ac:dyDescent="0.35">
      <c r="A1" s="50" t="s">
        <v>77</v>
      </c>
      <c r="B1" s="50"/>
      <c r="C1" s="50"/>
      <c r="D1" s="50"/>
      <c r="E1" s="50"/>
      <c r="F1" s="50"/>
      <c r="I1" s="8" t="s">
        <v>58</v>
      </c>
    </row>
    <row r="2" spans="1:15" x14ac:dyDescent="0.3">
      <c r="H2" s="9" t="s">
        <v>1</v>
      </c>
      <c r="I2" s="35" t="e">
        <f>DATE(F3, 1, 1)</f>
        <v>#VALUE!</v>
      </c>
      <c r="K2" s="10"/>
    </row>
    <row r="3" spans="1:15" x14ac:dyDescent="0.3">
      <c r="A3" s="7" t="s">
        <v>62</v>
      </c>
      <c r="C3" s="11" t="s">
        <v>76</v>
      </c>
      <c r="E3" s="7" t="s">
        <v>0</v>
      </c>
      <c r="F3" s="11" t="e">
        <f>YEAR(Results!E3)</f>
        <v>#VALUE!</v>
      </c>
      <c r="H3" s="9" t="s">
        <v>2</v>
      </c>
      <c r="I3" s="35" t="e">
        <f>EOMONTH(I2,11)</f>
        <v>#VALUE!</v>
      </c>
    </row>
    <row r="4" spans="1:15" x14ac:dyDescent="0.3">
      <c r="A4" s="7" t="s">
        <v>56</v>
      </c>
    </row>
    <row r="5" spans="1:15" x14ac:dyDescent="0.3">
      <c r="O5" s="12"/>
    </row>
    <row r="6" spans="1:15" x14ac:dyDescent="0.3">
      <c r="A6" s="7" t="s">
        <v>3</v>
      </c>
      <c r="I6" s="11"/>
    </row>
    <row r="7" spans="1:15" x14ac:dyDescent="0.3">
      <c r="A7" s="51"/>
      <c r="B7" s="42" t="s">
        <v>4</v>
      </c>
      <c r="C7" s="43"/>
      <c r="D7" s="42" t="s">
        <v>5</v>
      </c>
      <c r="E7" s="43"/>
      <c r="F7" s="47" t="s">
        <v>8</v>
      </c>
    </row>
    <row r="8" spans="1:15" x14ac:dyDescent="0.3">
      <c r="A8" s="52"/>
      <c r="B8" s="13" t="s">
        <v>6</v>
      </c>
      <c r="C8" s="13" t="s">
        <v>7</v>
      </c>
      <c r="D8" s="13" t="s">
        <v>6</v>
      </c>
      <c r="E8" s="13" t="s">
        <v>7</v>
      </c>
      <c r="F8" s="49"/>
    </row>
    <row r="9" spans="1:15" x14ac:dyDescent="0.3">
      <c r="A9" s="14"/>
      <c r="B9" s="14">
        <f>COUNTIFS(Results!$E:$E,"&gt;="&amp;$I$2,Results!$E:$E,"&lt;="&amp;$I$3,Results!$I:$I,"Male",Results!$J:$J,"&lt;15", Results!$F:$F,"*tive")</f>
        <v>0</v>
      </c>
      <c r="C9" s="14">
        <f>COUNTIFS(Results!$E:$E,"&gt;="&amp;$I$2,Results!$E:$E,"&lt;="&amp;$I$3,Results!$I:$I,"Male",Results!$J:$J,"&gt;=15", Results!$F:$F,"*tive")</f>
        <v>0</v>
      </c>
      <c r="D9" s="14">
        <f>COUNTIFS(Results!$E:$E,"&gt;="&amp;$I$2,Results!$E:$E,"&lt;="&amp;$I$3,Results!$I:$I,"Female",Results!$J:$J,"&lt;15", Results!$F:$F,"*tive")</f>
        <v>0</v>
      </c>
      <c r="E9" s="14">
        <f>COUNTIFS(Results!$E:$E,"&gt;="&amp;$I$2,Results!$E:$E,"&lt;="&amp;$I$3,Results!$I:$I,"Female",Results!$J:$J,"&gt;=15", Results!$F:$F,"*tive")</f>
        <v>0</v>
      </c>
      <c r="F9" s="14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6" t="str">
        <f>IF(SUM(B9:E9)=F9,"","Check Total Value &amp; Category")</f>
        <v/>
      </c>
    </row>
    <row r="11" spans="1:15" x14ac:dyDescent="0.3">
      <c r="A11" s="7" t="s">
        <v>22</v>
      </c>
    </row>
    <row r="12" spans="1:15" x14ac:dyDescent="0.3">
      <c r="A12" s="14"/>
      <c r="B12" s="14"/>
      <c r="C12" s="15" t="s">
        <v>23</v>
      </c>
      <c r="D12" s="15" t="s">
        <v>24</v>
      </c>
      <c r="E12" s="15" t="s">
        <v>25</v>
      </c>
      <c r="F12" s="15" t="s">
        <v>8</v>
      </c>
    </row>
    <row r="13" spans="1:15" ht="15.75" customHeight="1" x14ac:dyDescent="0.3">
      <c r="A13" s="44" t="s">
        <v>26</v>
      </c>
      <c r="B13" s="14" t="s">
        <v>28</v>
      </c>
      <c r="C13" s="14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14">
        <f>COUNTIFS(Results!$E:$E,"&gt;="&amp;$I$2,Results!$E:$E,"&lt;="&amp;$I$3,Results!$L:$L,"Positive",Results!$K:$K,"Yes", Results!$F:$F,"*tive")</f>
        <v>0</v>
      </c>
      <c r="E13" s="14">
        <f>COUNTIFS(Results!$E:$E,"&gt;="&amp;$I$2,Results!$E:$E,"&lt;="&amp;$I$3,Results!$L:$L,"Positive",Results!$K:$K,"Unknown", Results!$F:$F,"*tive")</f>
        <v>0</v>
      </c>
      <c r="F13" s="14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3" t="str">
        <f>IF($F$9=SUM(F13:F15),"","Error! Microscopy result does NOT match, cross check: Missing information in Microscopy Result")</f>
        <v/>
      </c>
      <c r="H13" s="54"/>
      <c r="I13" s="16" t="str">
        <f t="shared" ref="I13:I20" si="0">IF(SUM(C13:E13)=F13,"","Check Total Value &amp; Category")</f>
        <v/>
      </c>
    </row>
    <row r="14" spans="1:15" x14ac:dyDescent="0.3">
      <c r="A14" s="45"/>
      <c r="B14" s="14" t="s">
        <v>29</v>
      </c>
      <c r="C14" s="14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14">
        <f>COUNTIFS(Results!$E:$E,"&gt;="&amp;$I$2,Results!$E:$E,"&lt;="&amp;$I$3,Results!$L:$L,"Negative",Results!$K:$K,"Yes", Results!$F:$F,"*tive")</f>
        <v>0</v>
      </c>
      <c r="E14" s="14">
        <f>COUNTIFS(Results!$E:$E,"&gt;="&amp;$I$2,Results!$E:$E,"&lt;="&amp;$I$3,Results!$L:$L,"Negative",Results!$K:$K,"Unknown", Results!$F:$F,"*tive")</f>
        <v>0</v>
      </c>
      <c r="F14" s="14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3"/>
      <c r="H14" s="54"/>
      <c r="I14" s="16" t="str">
        <f t="shared" si="0"/>
        <v/>
      </c>
    </row>
    <row r="15" spans="1:15" x14ac:dyDescent="0.3">
      <c r="A15" s="46"/>
      <c r="B15" s="14" t="s">
        <v>30</v>
      </c>
      <c r="C15" s="14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14">
        <f>COUNTIFS(Results!$E:$E,"&gt;="&amp;$I$2,Results!$E:$E,"&lt;="&amp;$I$3,Results!$L:$L,"Not Done",Results!$K:$K,"Yes", Results!$F:$F,"*tive")</f>
        <v>0</v>
      </c>
      <c r="E15" s="14">
        <f>COUNTIFS(Results!$E:$E,"&gt;="&amp;$I$2,Results!$E:$E,"&lt;="&amp;$I$3,Results!$L:$L,"Not Done",Results!$K:$K,"Unknown", Results!$F:$F,"*tive")</f>
        <v>0</v>
      </c>
      <c r="F15" s="14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3"/>
      <c r="H15" s="54"/>
      <c r="I15" s="16" t="str">
        <f t="shared" si="0"/>
        <v/>
      </c>
    </row>
    <row r="16" spans="1:15" x14ac:dyDescent="0.3">
      <c r="A16" s="47" t="s">
        <v>27</v>
      </c>
      <c r="B16" s="14" t="s">
        <v>21</v>
      </c>
      <c r="C16" s="14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14">
        <f>COUNTIFS(Results!$E:$E,"&gt;="&amp;$I$2,Results!$E:$E,"&lt;="&amp;$I$3,Results!$F:$F,"Negative",Results!$K:$K,"Yes")</f>
        <v>0</v>
      </c>
      <c r="E16" s="14">
        <f>COUNTIFS(Results!$E:$E,"&gt;="&amp;$I$2,Results!$E:$E,"&lt;="&amp;$I$3,Results!$F:$F,"Negative",Results!$K:$K,"Unknown")</f>
        <v>0</v>
      </c>
      <c r="F16" s="14">
        <f>COUNTIFS(Results!$E:$E,"&gt;="&amp;$I$2,Results!$E:$E,"&lt;="&amp;$I$3,Results!$F:$F,"Negative", Results!$K:$K,"&lt;&gt;Not on Form", Results!$K:$K,"&lt;&gt;N/A")</f>
        <v>0</v>
      </c>
      <c r="G16" s="53" t="str">
        <f>IF($F$9=SUM(F16:F20),"","Error! Cross information between Xpert result and treatment category are not match; possibly there will be Erorr or missing information on MTB result OR RIF result")</f>
        <v/>
      </c>
      <c r="H16" s="54"/>
      <c r="I16" s="16" t="str">
        <f t="shared" si="0"/>
        <v/>
      </c>
    </row>
    <row r="17" spans="1:9" x14ac:dyDescent="0.3">
      <c r="A17" s="48"/>
      <c r="B17" s="14" t="s">
        <v>31</v>
      </c>
      <c r="C17" s="14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14">
        <f>COUNTIFS(Results!$E:$E,"&gt;="&amp;$I$2,Results!$E:$E,"&lt;="&amp;$I$3,Results!$F:$F,"Positive",Results!$G:$G,"Negative",Results!$K:$K,"Yes")</f>
        <v>0</v>
      </c>
      <c r="E17" s="14">
        <f>COUNTIFS(Results!$E:$E,"&gt;="&amp;$I$2,Results!$E:$E,"&lt;="&amp;$I$3,Results!$F:$F,"Positive",Results!$G:$G,"Negative",Results!$K:$K,"Unknown")</f>
        <v>0</v>
      </c>
      <c r="F17" s="14">
        <f>COUNTIFS(Results!$E:$E,"&gt;="&amp;$I$2,Results!$E:$E,"&lt;="&amp;$I$3,Results!$F:$F,"Positive",Results!$G:$G,"Negative", Results!$K:$K,"&lt;&gt;Not on Form", Results!$K:$K,"&lt;&gt;N/A")</f>
        <v>0</v>
      </c>
      <c r="G17" s="53"/>
      <c r="H17" s="54"/>
      <c r="I17" s="16" t="str">
        <f t="shared" si="0"/>
        <v/>
      </c>
    </row>
    <row r="18" spans="1:9" x14ac:dyDescent="0.3">
      <c r="A18" s="48"/>
      <c r="B18" s="14" t="s">
        <v>32</v>
      </c>
      <c r="C18" s="14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14">
        <f>COUNTIFS(Results!$E:$E,"&gt;="&amp;$I$2,Results!$E:$E,"&lt;="&amp;$I$3,Results!$F:$F,"Positive",Results!$G:$G,"Positive",Results!$K:$K,"Yes")</f>
        <v>0</v>
      </c>
      <c r="E18" s="14">
        <f>COUNTIFS(Results!$E:$E,"&gt;="&amp;$I$2,Results!$E:$E,"&lt;="&amp;$I$3,Results!$F:$F,"Positive",Results!$G:$G,"Positive",Results!$K:$K,"Unknown")</f>
        <v>0</v>
      </c>
      <c r="F18" s="14">
        <f>COUNTIFS(Results!$E:$E,"&gt;="&amp;$I$2,Results!$E:$E,"&lt;="&amp;$I$3,Results!$F:$F,"Positive",Results!$G:$G,"Positive", Results!$K:$K,"&lt;&gt;Not on Form", Results!$K:$K,"&lt;&gt;N/A")</f>
        <v>0</v>
      </c>
      <c r="G18" s="53"/>
      <c r="H18" s="54"/>
      <c r="I18" s="16" t="str">
        <f t="shared" si="0"/>
        <v/>
      </c>
    </row>
    <row r="19" spans="1:9" x14ac:dyDescent="0.3">
      <c r="A19" s="48"/>
      <c r="B19" s="14" t="s">
        <v>33</v>
      </c>
      <c r="C19" s="14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14">
        <f>COUNTIFS(Results!$E:$E,"&gt;="&amp;$I$2,Results!$E:$E,"&lt;="&amp;$I$3,Results!$F:$F,"Positive",Results!$G:$G,"Indeterminate",Results!$K:$K,"Yes")</f>
        <v>0</v>
      </c>
      <c r="E19" s="14">
        <f>COUNTIFS(Results!$E:$E,"&gt;="&amp;$I$2,Results!$E:$E,"&lt;="&amp;$I$3,Results!$F:$F,"Positive",Results!$G:$G,"Indeterminate",Results!$K:$K,"Unknown")</f>
        <v>0</v>
      </c>
      <c r="F19" s="14">
        <f>COUNTIFS(Results!$E:$E,"&gt;="&amp;$I$2,Results!$E:$E,"&lt;="&amp;$I$3,Results!$F:$F,"Positive",Results!$G:$G,"Indeterminate", Results!$K:$K,"&lt;&gt;Not on Form", Results!$K:$K,"&lt;&gt;N/A")</f>
        <v>0</v>
      </c>
      <c r="G19" s="53"/>
      <c r="H19" s="54"/>
      <c r="I19" s="16"/>
    </row>
    <row r="20" spans="1:9" x14ac:dyDescent="0.3">
      <c r="A20" s="49"/>
      <c r="B20" s="57" t="s">
        <v>105</v>
      </c>
      <c r="C20" s="14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14">
        <f>COUNTIFS(Results!$E:$E,"&gt;="&amp;$I$2,Results!$E:$E,"&lt;="&amp;$I$3,Results!$F:$F,"Trace",Results!$G:$G,"Indeterminate",Results!$K:$K,"Yes")</f>
        <v>0</v>
      </c>
      <c r="E20" s="14">
        <f>COUNTIFS(Results!$E:$E,"&gt;="&amp;$I$2,Results!$E:$E,"&lt;="&amp;$I$3,Results!$F:$F,"Trace",Results!$G:$G,"Indeterminate",Results!$K:$K,"Unknown")</f>
        <v>0</v>
      </c>
      <c r="F20" s="14">
        <f>COUNTIFS(Results!$E:$E,"&gt;="&amp;$I$2,Results!$E:$E,"&lt;="&amp;$I$3,Results!$F:$F,"Trace",Results!$G:$G,"Indeterminate", Results!$K:$K,"&lt;&gt;Not on Form", Results!$K:$K,"&lt;&gt;N/A")</f>
        <v>0</v>
      </c>
      <c r="G20" s="53"/>
      <c r="H20" s="54"/>
      <c r="I20" s="16" t="str">
        <f t="shared" si="0"/>
        <v/>
      </c>
    </row>
    <row r="22" spans="1:9" x14ac:dyDescent="0.3">
      <c r="A22" s="7" t="s">
        <v>34</v>
      </c>
    </row>
    <row r="23" spans="1:9" ht="28.8" x14ac:dyDescent="0.3">
      <c r="A23" s="14"/>
      <c r="B23" s="14"/>
      <c r="C23" s="17" t="s">
        <v>35</v>
      </c>
      <c r="D23" s="17" t="s">
        <v>36</v>
      </c>
      <c r="E23" s="13" t="s">
        <v>25</v>
      </c>
      <c r="F23" s="13" t="s">
        <v>8</v>
      </c>
    </row>
    <row r="24" spans="1:9" ht="15.75" hidden="1" customHeight="1" x14ac:dyDescent="0.3">
      <c r="A24" s="44" t="s">
        <v>26</v>
      </c>
      <c r="B24" s="14" t="s">
        <v>28</v>
      </c>
      <c r="C24" s="14">
        <f>COUNTIFS(Results!$E:$E,"&gt;="&amp;$I$2,Results!$E:$E,"&lt;="&amp;$I$3,Results!$L:$L,"Positive",Results!$H:$H,"Positive", Results!$F:$F,"*tive")</f>
        <v>0</v>
      </c>
      <c r="D24" s="14">
        <f>COUNTIFS(Results!$E:$E,"&gt;="&amp;$I$2,Results!$E:$E,"&lt;="&amp;$I$3,Results!$L:$L,"Positive",Results!$H:$H,"Negative", Results!$F:$F,"*tive")</f>
        <v>0</v>
      </c>
      <c r="E24" s="14">
        <f>COUNTIFS(Results!$E:$E,"&gt;="&amp;$I$2,Results!$E:$E,"&lt;="&amp;$I$3,Results!$L:$L,"Positive",Results!$H:$H,"Unknown", Results!$F:$F,"*tive")</f>
        <v>0</v>
      </c>
      <c r="F24" s="14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3" t="str">
        <f>IF($F$9=SUM(F24:F26),"","Error! Microscope Result and HIV Status do NOT match; Crosscheck for missing information in Microscope Result OR HIV Status")</f>
        <v/>
      </c>
      <c r="H24" s="54"/>
      <c r="I24" s="16" t="str">
        <f t="shared" ref="I24:I31" si="1">IF(SUM(C24:E24)=F24,"","Check Total Value &amp; Category")</f>
        <v/>
      </c>
    </row>
    <row r="25" spans="1:9" hidden="1" x14ac:dyDescent="0.3">
      <c r="A25" s="45"/>
      <c r="B25" s="14" t="s">
        <v>29</v>
      </c>
      <c r="C25" s="14">
        <f>COUNTIFS(Results!$E:$E,"&gt;="&amp;$I$2,Results!$E:$E,"&lt;="&amp;$I$3,Results!$L:$L,"Negative",Results!$H:$H,"Positive", Results!$F:$F,"*tive")</f>
        <v>0</v>
      </c>
      <c r="D25" s="14">
        <f>COUNTIFS(Results!$E:$E,"&gt;="&amp;$I$2,Results!$E:$E,"&lt;="&amp;$I$3,Results!$L:$L,"Negative",Results!$H:$H,"Negative", Results!$F:$F,"*tive")</f>
        <v>0</v>
      </c>
      <c r="E25" s="14">
        <f>COUNTIFS(Results!$E:$E,"&gt;="&amp;$I$2,Results!$E:$E,"&lt;="&amp;$I$3,Results!$L:$L,"Negative",Results!$H:$H,"Unknown", Results!$F:$F,"*tive")</f>
        <v>0</v>
      </c>
      <c r="F25" s="14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3"/>
      <c r="H25" s="54"/>
      <c r="I25" s="16" t="str">
        <f t="shared" si="1"/>
        <v/>
      </c>
    </row>
    <row r="26" spans="1:9" hidden="1" x14ac:dyDescent="0.3">
      <c r="A26" s="46"/>
      <c r="B26" s="14" t="s">
        <v>30</v>
      </c>
      <c r="C26" s="14">
        <f>COUNTIFS(Results!$E:$E,"&gt;="&amp;$I$2,Results!$E:$E,"&lt;="&amp;$I$3,Results!$L:$L,"Not Done",Results!$H:$H,"Positive", Results!$F:$F,"*tive")</f>
        <v>0</v>
      </c>
      <c r="D26" s="14">
        <f>COUNTIFS(Results!$E:$E,"&gt;="&amp;$I$2,Results!$E:$E,"&lt;="&amp;$I$3,Results!$L:$L,"Not Done",Results!$H:$H,"Negative", Results!$F:$F,"*tive")</f>
        <v>0</v>
      </c>
      <c r="E26" s="14">
        <f>COUNTIFS(Results!$E:$E,"&gt;="&amp;$I$2,Results!$E:$E,"&lt;="&amp;$I$3,Results!$L:$L,"Not Done",Results!$H:$H,"Unknown", Results!$F:$F,"*tive")</f>
        <v>0</v>
      </c>
      <c r="F26" s="14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3"/>
      <c r="H26" s="54"/>
      <c r="I26" s="16" t="str">
        <f t="shared" si="1"/>
        <v/>
      </c>
    </row>
    <row r="27" spans="1:9" x14ac:dyDescent="0.3">
      <c r="A27" s="47" t="s">
        <v>27</v>
      </c>
      <c r="B27" s="14" t="s">
        <v>21</v>
      </c>
      <c r="C27" s="14">
        <f>COUNTIFS(Results!$E:$E,"&gt;="&amp;$I$2,Results!$E:$E,"&lt;="&amp;$I$3,Results!$F:$F,"Negative",Results!$H:$H,"Positive")</f>
        <v>0</v>
      </c>
      <c r="D27" s="14">
        <f>COUNTIFS(Results!$E:$E,"&gt;="&amp;$I$2,Results!$E:$E,"&lt;="&amp;$I$3,Results!$F:$F,"Negative",Results!$H:$H,"Negative")</f>
        <v>0</v>
      </c>
      <c r="E27" s="14">
        <f>COUNTIFS(Results!$E:$E,"&gt;="&amp;$I$2,Results!$E:$E,"&lt;="&amp;$I$3,Results!$F:$F,"Negative",Results!$H:$H,"Unknown")</f>
        <v>0</v>
      </c>
      <c r="F27" s="14">
        <f>COUNTIFS(Results!$E:$E,"&gt;="&amp;$I$2,Results!$E:$E,"&lt;="&amp;$I$3,Results!$F:$F,"Negative", Results!$H:$H,"&lt;&gt;Not on Form", Results!$H:$H,"&lt;&gt;N/A")</f>
        <v>0</v>
      </c>
      <c r="G27" s="53" t="str">
        <f>IF($F$9=SUM(F27:F31),"","Error! Cross information between Xpert result and HIV Status are not match; possibly there will be Erorr or missing information on MTB result OR HIV Status")</f>
        <v/>
      </c>
      <c r="H27" s="54"/>
      <c r="I27" s="16" t="str">
        <f t="shared" si="1"/>
        <v/>
      </c>
    </row>
    <row r="28" spans="1:9" x14ac:dyDescent="0.3">
      <c r="A28" s="48"/>
      <c r="B28" s="14" t="s">
        <v>31</v>
      </c>
      <c r="C28" s="14">
        <f>COUNTIFS(Results!$E:$E,"&gt;="&amp;$I$2,Results!$E:$E,"&lt;="&amp;$I$3,Results!$F:$F,"Positive",Results!$G:$G,"Negative",Results!$H:$H,"Positive")</f>
        <v>0</v>
      </c>
      <c r="D28" s="14">
        <f>COUNTIFS(Results!$E:$E,"&gt;="&amp;$I$2,Results!$E:$E,"&lt;="&amp;$I$3,Results!$F:$F,"Positive",Results!$G:$G,"Negative",Results!$H:$H,"Negative")</f>
        <v>0</v>
      </c>
      <c r="E28" s="14">
        <f>COUNTIFS(Results!$E:$E,"&gt;="&amp;$I$2,Results!$E:$E,"&lt;="&amp;$I$3,Results!$F:$F,"Positive",Results!$G:$G,"Negative",Results!$H:$H,"Unknown")</f>
        <v>0</v>
      </c>
      <c r="F28" s="14">
        <f>COUNTIFS(Results!$E:$E,"&gt;="&amp;$I$2,Results!$E:$E,"&lt;="&amp;$I$3,Results!$F:$F,"Positive",Results!$G:$G,"Negative", Results!$H:$H,"&lt;&gt;Not on Form", Results!$H:$H,"&lt;&gt;N/A")</f>
        <v>0</v>
      </c>
      <c r="G28" s="53"/>
      <c r="H28" s="54"/>
      <c r="I28" s="16" t="str">
        <f t="shared" si="1"/>
        <v/>
      </c>
    </row>
    <row r="29" spans="1:9" x14ac:dyDescent="0.3">
      <c r="A29" s="48"/>
      <c r="B29" s="14" t="s">
        <v>32</v>
      </c>
      <c r="C29" s="14">
        <f>COUNTIFS(Results!$E:$E,"&gt;="&amp;$I$2,Results!$E:$E,"&lt;="&amp;$I$3,Results!$F:$F,"Positive",Results!$G:$G,"Positive",Results!$H:$H,"Positive")</f>
        <v>0</v>
      </c>
      <c r="D29" s="14">
        <f>COUNTIFS(Results!$E:$E,"&gt;="&amp;$I$2,Results!$E:$E,"&lt;="&amp;$I$3,Results!$F:$F,"Positive",Results!$G:$G,"Positive",Results!$H:$H,"Negative")</f>
        <v>0</v>
      </c>
      <c r="E29" s="14">
        <f>COUNTIFS(Results!$E:$E,"&gt;="&amp;$I$2,Results!$E:$E,"&lt;="&amp;$I$3,Results!$F:$F,"Positive",Results!$G:$G,"Positive",Results!$H:$H,"Unknown")</f>
        <v>0</v>
      </c>
      <c r="F29" s="14">
        <f>COUNTIFS(Results!$E:$E,"&gt;="&amp;$I$2,Results!$E:$E,"&lt;="&amp;$I$3,Results!$F:$F,"Positive",Results!$G:$G,"Positive", Results!$H:$H,"&lt;&gt;Not on Form", Results!$H:$H,"&lt;&gt;N/A")</f>
        <v>0</v>
      </c>
      <c r="G29" s="53"/>
      <c r="H29" s="54"/>
      <c r="I29" s="16" t="str">
        <f t="shared" si="1"/>
        <v/>
      </c>
    </row>
    <row r="30" spans="1:9" x14ac:dyDescent="0.3">
      <c r="A30" s="48"/>
      <c r="B30" s="14" t="s">
        <v>33</v>
      </c>
      <c r="C30" s="14">
        <f>COUNTIFS(Results!$E:$E,"&gt;="&amp;$I$2,Results!$E:$E,"&lt;="&amp;$I$3,Results!$F:$F,"Positive",Results!$G:$G,"Indeterminate",Results!$H:$H,"Positive")</f>
        <v>0</v>
      </c>
      <c r="D30" s="14">
        <f>COUNTIFS(Results!$E:$E,"&gt;="&amp;$I$2,Results!$E:$E,"&lt;="&amp;$I$3,Results!$F:$F,"Positive",Results!$G:$G,"Indeterminate",Results!$H:$H,"Negative")</f>
        <v>0</v>
      </c>
      <c r="E30" s="14">
        <f>COUNTIFS(Results!$E:$E,"&gt;="&amp;$I$2,Results!$E:$E,"&lt;="&amp;$I$3,Results!$F:$F,"Positive",Results!$G:$G,"Indeterminate",Results!$H:$H,"Unknown")</f>
        <v>0</v>
      </c>
      <c r="F30" s="14">
        <f>COUNTIFS(Results!$E:$E,"&gt;="&amp;$I$2,Results!$E:$E,"&lt;="&amp;$I$3,Results!$F:$F,"Positive",Results!$G:$G,"Indeterminate", Results!$H:$H,"&lt;&gt;Not on Form", Results!$H:$H,"&lt;&gt;N/A")</f>
        <v>0</v>
      </c>
      <c r="G30" s="53"/>
      <c r="H30" s="54"/>
      <c r="I30" s="16"/>
    </row>
    <row r="31" spans="1:9" x14ac:dyDescent="0.3">
      <c r="A31" s="49"/>
      <c r="B31" s="57" t="s">
        <v>105</v>
      </c>
      <c r="C31" s="14">
        <f>COUNTIFS(Results!$E:$E,"&gt;="&amp;$I$2,Results!$E:$E,"&lt;="&amp;$I$3,Results!$F:$F,"Trace",Results!$G:$G,"Indeterminate",Results!$H:$H,"Positive")</f>
        <v>0</v>
      </c>
      <c r="D31" s="14">
        <f>COUNTIFS(Results!$E:$E,"&gt;="&amp;$I$2,Results!$E:$E,"&lt;="&amp;$I$3,Results!$F:$F,"Trace",Results!$G:$G,"Indeterminate",Results!$H:$H,"Negative")</f>
        <v>0</v>
      </c>
      <c r="E31" s="14">
        <f>COUNTIFS(Results!$E:$E,"&gt;="&amp;$I$2,Results!$E:$E,"&lt;="&amp;$I$3,Results!$F:$F,"Trace",Results!$G:$G,"Indeterminate",Results!$H:$H,"Unknown")</f>
        <v>0</v>
      </c>
      <c r="F31" s="14">
        <f>COUNTIFS(Results!$E:$E,"&gt;="&amp;$I$2,Results!$E:$E,"&lt;="&amp;$I$3,Results!$F:$F,"Trace",Results!$G:$G,"Indeterminate", Results!$H:$H,"&lt;&gt;Not on Form", Results!$H:$H,"&lt;&gt;N/A")</f>
        <v>0</v>
      </c>
      <c r="G31" s="53"/>
      <c r="H31" s="54"/>
      <c r="I31" s="16" t="str">
        <f t="shared" si="1"/>
        <v/>
      </c>
    </row>
    <row r="33" spans="1:10" x14ac:dyDescent="0.3">
      <c r="C33" s="42" t="s">
        <v>4</v>
      </c>
      <c r="D33" s="43"/>
      <c r="E33" s="42" t="s">
        <v>5</v>
      </c>
      <c r="F33" s="43"/>
      <c r="G33" s="18" t="s">
        <v>8</v>
      </c>
    </row>
    <row r="34" spans="1:10" x14ac:dyDescent="0.3">
      <c r="A34" s="14" t="s">
        <v>37</v>
      </c>
      <c r="B34" s="14"/>
      <c r="C34" s="42">
        <f>COUNTIFS(Results!$E:$E,"&gt;="&amp;$I$2,Results!$E:$E,"&lt;="&amp;$I$3,Results!$I:$I,"Male",Results!$F:$F,"Positive",Results!$G:$G,"Positive")</f>
        <v>0</v>
      </c>
      <c r="D34" s="43"/>
      <c r="E34" s="42">
        <f>COUNTIFS(Results!$E:$E,"&gt;="&amp;$I$2,Results!$E:$E,"&lt;="&amp;$I$3,Results!$I:$I,"Female",Results!$F:$F,"Positive",Results!$G:$G,"Positive")</f>
        <v>0</v>
      </c>
      <c r="F34" s="43"/>
      <c r="G34" s="14">
        <f>COUNTIFS(Results!$E:$E,"&gt;="&amp;$I$2,Results!$E:$E,"&lt;="&amp;$I$3,Results!$F:$F,"Positive",Results!$G:$G,"Positive", Results!$I:$I,"&lt;&gt;Not on Form", Results!$I:$I,"&lt;&gt;N/A")</f>
        <v>0</v>
      </c>
    </row>
    <row r="36" spans="1:10" x14ac:dyDescent="0.3">
      <c r="A36" s="7" t="s">
        <v>38</v>
      </c>
    </row>
    <row r="37" spans="1:10" x14ac:dyDescent="0.3">
      <c r="A37" s="14"/>
      <c r="B37" s="14"/>
      <c r="C37" s="42" t="s">
        <v>40</v>
      </c>
      <c r="D37" s="43"/>
      <c r="E37" s="42" t="s">
        <v>39</v>
      </c>
      <c r="F37" s="43"/>
      <c r="G37" s="14" t="s">
        <v>8</v>
      </c>
    </row>
    <row r="38" spans="1:10" x14ac:dyDescent="0.3">
      <c r="A38" s="19" t="s">
        <v>41</v>
      </c>
      <c r="B38" s="20"/>
      <c r="C38" s="42">
        <f>COUNTIFS(Results!$E:$E,"&gt;="&amp;$I$2,Results!$E:$E,"&lt;="&amp;$I$3,Results!$F:$F,"Positive",Results!$L:$L,"Positive")</f>
        <v>0</v>
      </c>
      <c r="D38" s="43"/>
      <c r="E38" s="42">
        <f>COUNTIFS(Results!$E:$E,"&gt;="&amp;$I$2,Results!$E:$E,"&lt;="&amp;$I$3,Results!$F:$F,"Negative",Results!$L:$L,"Positive")</f>
        <v>0</v>
      </c>
      <c r="F38" s="43"/>
      <c r="G38" s="14">
        <f>COUNTIFS(Results!$E:$E,"&gt;="&amp;$I$2,Results!$E:$E,"&lt;="&amp;$I$3,Results!$L:$L,"Positive", Results!$F:$F,"*tive", Results!$L:$L,"&lt;&gt;Not on Form", Results!$L:$L,"&lt;&gt;N/A")</f>
        <v>0</v>
      </c>
      <c r="H38" s="55" t="s">
        <v>78</v>
      </c>
      <c r="I38" s="56"/>
      <c r="J38" s="16" t="str">
        <f>IF(SUM(C38:F38)=G38,"","Check Total Value &amp; Category")</f>
        <v/>
      </c>
    </row>
    <row r="39" spans="1:10" x14ac:dyDescent="0.3">
      <c r="A39" s="19" t="s">
        <v>42</v>
      </c>
      <c r="B39" s="20"/>
      <c r="C39" s="42">
        <f>COUNTIFS(Results!$E:$E,"&gt;="&amp;$I$2,Results!$E:$E,"&lt;="&amp;$I$3,Results!$F:$F,"Positive",Results!$L:$L,"Negative")</f>
        <v>0</v>
      </c>
      <c r="D39" s="43"/>
      <c r="E39" s="42">
        <f>COUNTIFS(Results!$E:$E,"&gt;="&amp;$I$2,Results!$E:$E,"&lt;="&amp;$I$3,Results!$F:$F,"Negative",Results!$L:$L,"Negative")</f>
        <v>0</v>
      </c>
      <c r="F39" s="43"/>
      <c r="G39" s="14">
        <f>COUNTIFS(Results!$E:$E,"&gt;="&amp;$I$2,Results!$E:$E,"&lt;="&amp;$I$3,Results!$L:$L,"Negative", Results!$F:$F,"*tive", Results!$F:$F,"*tive", Results!$L:$L,"&lt;&gt;Not on Form", Results!$L:$L,"&lt;&gt;N/A")</f>
        <v>0</v>
      </c>
      <c r="H39" s="55"/>
      <c r="I39" s="56"/>
      <c r="J39" s="16" t="str">
        <f>IF(SUM(C39:F39)=G39,"","Check Total Value &amp; Category")</f>
        <v/>
      </c>
    </row>
    <row r="40" spans="1:10" x14ac:dyDescent="0.3">
      <c r="A40" s="19" t="s">
        <v>43</v>
      </c>
      <c r="B40" s="20"/>
      <c r="C40" s="42">
        <f>COUNTIFS(Results!$E:$E,"&gt;="&amp;$I$2,Results!$E:$E,"&lt;="&amp;$I$3,Results!$F:$F,"Positive",Results!$L:$L,"Not Done")</f>
        <v>0</v>
      </c>
      <c r="D40" s="43"/>
      <c r="E40" s="42">
        <f>COUNTIFS(Results!$E:$E,"&gt;="&amp;$I$2,Results!$E:$E,"&lt;="&amp;$I$3,Results!$F:$F,"Negative",Results!$L:$L,"Not Done")</f>
        <v>0</v>
      </c>
      <c r="F40" s="43"/>
      <c r="G40" s="14">
        <f>COUNTIFS(Results!$E:$E,"&gt;="&amp;$I$2,Results!$E:$E,"&lt;="&amp;$I$3,Results!$L:$L,"Not Done", Results!$F:$F,"*tive", Results!$F:$F,"*tive", Results!$L:$L,"&lt;&gt;Not on Form", Results!$L:$L,"&lt;&gt;N/A")</f>
        <v>0</v>
      </c>
      <c r="H40" s="55"/>
      <c r="I40" s="56"/>
      <c r="J40" s="16" t="str">
        <f>IF(SUM(C40:F40)=G40,"","Check Total Value &amp; Category")</f>
        <v/>
      </c>
    </row>
    <row r="42" spans="1:10" x14ac:dyDescent="0.3">
      <c r="A42" s="22" t="s">
        <v>44</v>
      </c>
      <c r="B42" s="22"/>
      <c r="C42" s="22"/>
      <c r="D42" s="22"/>
      <c r="E42" s="22"/>
      <c r="F42" s="22"/>
      <c r="G42" s="22"/>
      <c r="H42" s="22"/>
      <c r="I42" s="22"/>
    </row>
    <row r="43" spans="1:10" x14ac:dyDescent="0.3">
      <c r="A43" s="23"/>
      <c r="B43" s="23"/>
      <c r="C43" s="40" t="s">
        <v>45</v>
      </c>
      <c r="D43" s="41"/>
      <c r="E43" s="40" t="s">
        <v>46</v>
      </c>
      <c r="F43" s="41"/>
      <c r="G43" s="22"/>
      <c r="H43" s="22"/>
      <c r="I43" s="22"/>
    </row>
    <row r="44" spans="1:10" x14ac:dyDescent="0.3">
      <c r="A44" s="24" t="s">
        <v>47</v>
      </c>
      <c r="B44" s="25"/>
      <c r="C44" s="40"/>
      <c r="D44" s="41"/>
      <c r="E44" s="40"/>
      <c r="F44" s="41"/>
      <c r="G44" s="22"/>
      <c r="H44" s="22"/>
      <c r="I44" s="22"/>
    </row>
    <row r="45" spans="1:10" x14ac:dyDescent="0.3">
      <c r="A45" s="24" t="s">
        <v>48</v>
      </c>
      <c r="B45" s="25"/>
      <c r="C45" s="40"/>
      <c r="D45" s="41"/>
      <c r="E45" s="40"/>
      <c r="F45" s="41"/>
      <c r="G45" s="22"/>
      <c r="H45" s="22"/>
      <c r="I45" s="22"/>
    </row>
    <row r="46" spans="1:10" x14ac:dyDescent="0.3">
      <c r="A46" s="24" t="s">
        <v>49</v>
      </c>
      <c r="B46" s="25"/>
      <c r="C46" s="40">
        <f>COUNTIFS(Results!$E:$E,"&gt;="&amp;$I$2,Results!$E:$E,"&lt;="&amp;$I$3)</f>
        <v>0</v>
      </c>
      <c r="D46" s="41"/>
      <c r="E46" s="40"/>
      <c r="F46" s="41"/>
      <c r="G46" s="22"/>
      <c r="H46" s="22"/>
      <c r="I46" s="22"/>
    </row>
    <row r="47" spans="1:10" x14ac:dyDescent="0.3">
      <c r="A47" s="24" t="s">
        <v>50</v>
      </c>
      <c r="B47" s="25"/>
      <c r="C47" s="40">
        <f>C44+C45-C46</f>
        <v>0</v>
      </c>
      <c r="D47" s="41"/>
      <c r="E47" s="40"/>
      <c r="F47" s="41"/>
      <c r="G47" s="22"/>
      <c r="H47" s="22"/>
      <c r="I47" s="22"/>
    </row>
    <row r="48" spans="1:10" x14ac:dyDescent="0.3">
      <c r="A48" s="26" t="s">
        <v>51</v>
      </c>
      <c r="B48" s="26"/>
      <c r="C48" s="26">
        <f>COUNTIFS(Results!$E:$E,"&gt;="&amp;$I$2,Results!$E:$E,"&lt;="&amp;$I$3,Results!$F:$F,"Error")+COUNTIFS(Results!$E:$E,"&gt;="&amp;$I$2,Results!$E:$E,"&lt;="&amp;$I$3,Results!$F:$F,"Invalid")</f>
        <v>0</v>
      </c>
      <c r="D48" s="22"/>
      <c r="E48" s="22"/>
      <c r="F48" s="22"/>
      <c r="G48" s="22"/>
      <c r="H48" s="22"/>
      <c r="I48" s="22"/>
    </row>
    <row r="49" spans="1:9" x14ac:dyDescent="0.3">
      <c r="A49" s="26" t="s">
        <v>79</v>
      </c>
      <c r="B49" s="22"/>
      <c r="C49" s="26">
        <f>COUNTIFS(Results!$E:$E,"&gt;="&amp;$I$2,Results!$E:$E,"&lt;="&amp;$I$3,Results!$F:$F,"No Result")</f>
        <v>0</v>
      </c>
      <c r="D49" s="22"/>
      <c r="E49" s="22"/>
      <c r="F49" s="22"/>
      <c r="G49" s="22"/>
      <c r="H49" s="22"/>
      <c r="I49" s="22"/>
    </row>
    <row r="50" spans="1:9" x14ac:dyDescent="0.3">
      <c r="A50" s="22"/>
      <c r="B50" s="22"/>
      <c r="C50" s="22"/>
      <c r="D50" s="22"/>
      <c r="E50" s="22"/>
      <c r="F50" s="22"/>
      <c r="G50" s="22"/>
      <c r="H50" s="22"/>
      <c r="I50" s="22"/>
    </row>
    <row r="51" spans="1:9" x14ac:dyDescent="0.3">
      <c r="A51" s="22"/>
      <c r="B51" s="22"/>
      <c r="C51" s="22"/>
      <c r="D51" s="22"/>
      <c r="E51" s="22" t="s">
        <v>52</v>
      </c>
      <c r="F51" s="27"/>
      <c r="G51" s="27"/>
      <c r="H51" s="22"/>
      <c r="I51" s="22"/>
    </row>
    <row r="52" spans="1:9" x14ac:dyDescent="0.3">
      <c r="A52" s="22"/>
      <c r="B52" s="22"/>
      <c r="C52" s="22"/>
      <c r="D52" s="22"/>
      <c r="E52" s="22" t="s">
        <v>53</v>
      </c>
      <c r="F52" s="28"/>
      <c r="G52" s="28"/>
      <c r="H52" s="22"/>
      <c r="I52" s="22"/>
    </row>
    <row r="53" spans="1:9" x14ac:dyDescent="0.3">
      <c r="A53" s="22"/>
      <c r="B53" s="22"/>
      <c r="C53" s="22"/>
      <c r="D53" s="22"/>
      <c r="E53" s="22" t="s">
        <v>54</v>
      </c>
      <c r="F53" s="28"/>
      <c r="G53" s="28"/>
      <c r="H53" s="22"/>
      <c r="I53" s="22"/>
    </row>
    <row r="54" spans="1:9" x14ac:dyDescent="0.3">
      <c r="A54" s="22"/>
      <c r="B54" s="22"/>
      <c r="C54" s="22"/>
      <c r="D54" s="22"/>
      <c r="E54" s="22" t="s">
        <v>55</v>
      </c>
      <c r="F54" s="28"/>
      <c r="G54" s="28"/>
      <c r="H54" s="22"/>
      <c r="I54" s="22"/>
    </row>
    <row r="55" spans="1:9" x14ac:dyDescent="0.3">
      <c r="A55" s="22"/>
      <c r="B55" s="22"/>
      <c r="C55" s="22"/>
      <c r="D55" s="22"/>
      <c r="E55" s="22"/>
      <c r="F55" s="22"/>
      <c r="G55" s="22"/>
      <c r="H55" s="22"/>
      <c r="I55" s="22"/>
    </row>
    <row r="56" spans="1:9" x14ac:dyDescent="0.3">
      <c r="A56" s="22"/>
      <c r="B56" s="22"/>
      <c r="C56" s="22"/>
      <c r="D56" s="22"/>
      <c r="E56" s="22"/>
      <c r="F56" s="22"/>
      <c r="G56" s="22"/>
      <c r="H56" s="22"/>
      <c r="I56" s="22"/>
    </row>
  </sheetData>
  <mergeCells count="36">
    <mergeCell ref="G13:H15"/>
    <mergeCell ref="G16:H20"/>
    <mergeCell ref="G24:H26"/>
    <mergeCell ref="G27:H31"/>
    <mergeCell ref="H38:I40"/>
    <mergeCell ref="C34:D34"/>
    <mergeCell ref="E34:F34"/>
    <mergeCell ref="A1:F1"/>
    <mergeCell ref="A7:A8"/>
    <mergeCell ref="B7:C7"/>
    <mergeCell ref="D7:E7"/>
    <mergeCell ref="F7:F8"/>
    <mergeCell ref="A13:A15"/>
    <mergeCell ref="A16:A20"/>
    <mergeCell ref="A24:A26"/>
    <mergeCell ref="A27:A31"/>
    <mergeCell ref="C33:D33"/>
    <mergeCell ref="E33:F33"/>
    <mergeCell ref="C44:D44"/>
    <mergeCell ref="E44:F44"/>
    <mergeCell ref="C37:D37"/>
    <mergeCell ref="E37:F37"/>
    <mergeCell ref="C38:D38"/>
    <mergeCell ref="E38:F38"/>
    <mergeCell ref="C39:D39"/>
    <mergeCell ref="E39:F39"/>
    <mergeCell ref="C40:D40"/>
    <mergeCell ref="E40:F40"/>
    <mergeCell ref="C43:D43"/>
    <mergeCell ref="E43:F43"/>
    <mergeCell ref="C47:D47"/>
    <mergeCell ref="E47:F47"/>
    <mergeCell ref="C45:D45"/>
    <mergeCell ref="E45:F45"/>
    <mergeCell ref="C46:D46"/>
    <mergeCell ref="E46:F46"/>
  </mergeCells>
  <conditionalFormatting sqref="G9">
    <cfRule type="notContainsBlanks" dxfId="8" priority="9">
      <formula>LEN(TRIM(G9))&gt;0</formula>
    </cfRule>
  </conditionalFormatting>
  <conditionalFormatting sqref="G13">
    <cfRule type="notContainsBlanks" dxfId="7" priority="13">
      <formula>LEN(TRIM(G13))&gt;0</formula>
    </cfRule>
  </conditionalFormatting>
  <conditionalFormatting sqref="G16">
    <cfRule type="notContainsBlanks" dxfId="6" priority="14">
      <formula>LEN(TRIM(G16))&gt;0</formula>
    </cfRule>
  </conditionalFormatting>
  <conditionalFormatting sqref="G24">
    <cfRule type="notContainsBlanks" dxfId="5" priority="15">
      <formula>LEN(TRIM(G24))&gt;0</formula>
    </cfRule>
  </conditionalFormatting>
  <conditionalFormatting sqref="G27">
    <cfRule type="notContainsBlanks" dxfId="4" priority="16">
      <formula>LEN(TRIM(G27))&gt;0</formula>
    </cfRule>
  </conditionalFormatting>
  <conditionalFormatting sqref="H38">
    <cfRule type="notContainsBlanks" dxfId="3" priority="10">
      <formula>LEN(TRIM(H38))&gt;0</formula>
    </cfRule>
  </conditionalFormatting>
  <conditionalFormatting sqref="I13:I20">
    <cfRule type="notContainsBlanks" dxfId="2" priority="8">
      <formula>LEN(TRIM(I13))&gt;0</formula>
    </cfRule>
  </conditionalFormatting>
  <conditionalFormatting sqref="I24:I31">
    <cfRule type="notContainsBlanks" dxfId="1" priority="1">
      <formula>LEN(TRIM(I24))&gt;0</formula>
    </cfRule>
  </conditionalFormatting>
  <conditionalFormatting sqref="J38:J40">
    <cfRule type="notContainsBlanks" dxfId="0" priority="19">
      <formula>LEN(TRIM(J38))&gt;0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8</vt:i4>
      </vt:variant>
    </vt:vector>
  </HeadingPairs>
  <TitlesOfParts>
    <vt:vector size="26" baseType="lpstr">
      <vt:lpstr>Results</vt:lpstr>
      <vt:lpstr>Jan</vt:lpstr>
      <vt:lpstr>Feb</vt:lpstr>
      <vt:lpstr>Mar</vt:lpstr>
      <vt:lpstr>Q1</vt:lpstr>
      <vt:lpstr>Apr</vt:lpstr>
      <vt:lpstr>May</vt:lpstr>
      <vt:lpstr>Jun</vt:lpstr>
      <vt:lpstr>Q2</vt:lpstr>
      <vt:lpstr>Jul</vt:lpstr>
      <vt:lpstr>Aug</vt:lpstr>
      <vt:lpstr>Sep</vt:lpstr>
      <vt:lpstr>Q3</vt:lpstr>
      <vt:lpstr>Oct</vt:lpstr>
      <vt:lpstr>Nov</vt:lpstr>
      <vt:lpstr>Dec</vt:lpstr>
      <vt:lpstr>Q4</vt:lpstr>
      <vt:lpstr>Annual</vt:lpstr>
      <vt:lpstr>GeneAge</vt:lpstr>
      <vt:lpstr>GeneDate</vt:lpstr>
      <vt:lpstr>GeneDeployment</vt:lpstr>
      <vt:lpstr>GeneHIV</vt:lpstr>
      <vt:lpstr>GeneLab</vt:lpstr>
      <vt:lpstr>GeneMTB</vt:lpstr>
      <vt:lpstr>GeneRif</vt:lpstr>
      <vt:lpstr>GeneSex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Oppenheimer</dc:creator>
  <cp:lastModifiedBy>Ruslan</cp:lastModifiedBy>
  <cp:lastPrinted>2018-07-12T16:26:09Z</cp:lastPrinted>
  <dcterms:created xsi:type="dcterms:W3CDTF">2018-05-14T19:07:22Z</dcterms:created>
  <dcterms:modified xsi:type="dcterms:W3CDTF">2024-07-22T13:29:42Z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7e2af35f-ade2-421a-bcd1-ed35f235dd93</vt:lpwstr>
  </property>
</Properties>
</file>