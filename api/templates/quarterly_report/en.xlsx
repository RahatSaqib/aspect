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3.xml" ContentType="application/vnd.openxmlformats-officedocument.spreadsheetml.worksheet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sults" sheetId="1" state="visible" r:id="rId1"/>
    <sheet name="Jan" sheetId="2" state="visible" r:id="rId2"/>
    <sheet name="Feb" sheetId="3" state="visible" r:id="rId3"/>
    <sheet name="Mar" sheetId="4" state="visible" r:id="rId4"/>
    <sheet name="Q1" sheetId="5" state="visible" r:id="rId5"/>
    <sheet name="Apr" sheetId="6" state="visible" r:id="rId6"/>
    <sheet name="May" sheetId="7" state="visible" r:id="rId7"/>
    <sheet name="Jun" sheetId="8" state="visible" r:id="rId8"/>
    <sheet name="Q2" sheetId="9" state="visible" r:id="rId9"/>
    <sheet name="Jul" sheetId="10" state="visible" r:id="rId10"/>
    <sheet name="Aug" sheetId="11" state="visible" r:id="rId11"/>
    <sheet name="Sep" sheetId="12" state="visible" r:id="rId12"/>
    <sheet name="Q3" sheetId="13" state="visible" r:id="rId13"/>
    <sheet name="Oct" sheetId="14" state="visible" r:id="rId14"/>
    <sheet name="Nov" sheetId="15" state="visible" r:id="rId15"/>
    <sheet name="Dec" sheetId="16" state="visible" r:id="rId16"/>
    <sheet name="Q4" sheetId="17" state="visible" r:id="rId17"/>
    <sheet name="Annual" sheetId="18" state="visible" r:id="rId18"/>
  </sheets>
  <definedNames>
    <definedName name="devicelist">INDEX(#REF!,1):INDEX(#REF!,MIN(COUNTA(#REF!),#REF!))</definedName>
    <definedName name="GeneAge">Results!$K$1:$K$17245</definedName>
    <definedName name="GeneDate">Results!$F$1:$F$17245</definedName>
    <definedName name="GeneDeployment">Results!$E$1:$E$17245</definedName>
    <definedName name="GeneHIV">Results!$I$1:$I$17245</definedName>
    <definedName name="GeneLab">Results!$E$1:$E$17245</definedName>
    <definedName name="GeneMTB">Results!$G$1:$G$17245</definedName>
    <definedName name="GeneRif">Results!$H$1:$H$17245</definedName>
    <definedName name="GeneSex">Results!$J$1:$J$17245</definedName>
    <definedName name="list">INDEX(#REF!,1):INDEX(#REF!,MIN(COUNTA(#REF!),#REF!))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<sst xmlns="http://schemas.openxmlformats.org/spreadsheetml/2006/main" count="116" uniqueCount="116">
  <si>
    <t>&lt;Table&gt;</t>
  </si>
  <si>
    <t>#</t>
  </si>
  <si>
    <t xml:space="preserve">Patient ID</t>
  </si>
  <si>
    <t xml:space="preserve">Sample ID</t>
  </si>
  <si>
    <t xml:space="preserve">Sample Type</t>
  </si>
  <si>
    <t>Device</t>
  </si>
  <si>
    <t xml:space="preserve">Test Date</t>
  </si>
  <si>
    <t>MTB</t>
  </si>
  <si>
    <t>Rif</t>
  </si>
  <si>
    <t>HIV</t>
  </si>
  <si>
    <t>Gender</t>
  </si>
  <si>
    <t>Age</t>
  </si>
  <si>
    <t xml:space="preserve">Previously Treated for TB</t>
  </si>
  <si>
    <t xml:space="preserve">Microscopy Result</t>
  </si>
  <si>
    <t xml:space="preserve">Patient City</t>
  </si>
  <si>
    <t xml:space="preserve">Treatment Unit</t>
  </si>
  <si>
    <t xml:space="preserve">Test Reason</t>
  </si>
  <si>
    <t xml:space="preserve">CXR Abnormalities</t>
  </si>
  <si>
    <t xml:space="preserve">Error Code</t>
  </si>
  <si>
    <t xml:space="preserve">Error Notes</t>
  </si>
  <si>
    <t xml:space="preserve">Test Notes</t>
  </si>
  <si>
    <t xml:space="preserve">Tested Month</t>
  </si>
  <si>
    <t xml:space="preserve">Tested Quarter</t>
  </si>
  <si>
    <t xml:space="preserve">Tested Year</t>
  </si>
  <si>
    <t>&lt;#&gt;</t>
  </si>
  <si>
    <t>&lt;patientId&gt;</t>
  </si>
  <si>
    <t>&lt;sampleId&gt;</t>
  </si>
  <si>
    <t>&lt;sampleType&gt;</t>
  </si>
  <si>
    <t>&lt;deviceName&gt;</t>
  </si>
  <si>
    <t>&lt;testDate&gt;</t>
  </si>
  <si>
    <t>&lt;result1&gt;</t>
  </si>
  <si>
    <t>&lt;result2&gt;</t>
  </si>
  <si>
    <t>&lt;hivStatus&gt;</t>
  </si>
  <si>
    <t>&lt;gender&gt;</t>
  </si>
  <si>
    <t>&lt;patientAgeYears&gt;</t>
  </si>
  <si>
    <t>&lt;previouslyTreated&gt;</t>
  </si>
  <si>
    <t>&lt;microscopyResult&gt;</t>
  </si>
  <si>
    <t>&lt;patientCity&gt;</t>
  </si>
  <si>
    <t>&lt;tag&gt;</t>
  </si>
  <si>
    <t>&lt;testReason&gt;</t>
  </si>
  <si>
    <t>&lt;cxrAbnormalities&gt;</t>
  </si>
  <si>
    <t>&lt;errorCode&gt;</t>
  </si>
  <si>
    <t>&lt;errorNotes&gt;</t>
  </si>
  <si>
    <t>&lt;notes&gt;</t>
  </si>
  <si>
    <t xml:space="preserve">GeneXpert MTB/RIF Testing Report</t>
  </si>
  <si>
    <t>Quarter</t>
  </si>
  <si>
    <t>Month</t>
  </si>
  <si>
    <t>Year</t>
  </si>
  <si>
    <t xml:space="preserve">Reporting Period</t>
  </si>
  <si>
    <t xml:space="preserve">1st Quarter</t>
  </si>
  <si>
    <t>January</t>
  </si>
  <si>
    <t xml:space="preserve">Reporting Unit</t>
  </si>
  <si>
    <r>
      <rPr>
        <b/>
        <sz val="11"/>
        <color theme="1"/>
        <rFont val="Calibri"/>
      </rPr>
      <t xml:space="preserve">Note: </t>
    </r>
    <r>
      <rPr>
        <sz val="11"/>
        <color theme="1"/>
        <rFont val="Calibri"/>
      </rPr>
      <t xml:space="preserve">Press Ctrl + Alt + Shift + F9 to see  the results in the cells.</t>
    </r>
  </si>
  <si>
    <t xml:space="preserve">1. Age and sex distribution of tested patients</t>
  </si>
  <si>
    <t>Male</t>
  </si>
  <si>
    <t>Female</t>
  </si>
  <si>
    <t>Total</t>
  </si>
  <si>
    <t>&lt;15</t>
  </si>
  <si>
    <t>&gt;=15</t>
  </si>
  <si>
    <t xml:space="preserve">2. Age and sex distribution of completed test</t>
  </si>
  <si>
    <t xml:space="preserve">3. Test results and previous history of TB</t>
  </si>
  <si>
    <t>New</t>
  </si>
  <si>
    <t>Retreatment</t>
  </si>
  <si>
    <t>Unknown</t>
  </si>
  <si>
    <t xml:space="preserve">Xpert MTB/RIF</t>
  </si>
  <si>
    <t>Negative</t>
  </si>
  <si>
    <t xml:space="preserve">TB with No RIF- Resistance</t>
  </si>
  <si>
    <t xml:space="preserve">TB with RIF- Resistance</t>
  </si>
  <si>
    <t xml:space="preserve">TB with RIF- Indeterminate</t>
  </si>
  <si>
    <t xml:space="preserve">TB - Trace with RIF- Indeterminate</t>
  </si>
  <si>
    <t xml:space="preserve">4. Test results and HIV status</t>
  </si>
  <si>
    <t xml:space="preserve">HIV
(+)</t>
  </si>
  <si>
    <t xml:space="preserve">HIV
(-)</t>
  </si>
  <si>
    <t xml:space="preserve">TB with NO RIF- Resistance</t>
  </si>
  <si>
    <t xml:space="preserve">5. Test results and Test reason</t>
  </si>
  <si>
    <t>Dx</t>
  </si>
  <si>
    <t>Fu</t>
  </si>
  <si>
    <t>MDR</t>
  </si>
  <si>
    <t>DM</t>
  </si>
  <si>
    <t>Na</t>
  </si>
  <si>
    <t xml:space="preserve">6. TB with Rif-Resistance detected</t>
  </si>
  <si>
    <t xml:space="preserve">7. Compare with sputum microscopy</t>
  </si>
  <si>
    <t xml:space="preserve">Xpert Positive</t>
  </si>
  <si>
    <t xml:space="preserve">Xpert Negative</t>
  </si>
  <si>
    <t xml:space="preserve">Xpert Trace</t>
  </si>
  <si>
    <t xml:space="preserve">Microscopy AFB (Positive)</t>
  </si>
  <si>
    <t xml:space="preserve">Microscopy AFB (Negative)</t>
  </si>
  <si>
    <t xml:space="preserve">Microscopy AFB (Not Done)</t>
  </si>
  <si>
    <t xml:space="preserve">8. Compare with CXR abnormalities</t>
  </si>
  <si>
    <t xml:space="preserve">9. Test kit Balance</t>
  </si>
  <si>
    <t>Amount</t>
  </si>
  <si>
    <t xml:space="preserve">Expire date</t>
  </si>
  <si>
    <t xml:space="preserve">Opening balance</t>
  </si>
  <si>
    <t xml:space="preserve">Received during this month</t>
  </si>
  <si>
    <t>Used</t>
  </si>
  <si>
    <t xml:space="preserve">Closing balance</t>
  </si>
  <si>
    <t xml:space="preserve">Remark : Error and Invalid result Cartridge</t>
  </si>
  <si>
    <t xml:space="preserve">                   No Results or Damaged Cartridge</t>
  </si>
  <si>
    <t xml:space="preserve">Sign                      </t>
  </si>
  <si>
    <t xml:space="preserve">Name                  </t>
  </si>
  <si>
    <t xml:space="preserve">Designation       </t>
  </si>
  <si>
    <t xml:space="preserve">Date                      </t>
  </si>
  <si>
    <t>February</t>
  </si>
  <si>
    <t>March</t>
  </si>
  <si>
    <t xml:space="preserve">2nd Quarter</t>
  </si>
  <si>
    <t>April</t>
  </si>
  <si>
    <t>May</t>
  </si>
  <si>
    <t>June</t>
  </si>
  <si>
    <t xml:space="preserve">3rd Quarter</t>
  </si>
  <si>
    <t>July</t>
  </si>
  <si>
    <t>August</t>
  </si>
  <si>
    <t>September</t>
  </si>
  <si>
    <t xml:space="preserve">4th Quarter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</si>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</sst>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\-mm\-yy"/>
    <numFmt numFmtId="165" formatCode="dd/mm/yy;@"/>
  </numFmts>
  <fonts count="11">
    <font>
      <sz val="12.000000"/>
      <color theme="1"/>
      <name val="Calibri"/>
      <scheme val="minor"/>
    </font>
    <font>
      <sz val="11.000000"/>
      <color theme="1"/>
      <name val="Calibri"/>
      <scheme val="minor"/>
    </font>
    <font>
      <sz val="12.000000"/>
      <color theme="1"/>
      <name val="Calibri"/>
    </font>
    <font>
      <b/>
      <sz val="12.000000"/>
      <color theme="1"/>
      <name val="Calibri"/>
    </font>
    <font>
      <b/>
      <sz val="12.000000"/>
      <color theme="1"/>
      <name val="Calibri"/>
      <scheme val="minor"/>
    </font>
    <font>
      <b/>
      <i/>
      <sz val="12.000000"/>
      <color theme="1"/>
      <name val="Calibri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1.000000"/>
      <color theme="1"/>
      <name val="Calibri"/>
    </font>
    <font>
      <i/>
      <sz val="12.000000"/>
      <color indexed="2"/>
      <name val="Calibri"/>
      <scheme val="minor"/>
    </font>
    <font>
      <b/>
      <sz val="11.000000"/>
      <color rgb="FF0070C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7" tint="0.79998168889431442"/>
      </patternFill>
    </fill>
    <fill>
      <patternFill patternType="solid">
        <fgColor theme="0"/>
        <bgColor rgb="FFFEF2CB"/>
      </patternFill>
    </fill>
    <fill>
      <patternFill patternType="solid">
        <fgColor theme="4" tint="0.59999389629810485"/>
      </patternFill>
    </fill>
    <fill>
      <patternFill patternType="solid">
        <fgColor indexed="5"/>
      </patternFill>
    </fill>
  </fills>
  <borders count="15">
    <border>
      <left style="none"/>
      <right style="none"/>
      <top style="none"/>
      <bottom style="none"/>
      <diagonal style="none"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none"/>
      <bottom style="none"/>
      <diagonal style="none"/>
    </border>
    <border>
      <left style="thin">
        <color indexed="64"/>
      </left>
      <right style="none"/>
      <top style="none"/>
      <bottom style="none"/>
      <diagonal style="none"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</borders>
  <cellStyleXfs count="26">
    <xf fontId="0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0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1" applyFill="1" applyBorder="1"/>
    <xf fontId="0" fillId="0" borderId="0" numFmtId="0" applyNumberFormat="1" applyFont="1" applyFill="1" applyBorder="1"/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64">
    <xf fontId="0" fillId="0" borderId="0" numFmtId="0" xfId="0"/>
    <xf fontId="0" fillId="0" borderId="0" numFmtId="0" xfId="0"/>
    <xf fontId="2" fillId="0" borderId="0" numFmtId="0" xfId="0" applyFont="1" applyAlignment="1">
      <alignment horizontal="left"/>
    </xf>
    <xf fontId="2" fillId="0" borderId="0" numFmtId="0" xfId="0" applyFont="1"/>
    <xf fontId="2" fillId="0" borderId="0" numFmtId="164" xfId="0" applyNumberFormat="1" applyFont="1"/>
    <xf fontId="2" fillId="0" borderId="0" numFmtId="0" xfId="0" applyFont="1" applyAlignment="1">
      <alignment horizontal="center"/>
    </xf>
    <xf fontId="3" fillId="2" borderId="1" numFmtId="0" xfId="0" applyFont="1" applyFill="1" applyBorder="1" applyAlignment="1">
      <alignment horizontal="center" vertical="center"/>
    </xf>
    <xf fontId="3" fillId="2" borderId="2" numFmtId="0" xfId="0" applyFont="1" applyFill="1" applyBorder="1" applyAlignment="1">
      <alignment horizontal="center" vertical="center"/>
    </xf>
    <xf fontId="3" fillId="2" borderId="2" numFmtId="0" xfId="0" applyFont="1" applyFill="1" applyBorder="1" applyAlignment="1">
      <alignment horizontal="center" vertical="center" wrapText="1"/>
    </xf>
    <xf fontId="3" fillId="2" borderId="2" numFmtId="164" xfId="0" applyNumberFormat="1" applyFont="1" applyFill="1" applyBorder="1" applyAlignment="1">
      <alignment horizontal="center" vertical="center"/>
    </xf>
    <xf fontId="3" fillId="2" borderId="3" numFmtId="0" xfId="0" applyFont="1" applyFill="1" applyBorder="1" applyAlignment="1">
      <alignment horizontal="center" vertical="center" wrapText="1"/>
    </xf>
    <xf fontId="4" fillId="3" borderId="0" numFmtId="0" xfId="0" applyFont="1" applyFill="1" applyAlignment="1">
      <alignment horizontal="center" vertical="center"/>
    </xf>
    <xf fontId="3" fillId="2" borderId="4" numFmtId="0" xfId="0" applyFont="1" applyFill="1" applyBorder="1" applyAlignment="1">
      <alignment horizontal="center" vertical="center" wrapText="1"/>
    </xf>
    <xf fontId="5" fillId="4" borderId="0" numFmtId="0" xfId="0" applyFont="1" applyFill="1" applyAlignment="1">
      <alignment horizontal="center" vertical="center" wrapText="1"/>
    </xf>
    <xf fontId="2" fillId="0" borderId="5" numFmtId="0" xfId="0" applyFont="1" applyBorder="1" applyAlignment="1">
      <alignment horizontal="center"/>
    </xf>
    <xf fontId="2" fillId="0" borderId="6" numFmtId="0" xfId="0" applyFont="1" applyBorder="1"/>
    <xf fontId="2" fillId="0" borderId="6" numFmtId="164" xfId="0" applyNumberFormat="1" applyFont="1" applyBorder="1"/>
    <xf fontId="2" fillId="0" borderId="6" numFmtId="1" xfId="0" applyNumberFormat="1" applyFont="1" applyBorder="1" applyAlignment="1">
      <alignment horizontal="center"/>
    </xf>
    <xf fontId="2" fillId="0" borderId="6" numFmtId="1" xfId="0" applyNumberFormat="1" applyFont="1" applyBorder="1"/>
    <xf fontId="6" fillId="0" borderId="0" numFmtId="0" xfId="7" applyFont="1" applyAlignment="1">
      <alignment horizontal="center" vertical="center"/>
    </xf>
    <xf fontId="1" fillId="0" borderId="0" numFmtId="0" xfId="7" applyFont="1" applyAlignment="1">
      <alignment vertical="center"/>
    </xf>
    <xf fontId="1" fillId="0" borderId="0" numFmtId="0" xfId="7" applyFont="1" applyAlignment="1">
      <alignment horizontal="right" vertical="center"/>
    </xf>
    <xf fontId="0" fillId="0" borderId="0" numFmtId="0" xfId="7"/>
    <xf fontId="1" fillId="0" borderId="0" numFmtId="0" xfId="7" applyFont="1" applyAlignment="1">
      <alignment horizontal="center" vertical="center"/>
    </xf>
    <xf fontId="7" fillId="0" borderId="0" numFmtId="0" xfId="7" applyFont="1" applyAlignment="1">
      <alignment vertical="center"/>
    </xf>
    <xf fontId="7" fillId="0" borderId="0" numFmtId="165" xfId="7" applyNumberFormat="1" applyFont="1" applyAlignment="1">
      <alignment vertical="center"/>
    </xf>
    <xf fontId="7" fillId="5" borderId="7" numFmtId="0" xfId="7" applyFont="1" applyFill="1" applyBorder="1" applyAlignment="1">
      <alignment vertical="center"/>
    </xf>
    <xf fontId="7" fillId="5" borderId="7" numFmtId="0" xfId="7" applyFont="1" applyFill="1" applyBorder="1" applyAlignment="1">
      <alignment horizontal="center" vertical="center"/>
    </xf>
    <xf fontId="8" fillId="6" borderId="0" numFmtId="0" xfId="0" applyFont="1" applyFill="1" applyAlignment="1">
      <alignment horizontal="center" vertical="center" wrapText="1"/>
    </xf>
    <xf fontId="7" fillId="0" borderId="8" numFmtId="0" xfId="7" applyFont="1" applyBorder="1" applyAlignment="1">
      <alignment horizontal="center" vertical="center"/>
    </xf>
    <xf fontId="7" fillId="0" borderId="9" numFmtId="0" xfId="7" applyFont="1" applyBorder="1" applyAlignment="1">
      <alignment horizontal="center" vertical="center"/>
    </xf>
    <xf fontId="7" fillId="0" borderId="10" numFmtId="0" xfId="7" applyFont="1" applyBorder="1" applyAlignment="1">
      <alignment horizontal="center" vertical="center"/>
    </xf>
    <xf fontId="7" fillId="0" borderId="11" numFmtId="0" xfId="7" applyFont="1" applyBorder="1" applyAlignment="1">
      <alignment horizontal="center" vertical="center"/>
    </xf>
    <xf fontId="7" fillId="0" borderId="7" numFmtId="0" xfId="7" applyFont="1" applyBorder="1" applyAlignment="1">
      <alignment horizontal="center" vertical="center"/>
    </xf>
    <xf fontId="1" fillId="0" borderId="7" numFmtId="0" xfId="7" applyFont="1" applyBorder="1" applyAlignment="1">
      <alignment vertical="center"/>
    </xf>
    <xf fontId="1" fillId="0" borderId="0" numFmtId="0" xfId="7" applyFont="1" applyAlignment="1" applyProtection="1">
      <alignment vertical="center"/>
      <protection hidden="1" locked="0"/>
    </xf>
    <xf fontId="9" fillId="0" borderId="0" numFmtId="0" xfId="7" applyFont="1" applyAlignment="1">
      <alignment vertical="center"/>
    </xf>
    <xf fontId="7" fillId="0" borderId="7" numFmtId="0" xfId="7" applyFont="1" applyBorder="1" applyAlignment="1">
      <alignment vertical="center"/>
    </xf>
    <xf fontId="1" fillId="0" borderId="7" numFmtId="0" xfId="7" applyFont="1" applyBorder="1" applyAlignment="1">
      <alignment horizontal="center" vertical="center"/>
    </xf>
    <xf fontId="1" fillId="0" borderId="12" numFmtId="0" xfId="7" applyFont="1" applyBorder="1" applyAlignment="1">
      <alignment vertical="center" wrapText="1"/>
    </xf>
    <xf fontId="1" fillId="0" borderId="0" numFmtId="0" xfId="7" applyFont="1" applyAlignment="1">
      <alignment vertical="center" wrapText="1"/>
    </xf>
    <xf fontId="7" fillId="0" borderId="7" numFmtId="0" xfId="7" applyFont="1" applyBorder="1" applyAlignment="1">
      <alignment horizontal="center" vertical="center" wrapText="1"/>
    </xf>
    <xf fontId="0" fillId="0" borderId="0" numFmtId="0" xfId="7" applyAlignment="1">
      <alignment vertical="center"/>
    </xf>
    <xf fontId="1" fillId="0" borderId="9" numFmtId="0" xfId="7" applyFont="1" applyBorder="1" applyAlignment="1">
      <alignment horizontal="right" vertical="center"/>
    </xf>
    <xf fontId="1" fillId="0" borderId="10" numFmtId="0" xfId="7" applyFont="1" applyBorder="1" applyAlignment="1">
      <alignment horizontal="right" vertical="center"/>
    </xf>
    <xf fontId="1" fillId="0" borderId="7" numFmtId="0" xfId="7" applyFont="1" applyBorder="1" applyAlignment="1">
      <alignment horizontal="right" vertical="center"/>
    </xf>
    <xf fontId="1" fillId="0" borderId="9" numFmtId="0" xfId="7" applyFont="1" applyBorder="1" applyAlignment="1">
      <alignment horizontal="left" vertical="center"/>
    </xf>
    <xf fontId="1" fillId="0" borderId="10" numFmtId="0" xfId="7" applyFont="1" applyBorder="1" applyAlignment="1">
      <alignment horizontal="left" vertical="center"/>
    </xf>
    <xf fontId="1" fillId="0" borderId="9" numFmtId="0" xfId="7" applyFont="1" applyBorder="1" applyAlignment="1">
      <alignment horizontal="center" vertical="center"/>
    </xf>
    <xf fontId="1" fillId="0" borderId="10" numFmtId="0" xfId="7" applyFont="1" applyBorder="1" applyAlignment="1">
      <alignment horizontal="center" vertical="center"/>
    </xf>
    <xf fontId="7" fillId="0" borderId="0" numFmtId="0" xfId="7" applyFont="1" applyAlignment="1" applyProtection="1">
      <alignment vertical="center"/>
      <protection locked="0"/>
    </xf>
    <xf fontId="1" fillId="0" borderId="0" numFmtId="0" xfId="7" applyFont="1" applyAlignment="1" applyProtection="1">
      <alignment vertical="center"/>
      <protection locked="0"/>
    </xf>
    <xf fontId="1" fillId="0" borderId="7" numFmtId="0" xfId="7" applyFont="1" applyBorder="1" applyAlignment="1" applyProtection="1">
      <alignment vertical="center"/>
      <protection locked="0"/>
    </xf>
    <xf fontId="7" fillId="0" borderId="9" numFmtId="0" xfId="7" applyFont="1" applyBorder="1" applyAlignment="1" applyProtection="1">
      <alignment horizontal="center" vertical="center"/>
      <protection locked="0"/>
    </xf>
    <xf fontId="7" fillId="0" borderId="10" numFmtId="0" xfId="7" applyFont="1" applyBorder="1" applyAlignment="1" applyProtection="1">
      <alignment horizontal="center" vertical="center"/>
      <protection locked="0"/>
    </xf>
    <xf fontId="1" fillId="0" borderId="9" numFmtId="0" xfId="7" applyFont="1" applyBorder="1" applyAlignment="1" applyProtection="1">
      <alignment horizontal="left" vertical="center"/>
      <protection locked="0"/>
    </xf>
    <xf fontId="1" fillId="0" borderId="10" numFmtId="0" xfId="7" applyFont="1" applyBorder="1" applyAlignment="1" applyProtection="1">
      <alignment horizontal="left" vertical="center"/>
      <protection locked="0"/>
    </xf>
    <xf fontId="10" fillId="0" borderId="9" numFmtId="0" xfId="7" applyFont="1" applyBorder="1" applyAlignment="1" applyProtection="1">
      <alignment horizontal="right" vertical="center"/>
      <protection locked="0"/>
    </xf>
    <xf fontId="10" fillId="0" borderId="10" numFmtId="0" xfId="7" applyFont="1" applyBorder="1" applyAlignment="1" applyProtection="1">
      <alignment horizontal="right" vertical="center"/>
      <protection locked="0"/>
    </xf>
    <xf fontId="1" fillId="0" borderId="9" numFmtId="0" xfId="7" applyFont="1" applyBorder="1" applyAlignment="1" applyProtection="1">
      <alignment horizontal="right" vertical="center"/>
      <protection locked="0"/>
    </xf>
    <xf fontId="1" fillId="0" borderId="10" numFmtId="0" xfId="7" applyFont="1" applyBorder="1" applyAlignment="1" applyProtection="1">
      <alignment horizontal="right" vertical="center"/>
      <protection locked="0"/>
    </xf>
    <xf fontId="7" fillId="0" borderId="7" numFmtId="0" xfId="7" applyFont="1" applyBorder="1" applyAlignment="1" applyProtection="1">
      <alignment vertical="center"/>
      <protection locked="0"/>
    </xf>
    <xf fontId="1" fillId="0" borderId="13" numFmtId="0" xfId="7" applyFont="1" applyBorder="1" applyAlignment="1" applyProtection="1">
      <alignment vertical="center"/>
      <protection locked="0"/>
    </xf>
    <xf fontId="1" fillId="0" borderId="14" numFmtId="0" xfId="7" applyFont="1" applyBorder="1" applyAlignment="1" applyProtection="1">
      <alignment vertical="center"/>
      <protection locked="0"/>
    </xf>
  </cellXfs>
  <cellStyles count="26">
    <cellStyle name="Normal" xfId="0" builtinId="0"/>
    <cellStyle name="Normal 10" xfId="1"/>
    <cellStyle name="Normal 2" xfId="2"/>
    <cellStyle name="Normal 2 2" xfId="3"/>
    <cellStyle name="Normal 2 3" xfId="4"/>
    <cellStyle name="Normal 2 4" xfId="5"/>
    <cellStyle name="Normal 2_Annual" xfId="6"/>
    <cellStyle name="Normal 3" xfId="7"/>
    <cellStyle name="Normal 4" xfId="8"/>
    <cellStyle name="Normal 4 2" xfId="9"/>
    <cellStyle name="Normal 4 3" xfId="10"/>
    <cellStyle name="Normal 4 4" xfId="11"/>
    <cellStyle name="Normal 4_Annual" xfId="12"/>
    <cellStyle name="Normal 5" xfId="13"/>
    <cellStyle name="Normal 5 2" xfId="14"/>
    <cellStyle name="Normal 5 3" xfId="15"/>
    <cellStyle name="Normal 5 4" xfId="16"/>
    <cellStyle name="Normal 5_Annual" xfId="17"/>
    <cellStyle name="Normal 6" xfId="18"/>
    <cellStyle name="Normal 6 2" xfId="19"/>
    <cellStyle name="Normal 6 3" xfId="20"/>
    <cellStyle name="Normal 6 4" xfId="21"/>
    <cellStyle name="Normal 6_Annual" xfId="22"/>
    <cellStyle name="Normal 7" xfId="23"/>
    <cellStyle name="Normal 8" xfId="24"/>
    <cellStyle name="Normal 9" xf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worksheet" Target="worksheets/sheet15.xml"/><Relationship  Id="rId16" Type="http://schemas.openxmlformats.org/officeDocument/2006/relationships/worksheet" Target="worksheets/sheet16.xml"/><Relationship  Id="rId17" Type="http://schemas.openxmlformats.org/officeDocument/2006/relationships/worksheet" Target="worksheets/sheet17.xml"/><Relationship  Id="rId18" Type="http://schemas.openxmlformats.org/officeDocument/2006/relationships/worksheet" Target="worksheets/sheet18.xml"/><Relationship  Id="rId19" Type="http://schemas.openxmlformats.org/officeDocument/2006/relationships/theme" Target="theme/theme1.xml"/><Relationship  Id="rId2" Type="http://schemas.openxmlformats.org/officeDocument/2006/relationships/worksheet" Target="worksheets/sheet2.xml"/><Relationship  Id="rId20" Type="http://schemas.openxmlformats.org/officeDocument/2006/relationships/sharedStrings" Target="sharedStrings.xml"/><Relationship  Id="rId21" Type="http://schemas.openxmlformats.org/officeDocument/2006/relationships/styles" Target="styles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Y19" activeCellId="0" sqref="Y19"/>
    </sheetView>
  </sheetViews>
  <sheetFormatPr defaultColWidth="11.19921875" defaultRowHeight="15" customHeight="1"/>
  <cols>
    <col customWidth="1" min="1" max="1" width="6.5"/>
    <col customWidth="1" min="2" max="2" width="21.3984375"/>
    <col customWidth="1" min="3" max="4" width="20.3984375"/>
    <col customWidth="1" min="5" max="5" width="24.5"/>
    <col customWidth="1" min="6" max="6" width="16.3984375"/>
    <col customWidth="1" min="7" max="7" width="12.5"/>
    <col customWidth="1" min="8" max="10" width="14.5"/>
    <col customWidth="1" min="11" max="11" width="13.69921875"/>
    <col customWidth="1" min="12" max="16" width="14.5"/>
    <col customWidth="1" min="17" max="17" width="19.5"/>
    <col customWidth="1" min="18" max="19" width="14.5"/>
    <col customWidth="1" min="20" max="20" width="53.09765625"/>
    <col customWidth="1" hidden="1" min="21" max="21" width="11.19921875"/>
    <col customWidth="1" hidden="1" min="22" max="22" width="13.8984375"/>
    <col customWidth="1" hidden="1" min="23" max="23" width="5.19921875"/>
    <col customWidth="1" min="24" max="24" style="1" width="11.19921875"/>
  </cols>
  <sheetData>
    <row r="1" ht="16.5">
      <c r="A1" s="2" t="s">
        <v>0</v>
      </c>
      <c r="B1" s="3"/>
      <c r="C1" s="3"/>
      <c r="D1" s="3"/>
      <c r="E1" s="3"/>
      <c r="F1" s="4"/>
      <c r="G1" s="3"/>
      <c r="H1" s="3"/>
      <c r="I1" s="3"/>
      <c r="J1" s="3"/>
      <c r="K1" s="5"/>
      <c r="L1" s="3"/>
      <c r="M1" s="3"/>
      <c r="N1" s="3"/>
      <c r="O1" s="3"/>
      <c r="P1" s="3"/>
      <c r="Q1" s="3"/>
      <c r="R1" s="3"/>
      <c r="S1" s="3"/>
      <c r="T1" s="5"/>
    </row>
    <row r="2" ht="49.5">
      <c r="A2" s="6" t="s">
        <v>1</v>
      </c>
      <c r="B2" s="7" t="s">
        <v>2</v>
      </c>
      <c r="C2" s="7" t="s">
        <v>3</v>
      </c>
      <c r="D2" s="7" t="s">
        <v>4</v>
      </c>
      <c r="E2" s="8" t="s">
        <v>5</v>
      </c>
      <c r="F2" s="9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7" t="s">
        <v>11</v>
      </c>
      <c r="L2" s="8" t="s">
        <v>12</v>
      </c>
      <c r="M2" s="8" t="s">
        <v>13</v>
      </c>
      <c r="N2" s="8" t="s">
        <v>14</v>
      </c>
      <c r="O2" s="8" t="s">
        <v>15</v>
      </c>
      <c r="P2" s="8" t="s">
        <v>16</v>
      </c>
      <c r="Q2" s="8" t="s">
        <v>17</v>
      </c>
      <c r="R2" s="8" t="s">
        <v>18</v>
      </c>
      <c r="S2" s="8" t="s">
        <v>19</v>
      </c>
      <c r="T2" s="7" t="s">
        <v>20</v>
      </c>
      <c r="U2" s="10" t="s">
        <v>21</v>
      </c>
      <c r="V2" s="11" t="s">
        <v>22</v>
      </c>
      <c r="W2" s="12" t="s">
        <v>23</v>
      </c>
      <c r="X2" s="13"/>
    </row>
    <row r="3" ht="15" customHeight="1">
      <c r="A3" s="14" t="s">
        <v>24</v>
      </c>
      <c r="B3" s="15" t="s">
        <v>25</v>
      </c>
      <c r="C3" s="15" t="s">
        <v>26</v>
      </c>
      <c r="D3" s="15" t="s">
        <v>27</v>
      </c>
      <c r="E3" s="15" t="s">
        <v>28</v>
      </c>
      <c r="F3" s="16" t="s">
        <v>29</v>
      </c>
      <c r="G3" s="15" t="s">
        <v>30</v>
      </c>
      <c r="H3" s="15" t="s">
        <v>31</v>
      </c>
      <c r="I3" s="15" t="s">
        <v>32</v>
      </c>
      <c r="J3" s="15" t="s">
        <v>33</v>
      </c>
      <c r="K3" s="17" t="s">
        <v>34</v>
      </c>
      <c r="L3" s="15" t="s">
        <v>35</v>
      </c>
      <c r="M3" s="15" t="s">
        <v>36</v>
      </c>
      <c r="N3" s="18" t="s">
        <v>37</v>
      </c>
      <c r="O3" s="18" t="s">
        <v>38</v>
      </c>
      <c r="P3" s="15" t="s">
        <v>39</v>
      </c>
      <c r="Q3" s="15" t="s">
        <v>40</v>
      </c>
      <c r="R3" s="15" t="s">
        <v>41</v>
      </c>
      <c r="S3" s="15" t="s">
        <v>42</v>
      </c>
      <c r="T3" s="15" t="s">
        <v>43</v>
      </c>
      <c r="U3" t="str">
        <f>TEXT(F3,"MMMM")</f>
        <v>&lt;testDate&gt;</v>
      </c>
      <c r="V3" t="e">
        <f>CHOOSE(ROUNDUP(MONTH(F3)/3,0),"1st Quarter","2nd Quarter","3rd Quarter","4th Quarter")</f>
        <v>#VALUE!</v>
      </c>
      <c r="W3" t="e">
        <f>YEAR(F3)</f>
        <v>#VALUE!</v>
      </c>
    </row>
    <row r="4" ht="15.6">
      <c r="F4" s="4"/>
      <c r="K4" s="5"/>
    </row>
    <row r="5" ht="15.6">
      <c r="F5" s="4"/>
      <c r="K5" s="5"/>
    </row>
    <row r="6" ht="15.6">
      <c r="F6" s="4"/>
      <c r="K6" s="5"/>
    </row>
    <row r="7" ht="15.6">
      <c r="F7" s="4"/>
      <c r="K7" s="5"/>
    </row>
    <row r="8" ht="15.6">
      <c r="F8" s="4"/>
      <c r="K8" s="5"/>
    </row>
    <row r="9" ht="15.6">
      <c r="F9" s="4"/>
      <c r="K9" s="5"/>
    </row>
    <row r="10" ht="15.6">
      <c r="F10" s="4"/>
      <c r="K10" s="5"/>
    </row>
    <row r="11" ht="15.6">
      <c r="F11" s="4"/>
      <c r="K11" s="5"/>
    </row>
    <row r="12" ht="15.6">
      <c r="F12" s="4"/>
      <c r="K12" s="5"/>
    </row>
    <row r="13" ht="15.6">
      <c r="F13" s="4"/>
      <c r="K13" s="5"/>
    </row>
    <row r="14" ht="15.6">
      <c r="F14" s="4"/>
      <c r="K14" s="5"/>
    </row>
    <row r="15" ht="15.6">
      <c r="F15" s="4"/>
      <c r="K15" s="5"/>
    </row>
    <row r="16" ht="15.6">
      <c r="F16" s="4"/>
      <c r="K16" s="5"/>
    </row>
    <row r="17" ht="15.6">
      <c r="F17" s="4"/>
      <c r="K17" s="5"/>
    </row>
    <row r="18" ht="15.6">
      <c r="F18" s="4"/>
      <c r="K18" s="5"/>
    </row>
    <row r="19" ht="15.6">
      <c r="F19" s="4"/>
      <c r="K19" s="5"/>
    </row>
    <row r="20" ht="15.6">
      <c r="F20" s="4"/>
      <c r="K20" s="5"/>
    </row>
    <row r="21" ht="15.75" customHeight="1">
      <c r="F21" s="4"/>
      <c r="K21" s="5"/>
    </row>
    <row r="22" ht="15.75" customHeight="1">
      <c r="F22" s="4"/>
      <c r="K22" s="5"/>
    </row>
    <row r="23" ht="15.75" customHeight="1">
      <c r="F23" s="4"/>
      <c r="K23" s="5"/>
    </row>
    <row r="24" ht="15.75" customHeight="1">
      <c r="F24" s="4"/>
      <c r="K24" s="5"/>
    </row>
    <row r="25" ht="15.75" customHeight="1">
      <c r="F25" s="4"/>
      <c r="K25" s="5"/>
    </row>
    <row r="26" ht="15.75" customHeight="1">
      <c r="F26" s="4"/>
      <c r="K26" s="5"/>
    </row>
    <row r="27" ht="15.75" customHeight="1">
      <c r="F27" s="4"/>
      <c r="K27" s="5"/>
    </row>
    <row r="28" ht="15.75" customHeight="1">
      <c r="F28" s="4"/>
      <c r="K28" s="5"/>
    </row>
    <row r="29" ht="15.75" customHeight="1">
      <c r="F29" s="4"/>
      <c r="K29" s="5"/>
    </row>
    <row r="30" ht="15.75" customHeight="1">
      <c r="F30" s="4"/>
      <c r="K30" s="5"/>
    </row>
    <row r="31" ht="15.75" customHeight="1">
      <c r="F31" s="4"/>
      <c r="K31" s="5"/>
    </row>
    <row r="32" ht="15.75" customHeight="1">
      <c r="F32" s="4"/>
      <c r="K32" s="5"/>
    </row>
    <row r="33" ht="15.75" customHeight="1">
      <c r="F33" s="4"/>
      <c r="K33" s="5"/>
    </row>
    <row r="34" ht="15.75" customHeight="1">
      <c r="F34" s="4"/>
      <c r="K34" s="5"/>
    </row>
    <row r="35" ht="15.75" customHeight="1">
      <c r="F35" s="4"/>
      <c r="K35" s="5"/>
    </row>
    <row r="36" ht="15.75" customHeight="1">
      <c r="F36" s="4"/>
      <c r="K36" s="5"/>
    </row>
    <row r="37" ht="15.75" customHeight="1">
      <c r="F37" s="4"/>
      <c r="K37" s="5"/>
    </row>
    <row r="38" ht="15.75" customHeight="1">
      <c r="F38" s="4"/>
      <c r="K38" s="5"/>
    </row>
    <row r="39" ht="15.75" customHeight="1">
      <c r="F39" s="4"/>
      <c r="K39" s="5"/>
    </row>
    <row r="40" ht="15.75" customHeight="1">
      <c r="F40" s="4"/>
      <c r="K40" s="5"/>
    </row>
    <row r="41" ht="15.75" customHeight="1">
      <c r="F41" s="4"/>
      <c r="K41" s="5"/>
    </row>
    <row r="42" ht="15.75" customHeight="1">
      <c r="F42" s="4"/>
      <c r="K42" s="5"/>
    </row>
    <row r="43" ht="15.75" customHeight="1">
      <c r="F43" s="4"/>
      <c r="K43" s="5"/>
    </row>
    <row r="44" ht="15.75" customHeight="1">
      <c r="F44" s="4"/>
      <c r="K44" s="5"/>
    </row>
    <row r="45" ht="15.75" customHeight="1">
      <c r="F45" s="4"/>
      <c r="K45" s="5"/>
    </row>
    <row r="46" ht="15.75" customHeight="1">
      <c r="F46" s="4"/>
      <c r="K46" s="5"/>
    </row>
    <row r="47" ht="15.75" customHeight="1">
      <c r="F47" s="4"/>
      <c r="K47" s="5"/>
    </row>
    <row r="48" ht="15.75" customHeight="1">
      <c r="F48" s="4"/>
      <c r="K48" s="5"/>
    </row>
    <row r="49" ht="15.75" customHeight="1">
      <c r="F49" s="4"/>
      <c r="K49" s="5"/>
    </row>
    <row r="50" ht="15.75" customHeight="1">
      <c r="F50" s="4"/>
      <c r="K50" s="5"/>
    </row>
    <row r="51" ht="15.75" customHeight="1">
      <c r="F51" s="4"/>
      <c r="K51" s="5"/>
    </row>
    <row r="52" ht="15.75" customHeight="1">
      <c r="F52" s="4"/>
      <c r="K52" s="5"/>
    </row>
    <row r="53" ht="15.75" customHeight="1">
      <c r="F53" s="4"/>
      <c r="K53" s="5"/>
    </row>
    <row r="54" ht="15.75" customHeight="1">
      <c r="F54" s="4"/>
      <c r="K54" s="5"/>
    </row>
    <row r="55" ht="15.75" customHeight="1">
      <c r="F55" s="4"/>
      <c r="K55" s="5"/>
    </row>
    <row r="56" ht="15.75" customHeight="1">
      <c r="F56" s="4"/>
      <c r="K56" s="5"/>
    </row>
    <row r="57" ht="15.75" customHeight="1">
      <c r="F57" s="4"/>
      <c r="K57" s="5"/>
    </row>
    <row r="58" ht="15.75" customHeight="1">
      <c r="F58" s="4"/>
      <c r="K58" s="5"/>
    </row>
    <row r="59" ht="15.75" customHeight="1">
      <c r="F59" s="4"/>
      <c r="K59" s="5"/>
    </row>
    <row r="60" ht="15.75" customHeight="1">
      <c r="F60" s="4"/>
      <c r="K60" s="5"/>
    </row>
    <row r="61" ht="15.75" customHeight="1">
      <c r="F61" s="4"/>
      <c r="K61" s="5"/>
    </row>
    <row r="62" ht="15.75" customHeight="1">
      <c r="F62" s="4"/>
      <c r="K62" s="5"/>
    </row>
    <row r="63" ht="15.75" customHeight="1">
      <c r="F63" s="4"/>
      <c r="K63" s="5"/>
    </row>
    <row r="64" ht="15.75" customHeight="1">
      <c r="F64" s="4"/>
      <c r="K64" s="5"/>
    </row>
    <row r="65" ht="15.75" customHeight="1">
      <c r="F65" s="4"/>
      <c r="K65" s="5"/>
    </row>
    <row r="66" ht="15.75" customHeight="1">
      <c r="F66" s="4"/>
      <c r="K66" s="5"/>
    </row>
    <row r="67" ht="15.75" customHeight="1">
      <c r="F67" s="4"/>
      <c r="K67" s="5"/>
    </row>
    <row r="68" ht="15.75" customHeight="1">
      <c r="F68" s="4"/>
      <c r="K68" s="5"/>
    </row>
    <row r="69" ht="15.75" customHeight="1">
      <c r="F69" s="4"/>
      <c r="K69" s="5"/>
    </row>
    <row r="70" ht="15.75" customHeight="1">
      <c r="F70" s="4"/>
      <c r="K70" s="5"/>
    </row>
    <row r="71" ht="15.75" customHeight="1">
      <c r="F71" s="4"/>
      <c r="K71" s="5"/>
    </row>
    <row r="72" ht="15.75" customHeight="1">
      <c r="F72" s="4"/>
      <c r="K72" s="5"/>
    </row>
    <row r="73" ht="15.75" customHeight="1">
      <c r="F73" s="4"/>
      <c r="K73" s="5"/>
    </row>
    <row r="74" ht="15.75" customHeight="1">
      <c r="F74" s="4"/>
      <c r="K74" s="5"/>
    </row>
    <row r="75" ht="15.75" customHeight="1">
      <c r="F75" s="4"/>
      <c r="K75" s="5"/>
    </row>
    <row r="76" ht="15.75" customHeight="1">
      <c r="F76" s="4"/>
      <c r="K76" s="5"/>
    </row>
    <row r="77" ht="15.75" customHeight="1">
      <c r="F77" s="4"/>
      <c r="K77" s="5"/>
    </row>
    <row r="78" ht="15.75" customHeight="1">
      <c r="F78" s="4"/>
      <c r="K78" s="5"/>
    </row>
    <row r="79" ht="15.75" customHeight="1">
      <c r="F79" s="4"/>
      <c r="K79" s="5"/>
    </row>
    <row r="80" ht="15.75" customHeight="1">
      <c r="F80" s="4"/>
      <c r="K80" s="5"/>
    </row>
    <row r="81" ht="15.75" customHeight="1">
      <c r="F81" s="4"/>
      <c r="K81" s="5"/>
    </row>
    <row r="82" ht="15.75" customHeight="1">
      <c r="F82" s="4"/>
      <c r="K82" s="5"/>
    </row>
    <row r="83" ht="15.75" customHeight="1">
      <c r="F83" s="4"/>
      <c r="K83" s="5"/>
    </row>
    <row r="84" ht="15.75" customHeight="1">
      <c r="F84" s="4"/>
      <c r="K84" s="5"/>
    </row>
    <row r="85" ht="15.75" customHeight="1">
      <c r="F85" s="4"/>
      <c r="K85" s="5"/>
    </row>
    <row r="86" ht="15.75" customHeight="1">
      <c r="F86" s="4"/>
      <c r="K86" s="5"/>
    </row>
    <row r="87" ht="15.75" customHeight="1">
      <c r="F87" s="4"/>
      <c r="K87" s="5"/>
    </row>
    <row r="88" ht="15.75" customHeight="1">
      <c r="F88" s="4"/>
      <c r="K88" s="5"/>
    </row>
    <row r="89" ht="15.75" customHeight="1">
      <c r="F89" s="4"/>
      <c r="K89" s="5"/>
    </row>
    <row r="90" ht="15.75" customHeight="1">
      <c r="F90" s="4"/>
      <c r="K90" s="5"/>
    </row>
    <row r="91" ht="15.75" customHeight="1">
      <c r="F91" s="4"/>
      <c r="K91" s="5"/>
    </row>
    <row r="92" ht="15.75" customHeight="1">
      <c r="F92" s="4"/>
      <c r="K92" s="5"/>
    </row>
    <row r="93" ht="15.75" customHeight="1">
      <c r="F93" s="4"/>
      <c r="K93" s="5"/>
    </row>
    <row r="94" ht="15.75" customHeight="1">
      <c r="F94" s="4"/>
      <c r="K94" s="5"/>
    </row>
    <row r="95" ht="15.75" customHeight="1">
      <c r="F95" s="4"/>
      <c r="K95" s="5"/>
    </row>
    <row r="96" ht="15.75" customHeight="1">
      <c r="F96" s="4"/>
      <c r="K96" s="5"/>
    </row>
    <row r="97" ht="15.75" customHeight="1">
      <c r="F97" s="4"/>
      <c r="K97" s="5"/>
    </row>
    <row r="98" ht="15.75" customHeight="1">
      <c r="F98" s="4"/>
      <c r="K98" s="5"/>
    </row>
    <row r="99" ht="15.75" customHeight="1">
      <c r="F99" s="4"/>
      <c r="K99" s="5"/>
    </row>
    <row r="100" ht="15.75" customHeight="1">
      <c r="F100" s="4"/>
      <c r="K100" s="5"/>
    </row>
    <row r="101" ht="15.75" customHeight="1">
      <c r="F101" s="4"/>
      <c r="K101" s="5"/>
    </row>
    <row r="102" ht="15.75" customHeight="1">
      <c r="F102" s="4"/>
      <c r="K102" s="5"/>
    </row>
    <row r="103" ht="15.75" customHeight="1">
      <c r="F103" s="4"/>
      <c r="K103" s="5"/>
    </row>
    <row r="104" ht="15.75" customHeight="1">
      <c r="F104" s="4"/>
      <c r="K104" s="5"/>
    </row>
    <row r="105" ht="15.75" customHeight="1">
      <c r="F105" s="4"/>
      <c r="K105" s="5"/>
    </row>
    <row r="106" ht="15.75" customHeight="1">
      <c r="F106" s="4"/>
      <c r="K106" s="5"/>
    </row>
    <row r="107" ht="15.75" customHeight="1">
      <c r="F107" s="4"/>
      <c r="K107" s="5"/>
    </row>
    <row r="108" ht="15.75" customHeight="1">
      <c r="F108" s="4"/>
      <c r="K108" s="5"/>
    </row>
    <row r="109" ht="15.75" customHeight="1">
      <c r="F109" s="4"/>
      <c r="K109" s="5"/>
    </row>
    <row r="110" ht="15.75" customHeight="1">
      <c r="F110" s="4"/>
      <c r="K110" s="5"/>
    </row>
    <row r="111" ht="15.75" customHeight="1">
      <c r="F111" s="4"/>
      <c r="K111" s="5"/>
    </row>
    <row r="112" ht="15.75" customHeight="1">
      <c r="F112" s="4"/>
      <c r="K112" s="5"/>
    </row>
    <row r="113" ht="15.75" customHeight="1">
      <c r="F113" s="4"/>
      <c r="K113" s="5"/>
    </row>
    <row r="114" ht="15.75" customHeight="1">
      <c r="F114" s="4"/>
      <c r="K114" s="5"/>
    </row>
    <row r="115" ht="15.75" customHeight="1">
      <c r="F115" s="4"/>
      <c r="K115" s="5"/>
    </row>
    <row r="116" ht="15.75" customHeight="1">
      <c r="F116" s="4"/>
      <c r="K116" s="5"/>
    </row>
    <row r="117" ht="15.75" customHeight="1">
      <c r="F117" s="4"/>
      <c r="K117" s="5"/>
    </row>
    <row r="118" ht="15.75" customHeight="1">
      <c r="F118" s="4"/>
      <c r="K118" s="5"/>
    </row>
    <row r="119" ht="15.75" customHeight="1">
      <c r="F119" s="4"/>
      <c r="K119" s="5"/>
    </row>
    <row r="120" ht="15.75" customHeight="1">
      <c r="F120" s="4"/>
      <c r="K120" s="5"/>
    </row>
    <row r="121" ht="15.75" customHeight="1">
      <c r="F121" s="4"/>
      <c r="K121" s="5"/>
    </row>
    <row r="122" ht="15.75" customHeight="1">
      <c r="F122" s="4"/>
      <c r="K122" s="5"/>
    </row>
    <row r="123" ht="15.75" customHeight="1">
      <c r="F123" s="4"/>
      <c r="K123" s="5"/>
    </row>
    <row r="124" ht="15.75" customHeight="1">
      <c r="F124" s="4"/>
      <c r="K124" s="5"/>
    </row>
    <row r="125" ht="15.75" customHeight="1">
      <c r="F125" s="4"/>
      <c r="K125" s="5"/>
    </row>
    <row r="126" ht="15.75" customHeight="1">
      <c r="F126" s="4"/>
      <c r="K126" s="5"/>
    </row>
    <row r="127" ht="15.75" customHeight="1">
      <c r="F127" s="4"/>
      <c r="K127" s="5"/>
    </row>
    <row r="128" ht="15.75" customHeight="1">
      <c r="F128" s="4"/>
      <c r="K128" s="5"/>
    </row>
    <row r="129" ht="15.75" customHeight="1">
      <c r="F129" s="4"/>
      <c r="K129" s="5"/>
    </row>
    <row r="130" ht="15.75" customHeight="1">
      <c r="F130" s="4"/>
      <c r="K130" s="5"/>
    </row>
    <row r="131" ht="15.75" customHeight="1">
      <c r="F131" s="4"/>
      <c r="K131" s="5"/>
    </row>
    <row r="132" ht="15.75" customHeight="1">
      <c r="F132" s="4"/>
      <c r="K132" s="5"/>
    </row>
    <row r="133" ht="15.75" customHeight="1">
      <c r="F133" s="4"/>
      <c r="K133" s="5"/>
    </row>
    <row r="134" ht="15.75" customHeight="1">
      <c r="F134" s="4"/>
      <c r="K134" s="5"/>
    </row>
    <row r="135" ht="15.75" customHeight="1">
      <c r="F135" s="4"/>
      <c r="K135" s="5"/>
    </row>
    <row r="136" ht="15.75" customHeight="1">
      <c r="F136" s="4"/>
      <c r="K136" s="5"/>
    </row>
    <row r="137" ht="15.75" customHeight="1">
      <c r="F137" s="4"/>
      <c r="K137" s="5"/>
    </row>
    <row r="138" ht="15.75" customHeight="1">
      <c r="F138" s="4"/>
      <c r="K138" s="5"/>
    </row>
    <row r="139" ht="15.75" customHeight="1">
      <c r="F139" s="4"/>
      <c r="K139" s="5"/>
    </row>
    <row r="140" ht="15.75" customHeight="1">
      <c r="F140" s="4"/>
      <c r="K140" s="5"/>
    </row>
    <row r="141" ht="15.75" customHeight="1">
      <c r="F141" s="4"/>
      <c r="K141" s="5"/>
    </row>
    <row r="142" ht="15.75" customHeight="1">
      <c r="F142" s="4"/>
      <c r="K142" s="5"/>
    </row>
    <row r="143" ht="15.75" customHeight="1">
      <c r="F143" s="4"/>
      <c r="K143" s="5"/>
    </row>
    <row r="144" ht="15.75" customHeight="1">
      <c r="F144" s="4"/>
      <c r="K144" s="5"/>
    </row>
    <row r="145" ht="15.75" customHeight="1">
      <c r="F145" s="4"/>
      <c r="K145" s="5"/>
    </row>
    <row r="146" ht="15.75" customHeight="1">
      <c r="F146" s="4"/>
      <c r="K146" s="5"/>
    </row>
    <row r="147" ht="15.75" customHeight="1">
      <c r="F147" s="4"/>
      <c r="K147" s="5"/>
    </row>
    <row r="148" ht="15.75" customHeight="1">
      <c r="F148" s="4"/>
      <c r="K148" s="5"/>
    </row>
    <row r="149" ht="15.75" customHeight="1">
      <c r="F149" s="4"/>
      <c r="K149" s="5"/>
    </row>
    <row r="150" ht="15.75" customHeight="1">
      <c r="F150" s="4"/>
      <c r="K150" s="5"/>
    </row>
    <row r="151" ht="15.75" customHeight="1">
      <c r="F151" s="4"/>
      <c r="K151" s="5"/>
    </row>
    <row r="152" ht="15.75" customHeight="1">
      <c r="F152" s="4"/>
      <c r="K152" s="5"/>
    </row>
    <row r="153" ht="15.75" customHeight="1">
      <c r="F153" s="4"/>
      <c r="K153" s="5"/>
    </row>
    <row r="154" ht="15.75" customHeight="1">
      <c r="F154" s="4"/>
      <c r="K154" s="5"/>
    </row>
    <row r="155" ht="15.75" customHeight="1">
      <c r="F155" s="4"/>
      <c r="K155" s="5"/>
    </row>
    <row r="156" ht="15.75" customHeight="1">
      <c r="F156" s="4"/>
      <c r="K156" s="5"/>
    </row>
    <row r="157" ht="15.75" customHeight="1">
      <c r="F157" s="4"/>
      <c r="K157" s="5"/>
    </row>
    <row r="158" ht="15.75" customHeight="1">
      <c r="F158" s="4"/>
      <c r="K158" s="5"/>
    </row>
    <row r="159" ht="15.75" customHeight="1">
      <c r="F159" s="4"/>
      <c r="K159" s="5"/>
    </row>
    <row r="160" ht="15.75" customHeight="1">
      <c r="F160" s="4"/>
      <c r="K160" s="5"/>
    </row>
    <row r="161" ht="15.75" customHeight="1">
      <c r="F161" s="4"/>
      <c r="K161" s="5"/>
    </row>
    <row r="162" ht="15.75" customHeight="1">
      <c r="F162" s="4"/>
      <c r="K162" s="5"/>
    </row>
    <row r="163" ht="15.75" customHeight="1">
      <c r="F163" s="4"/>
      <c r="K163" s="5"/>
    </row>
    <row r="164" ht="15.75" customHeight="1">
      <c r="F164" s="4"/>
      <c r="K164" s="5"/>
    </row>
    <row r="165" ht="15.75" customHeight="1">
      <c r="F165" s="4"/>
      <c r="K165" s="5"/>
    </row>
    <row r="166" ht="15.75" customHeight="1">
      <c r="F166" s="4"/>
      <c r="K166" s="5"/>
    </row>
    <row r="167" ht="15.75" customHeight="1">
      <c r="F167" s="4"/>
      <c r="K167" s="5"/>
    </row>
    <row r="168" ht="15.75" customHeight="1">
      <c r="F168" s="4"/>
      <c r="K168" s="5"/>
    </row>
    <row r="169" ht="15.75" customHeight="1">
      <c r="F169" s="4"/>
      <c r="K169" s="5"/>
    </row>
    <row r="170" ht="15.75" customHeight="1">
      <c r="F170" s="4"/>
      <c r="K170" s="5"/>
    </row>
    <row r="171" ht="15.75" customHeight="1">
      <c r="F171" s="4"/>
      <c r="K171" s="5"/>
    </row>
    <row r="172" ht="15.75" customHeight="1">
      <c r="F172" s="4"/>
      <c r="K172" s="5"/>
    </row>
    <row r="173" ht="15.75" customHeight="1">
      <c r="F173" s="4"/>
      <c r="K173" s="5"/>
    </row>
    <row r="174" ht="15.75" customHeight="1">
      <c r="F174" s="4"/>
      <c r="K174" s="5"/>
    </row>
    <row r="175" ht="15.75" customHeight="1">
      <c r="F175" s="4"/>
      <c r="K175" s="5"/>
    </row>
    <row r="176" ht="15.75" customHeight="1">
      <c r="F176" s="4"/>
      <c r="K176" s="5"/>
    </row>
    <row r="177" ht="15.75" customHeight="1">
      <c r="F177" s="4"/>
      <c r="K177" s="5"/>
    </row>
    <row r="178" ht="15.75" customHeight="1">
      <c r="F178" s="4"/>
      <c r="K178" s="5"/>
    </row>
    <row r="179" ht="15.75" customHeight="1">
      <c r="F179" s="4"/>
      <c r="K179" s="5"/>
    </row>
    <row r="180" ht="15.75" customHeight="1">
      <c r="F180" s="4"/>
      <c r="K180" s="5"/>
    </row>
    <row r="181" ht="15.75" customHeight="1">
      <c r="F181" s="4"/>
      <c r="K181" s="5"/>
    </row>
    <row r="182" ht="15.75" customHeight="1">
      <c r="F182" s="4"/>
      <c r="K182" s="5"/>
    </row>
    <row r="183" ht="15.75" customHeight="1">
      <c r="F183" s="4"/>
      <c r="K183" s="5"/>
    </row>
    <row r="184" ht="15.75" customHeight="1">
      <c r="F184" s="4"/>
      <c r="K184" s="5"/>
    </row>
    <row r="185" ht="15.75" customHeight="1">
      <c r="F185" s="4"/>
      <c r="K185" s="5"/>
    </row>
    <row r="186" ht="15.75" customHeight="1">
      <c r="F186" s="4"/>
      <c r="K186" s="5"/>
    </row>
    <row r="187" ht="15.75" customHeight="1">
      <c r="F187" s="4"/>
      <c r="K187" s="5"/>
    </row>
    <row r="188" ht="15.75" customHeight="1">
      <c r="F188" s="4"/>
      <c r="K188" s="5"/>
    </row>
    <row r="189" ht="15.75" customHeight="1">
      <c r="F189" s="4"/>
      <c r="K189" s="5"/>
    </row>
    <row r="190" ht="15.75" customHeight="1">
      <c r="F190" s="4"/>
      <c r="K190" s="5"/>
    </row>
    <row r="191" ht="15.75" customHeight="1">
      <c r="F191" s="4"/>
      <c r="K191" s="5"/>
    </row>
    <row r="192" ht="15.75" customHeight="1">
      <c r="F192" s="4"/>
      <c r="K192" s="5"/>
    </row>
    <row r="193" ht="15.75" customHeight="1">
      <c r="F193" s="4"/>
      <c r="K193" s="5"/>
    </row>
    <row r="194" ht="15.75" customHeight="1">
      <c r="F194" s="4"/>
      <c r="K194" s="5"/>
    </row>
    <row r="195" ht="15.75" customHeight="1">
      <c r="F195" s="4"/>
      <c r="K195" s="5"/>
    </row>
    <row r="196" ht="15.75" customHeight="1">
      <c r="F196" s="4"/>
      <c r="K196" s="5"/>
    </row>
    <row r="197" ht="15.75" customHeight="1">
      <c r="F197" s="4"/>
      <c r="K197" s="5"/>
    </row>
    <row r="198" ht="15.75" customHeight="1">
      <c r="F198" s="4"/>
      <c r="K198" s="5"/>
    </row>
    <row r="199" ht="15.75" customHeight="1">
      <c r="F199" s="4"/>
      <c r="K199" s="5"/>
    </row>
    <row r="200" ht="15.75" customHeight="1">
      <c r="F200" s="4"/>
      <c r="K200" s="5"/>
    </row>
    <row r="201" ht="15.75" customHeight="1">
      <c r="F201" s="4"/>
      <c r="K201" s="5"/>
    </row>
    <row r="202" ht="15.75" customHeight="1">
      <c r="F202" s="4"/>
      <c r="K202" s="5"/>
    </row>
    <row r="203" ht="15.75" customHeight="1">
      <c r="F203" s="4"/>
      <c r="K203" s="5"/>
    </row>
    <row r="204" ht="15.75" customHeight="1">
      <c r="F204" s="4"/>
      <c r="K204" s="5"/>
    </row>
    <row r="205" ht="15.75" customHeight="1">
      <c r="F205" s="4"/>
      <c r="K205" s="5"/>
    </row>
    <row r="206" ht="15.75" customHeight="1">
      <c r="F206" s="4"/>
      <c r="K206" s="5"/>
    </row>
    <row r="207" ht="15.75" customHeight="1">
      <c r="F207" s="4"/>
      <c r="K207" s="5"/>
    </row>
    <row r="208" ht="15.75" customHeight="1">
      <c r="F208" s="4"/>
      <c r="K208" s="5"/>
    </row>
    <row r="209" ht="15.75" customHeight="1">
      <c r="F209" s="4"/>
      <c r="K209" s="5"/>
    </row>
    <row r="210" ht="15.75" customHeight="1">
      <c r="F210" s="4"/>
      <c r="K210" s="5"/>
    </row>
    <row r="211" ht="15.75" customHeight="1">
      <c r="F211" s="4"/>
      <c r="K211" s="5"/>
    </row>
    <row r="212" ht="15.75" customHeight="1">
      <c r="F212" s="4"/>
      <c r="K212" s="5"/>
    </row>
    <row r="213" ht="15.75" customHeight="1">
      <c r="F213" s="4"/>
      <c r="K213" s="5"/>
    </row>
    <row r="214" ht="15.75" customHeight="1">
      <c r="F214" s="4"/>
      <c r="K214" s="5"/>
    </row>
    <row r="215" ht="15.75" customHeight="1">
      <c r="F215" s="4"/>
      <c r="K215" s="5"/>
    </row>
    <row r="216" ht="15.75" customHeight="1">
      <c r="F216" s="4"/>
      <c r="K216" s="5"/>
    </row>
    <row r="217" ht="15.75" customHeight="1">
      <c r="F217" s="4"/>
      <c r="K217" s="5"/>
    </row>
    <row r="218" ht="15.75" customHeight="1">
      <c r="F218" s="4"/>
      <c r="K218" s="5"/>
    </row>
    <row r="219" ht="15.75" customHeight="1">
      <c r="F219" s="4"/>
      <c r="K219" s="5"/>
    </row>
    <row r="220" ht="15.75" customHeight="1">
      <c r="F220" s="4"/>
      <c r="K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69999999999999996" right="0.5" top="0.5" bottom="0.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49</v>
      </c>
      <c r="D3" s="27" t="s">
        <v>50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3">SUM(C36:C40)</f>
        <v>0</v>
      </c>
      <c r="D41" s="34">
        <f t="shared" si="3"/>
        <v>0</v>
      </c>
      <c r="E41" s="34">
        <f t="shared" si="3"/>
        <v>0</v>
      </c>
      <c r="F41" s="34">
        <f t="shared" si="3"/>
        <v>0</v>
      </c>
      <c r="G41" s="34">
        <f t="shared" si="3"/>
        <v>0</v>
      </c>
      <c r="H41" s="34">
        <f t="shared" si="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47:D47"/>
    <mergeCell ref="E47:F47"/>
    <mergeCell ref="A1:F1"/>
    <mergeCell ref="C53:D53"/>
    <mergeCell ref="E53:F53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49</v>
      </c>
      <c r="D3" s="27" t="s">
        <v>102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8">SUM(C36:C40)</f>
        <v>0</v>
      </c>
      <c r="D41" s="34">
        <f t="shared" si="8"/>
        <v>0</v>
      </c>
      <c r="E41" s="34">
        <f t="shared" si="8"/>
        <v>0</v>
      </c>
      <c r="F41" s="34">
        <f t="shared" si="8"/>
        <v>0</v>
      </c>
      <c r="G41" s="34">
        <f t="shared" si="8"/>
        <v>0</v>
      </c>
      <c r="H41" s="34">
        <f t="shared" si="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49</v>
      </c>
      <c r="D3" s="27" t="s">
        <v>103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1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1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1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1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1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1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1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1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1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1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1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1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1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1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1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13">SUM(C36:C40)</f>
        <v>0</v>
      </c>
      <c r="D41" s="34">
        <f t="shared" si="13"/>
        <v>0</v>
      </c>
      <c r="E41" s="34">
        <f t="shared" si="13"/>
        <v>0</v>
      </c>
      <c r="F41" s="34">
        <f t="shared" si="13"/>
        <v>0</v>
      </c>
      <c r="G41" s="34">
        <f t="shared" si="13"/>
        <v>0</v>
      </c>
      <c r="H41" s="34">
        <f t="shared" si="1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1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1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1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4" activeCellId="0" sqref="C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49</v>
      </c>
      <c r="D3" s="27"/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1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1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1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1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1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1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1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1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1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1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1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1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1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1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1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18">SUM(C36:C40)</f>
        <v>0</v>
      </c>
      <c r="D41" s="34">
        <f t="shared" si="18"/>
        <v>0</v>
      </c>
      <c r="E41" s="34">
        <f t="shared" si="18"/>
        <v>0</v>
      </c>
      <c r="F41" s="34">
        <f t="shared" si="18"/>
        <v>0</v>
      </c>
      <c r="G41" s="34">
        <f t="shared" si="18"/>
        <v>0</v>
      </c>
      <c r="H41" s="34">
        <f t="shared" si="1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1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1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1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104</v>
      </c>
      <c r="D3" s="27" t="s">
        <v>105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2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2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2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2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2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2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2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2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2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2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2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2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2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2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2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23">SUM(C36:C40)</f>
        <v>0</v>
      </c>
      <c r="D41" s="34">
        <f t="shared" si="23"/>
        <v>0</v>
      </c>
      <c r="E41" s="34">
        <f t="shared" si="23"/>
        <v>0</v>
      </c>
      <c r="F41" s="34">
        <f t="shared" si="23"/>
        <v>0</v>
      </c>
      <c r="G41" s="34">
        <f t="shared" si="23"/>
        <v>0</v>
      </c>
      <c r="H41" s="34">
        <f t="shared" si="2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2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2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2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104</v>
      </c>
      <c r="D3" s="27" t="s">
        <v>106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2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2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2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2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2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2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2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2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2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2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2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2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2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2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2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28">SUM(C36:C40)</f>
        <v>0</v>
      </c>
      <c r="D41" s="34">
        <f t="shared" si="28"/>
        <v>0</v>
      </c>
      <c r="E41" s="34">
        <f t="shared" si="28"/>
        <v>0</v>
      </c>
      <c r="F41" s="34">
        <f t="shared" si="28"/>
        <v>0</v>
      </c>
      <c r="G41" s="34">
        <f t="shared" si="28"/>
        <v>0</v>
      </c>
      <c r="H41" s="34">
        <f t="shared" si="2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2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2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2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104</v>
      </c>
      <c r="D3" s="27" t="s">
        <v>107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3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3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3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3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3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3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3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3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3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3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3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3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3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3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3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33">SUM(C36:C40)</f>
        <v>0</v>
      </c>
      <c r="D41" s="34">
        <f t="shared" si="33"/>
        <v>0</v>
      </c>
      <c r="E41" s="34">
        <f t="shared" si="33"/>
        <v>0</v>
      </c>
      <c r="F41" s="34">
        <f t="shared" si="33"/>
        <v>0</v>
      </c>
      <c r="G41" s="34">
        <f t="shared" si="33"/>
        <v>0</v>
      </c>
      <c r="H41" s="34">
        <f t="shared" si="3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3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3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3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4" activeCellId="0" sqref="C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104</v>
      </c>
      <c r="D3" s="27"/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3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3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3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3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3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3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3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3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3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3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3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3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3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3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3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38">SUM(C36:C40)</f>
        <v>0</v>
      </c>
      <c r="D41" s="34">
        <f t="shared" si="38"/>
        <v>0</v>
      </c>
      <c r="E41" s="34">
        <f t="shared" si="38"/>
        <v>0</v>
      </c>
      <c r="F41" s="34">
        <f t="shared" si="38"/>
        <v>0</v>
      </c>
      <c r="G41" s="34">
        <f t="shared" si="38"/>
        <v>0</v>
      </c>
      <c r="H41" s="34">
        <f t="shared" si="3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3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3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3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108</v>
      </c>
      <c r="D3" s="27" t="s">
        <v>109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4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4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4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4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4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4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4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4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4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4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4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4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4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4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4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43">SUM(C36:C40)</f>
        <v>0</v>
      </c>
      <c r="D41" s="34">
        <f t="shared" si="43"/>
        <v>0</v>
      </c>
      <c r="E41" s="34">
        <f t="shared" si="43"/>
        <v>0</v>
      </c>
      <c r="F41" s="34">
        <f t="shared" si="43"/>
        <v>0</v>
      </c>
      <c r="G41" s="34">
        <f t="shared" si="43"/>
        <v>0</v>
      </c>
      <c r="H41" s="34">
        <f t="shared" si="4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4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4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4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108</v>
      </c>
      <c r="D3" s="27" t="s">
        <v>110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4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4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4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4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4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4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4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4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4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4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4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4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4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4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4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48">SUM(C36:C40)</f>
        <v>0</v>
      </c>
      <c r="D41" s="34">
        <f t="shared" si="48"/>
        <v>0</v>
      </c>
      <c r="E41" s="34">
        <f t="shared" si="48"/>
        <v>0</v>
      </c>
      <c r="F41" s="34">
        <f t="shared" si="48"/>
        <v>0</v>
      </c>
      <c r="G41" s="34">
        <f t="shared" si="48"/>
        <v>0</v>
      </c>
      <c r="H41" s="34">
        <f t="shared" si="4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4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4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4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108</v>
      </c>
      <c r="D3" s="27" t="s">
        <v>111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5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5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5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5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5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5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5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5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5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5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5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5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5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5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5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53">SUM(C36:C40)</f>
        <v>0</v>
      </c>
      <c r="D41" s="34">
        <f t="shared" si="53"/>
        <v>0</v>
      </c>
      <c r="E41" s="34">
        <f t="shared" si="53"/>
        <v>0</v>
      </c>
      <c r="F41" s="34">
        <f t="shared" si="53"/>
        <v>0</v>
      </c>
      <c r="G41" s="34">
        <f t="shared" si="53"/>
        <v>0</v>
      </c>
      <c r="H41" s="34">
        <f t="shared" si="5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5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5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5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4" activeCellId="0" sqref="C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108</v>
      </c>
      <c r="D3" s="27"/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5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5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5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5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5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5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5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5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5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5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5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5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5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5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5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58">SUM(C36:C40)</f>
        <v>0</v>
      </c>
      <c r="D41" s="34">
        <f t="shared" si="58"/>
        <v>0</v>
      </c>
      <c r="E41" s="34">
        <f t="shared" si="58"/>
        <v>0</v>
      </c>
      <c r="F41" s="34">
        <f t="shared" si="58"/>
        <v>0</v>
      </c>
      <c r="G41" s="34">
        <f t="shared" si="58"/>
        <v>0</v>
      </c>
      <c r="H41" s="34">
        <f t="shared" si="5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5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5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5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112</v>
      </c>
      <c r="D3" s="27" t="s">
        <v>113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6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6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6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6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6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6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6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6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6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6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6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6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6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6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6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63">SUM(C36:C40)</f>
        <v>0</v>
      </c>
      <c r="D41" s="34">
        <f t="shared" si="63"/>
        <v>0</v>
      </c>
      <c r="E41" s="34">
        <f t="shared" si="63"/>
        <v>0</v>
      </c>
      <c r="F41" s="34">
        <f t="shared" si="63"/>
        <v>0</v>
      </c>
      <c r="G41" s="34">
        <f t="shared" si="63"/>
        <v>0</v>
      </c>
      <c r="H41" s="34">
        <f t="shared" si="6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6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6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6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4" activeCellId="0" sqref="D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112</v>
      </c>
      <c r="D3" s="27" t="s">
        <v>114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6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6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6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6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6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6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6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6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6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6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6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6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6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6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6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68">SUM(C36:C40)</f>
        <v>0</v>
      </c>
      <c r="D41" s="34">
        <f t="shared" si="68"/>
        <v>0</v>
      </c>
      <c r="E41" s="34">
        <f t="shared" si="68"/>
        <v>0</v>
      </c>
      <c r="F41" s="34">
        <f t="shared" si="68"/>
        <v>0</v>
      </c>
      <c r="G41" s="34">
        <f t="shared" si="68"/>
        <v>0</v>
      </c>
      <c r="H41" s="34">
        <f t="shared" si="6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6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6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6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" activeCellId="0" sqref="D3:E3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112</v>
      </c>
      <c r="D3" s="27" t="s">
        <v>115</v>
      </c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7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7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7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7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7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7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7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7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7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7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7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7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7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7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7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73">SUM(C36:C40)</f>
        <v>0</v>
      </c>
      <c r="D41" s="34">
        <f t="shared" si="73"/>
        <v>0</v>
      </c>
      <c r="E41" s="34">
        <f t="shared" si="73"/>
        <v>0</v>
      </c>
      <c r="F41" s="34">
        <f t="shared" si="73"/>
        <v>0</v>
      </c>
      <c r="G41" s="34">
        <f t="shared" si="73"/>
        <v>0</v>
      </c>
      <c r="H41" s="34">
        <f t="shared" si="7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7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7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7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4" activeCellId="0" sqref="C4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 t="s">
        <v>112</v>
      </c>
      <c r="D3" s="27"/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75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75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75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75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75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76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76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76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76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76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77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77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77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77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77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78">SUM(C36:C40)</f>
        <v>0</v>
      </c>
      <c r="D41" s="34">
        <f t="shared" si="78"/>
        <v>0</v>
      </c>
      <c r="E41" s="34">
        <f t="shared" si="78"/>
        <v>0</v>
      </c>
      <c r="F41" s="34">
        <f t="shared" si="78"/>
        <v>0</v>
      </c>
      <c r="G41" s="34">
        <f t="shared" si="78"/>
        <v>0</v>
      </c>
      <c r="H41" s="34">
        <f t="shared" si="78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79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79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79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7:A8"/>
    <mergeCell ref="B7:C7"/>
    <mergeCell ref="D7:E7"/>
    <mergeCell ref="F7:F8"/>
    <mergeCell ref="C53:D53"/>
    <mergeCell ref="E53:F53"/>
    <mergeCell ref="A1:F1"/>
    <mergeCell ref="C47:D47"/>
    <mergeCell ref="E47:F47"/>
    <mergeCell ref="D2:E2"/>
    <mergeCell ref="D3:E3"/>
    <mergeCell ref="A12:A13"/>
    <mergeCell ref="B12:C12"/>
    <mergeCell ref="D12:E12"/>
    <mergeCell ref="F12:F13"/>
    <mergeCell ref="A18:A22"/>
    <mergeCell ref="A23:B23"/>
    <mergeCell ref="A27:A31"/>
    <mergeCell ref="A32:B32"/>
    <mergeCell ref="A36:A40"/>
    <mergeCell ref="A41:B41"/>
    <mergeCell ref="C43:D43"/>
    <mergeCell ref="E43:F43"/>
    <mergeCell ref="C44:D44"/>
    <mergeCell ref="E44:F44"/>
    <mergeCell ref="C48:D48"/>
    <mergeCell ref="E48:F48"/>
    <mergeCell ref="J48:K48"/>
    <mergeCell ref="C49:D49"/>
    <mergeCell ref="E49:F49"/>
    <mergeCell ref="C50:D50"/>
    <mergeCell ref="E50:F50"/>
    <mergeCell ref="A51:B51"/>
    <mergeCell ref="C51:D51"/>
    <mergeCell ref="E51:F51"/>
    <mergeCell ref="C54:D54"/>
    <mergeCell ref="E54:F54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Blanks" priority="1" id="{00B60007-0078-4AD8-A068-00FD00D80066}">
            <xm:f>LEN(TRIM(G9))&gt;0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G9:G10 I18:I22 I27:I31</xm:sqref>
        </x14:conditionalFormatting>
        <x14:conditionalFormatting xmlns:xm="http://schemas.microsoft.com/office/excel/2006/main">
          <x14:cfRule type="notContainsBlanks" priority="2" id="{00D7006B-0077-4CB0-A4B7-00A4004E0076}">
            <xm:f>LEN(TRIM(G18))&gt;0</xm:f>
            <x14:dxf>
              <fill>
                <patternFill patternType="solid">
                  <fgColor rgb="FFF4B083"/>
                  <bgColor rgb="FFF4B083"/>
                </patternFill>
              </fill>
            </x14:dxf>
          </x14:cfRule>
          <xm:sqref>G18</xm:sqref>
        </x14:conditionalFormatting>
        <x14:conditionalFormatting xmlns:xm="http://schemas.microsoft.com/office/excel/2006/main">
          <x14:cfRule type="notContainsBlanks" priority="3" id="{00570061-00AB-48B1-8DAA-00EB00560034}">
            <xm:f>LEN(TRIM(G27))&gt;0</xm:f>
            <x14:dxf>
              <fill>
                <patternFill patternType="solid">
                  <fgColor rgb="FFF4B083"/>
                  <bgColor rgb="FFF4B083"/>
                </patternFill>
              </fill>
            </x14:dxf>
          </x14:cfRule>
          <xm:sqref>G27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1:1048576"/>
    </sheetView>
  </sheetViews>
  <sheetFormatPr defaultColWidth="11.19921875" defaultRowHeight="15" customHeight="1"/>
  <cols>
    <col min="1" max="16384" style="1" width="11.19921875"/>
  </cols>
  <sheetData>
    <row r="1" ht="15" customHeight="1">
      <c r="A1" s="19" t="s">
        <v>44</v>
      </c>
      <c r="B1" s="19"/>
      <c r="C1" s="19"/>
      <c r="D1" s="19"/>
      <c r="E1" s="19"/>
      <c r="F1" s="19"/>
      <c r="G1" s="20"/>
      <c r="H1" s="20"/>
      <c r="I1" s="21"/>
      <c r="J1" s="22"/>
    </row>
    <row r="2" ht="15" customHeight="1">
      <c r="A2" s="20"/>
      <c r="B2" s="20"/>
      <c r="C2" s="23" t="s">
        <v>45</v>
      </c>
      <c r="D2" s="23" t="s">
        <v>46</v>
      </c>
      <c r="E2" s="23"/>
      <c r="F2" s="23" t="s">
        <v>47</v>
      </c>
      <c r="G2" s="20"/>
      <c r="H2" s="24"/>
      <c r="I2" s="25"/>
      <c r="J2" s="22"/>
    </row>
    <row r="3" ht="15" customHeight="1">
      <c r="A3" s="20" t="s">
        <v>48</v>
      </c>
      <c r="B3" s="20"/>
      <c r="C3" s="26"/>
      <c r="D3" s="27"/>
      <c r="E3" s="27"/>
      <c r="F3" s="26" t="e">
        <f>YEAR(Results!F3)</f>
        <v>#VALUE!</v>
      </c>
      <c r="G3" s="20"/>
      <c r="H3" s="24"/>
      <c r="I3" s="25"/>
      <c r="J3" s="22"/>
    </row>
    <row r="4" ht="15" customHeight="1">
      <c r="A4" s="20" t="s">
        <v>51</v>
      </c>
      <c r="B4" s="20"/>
      <c r="C4" s="26"/>
      <c r="D4" s="20"/>
      <c r="E4" s="20"/>
      <c r="F4" s="20"/>
      <c r="G4" s="20"/>
      <c r="H4" s="20"/>
      <c r="I4" s="20"/>
      <c r="J4" s="22"/>
    </row>
    <row r="5" ht="15" customHeight="1">
      <c r="A5" s="20"/>
      <c r="B5" s="20"/>
      <c r="C5" s="20"/>
      <c r="D5" s="20"/>
      <c r="E5" s="20"/>
      <c r="F5" s="20"/>
      <c r="G5" s="20"/>
      <c r="H5" s="28" t="s">
        <v>52</v>
      </c>
      <c r="I5" s="28"/>
      <c r="J5" s="28"/>
    </row>
    <row r="6" ht="15" customHeight="1">
      <c r="A6" s="24" t="s">
        <v>53</v>
      </c>
      <c r="B6" s="24"/>
      <c r="C6" s="24"/>
      <c r="D6" s="24"/>
      <c r="E6" s="24"/>
      <c r="F6" s="24"/>
      <c r="G6" s="20"/>
      <c r="H6" s="28"/>
      <c r="I6" s="28"/>
      <c r="J6" s="28"/>
    </row>
    <row r="7" ht="15" customHeight="1">
      <c r="A7" s="29"/>
      <c r="B7" s="30" t="s">
        <v>54</v>
      </c>
      <c r="C7" s="31"/>
      <c r="D7" s="30" t="s">
        <v>55</v>
      </c>
      <c r="E7" s="31"/>
      <c r="F7" s="29" t="s">
        <v>56</v>
      </c>
      <c r="G7" s="20"/>
      <c r="H7" s="20"/>
      <c r="I7" s="20"/>
      <c r="J7" s="22"/>
    </row>
    <row r="8" ht="15" customHeight="1">
      <c r="A8" s="32"/>
      <c r="B8" s="33" t="s">
        <v>57</v>
      </c>
      <c r="C8" s="33" t="s">
        <v>58</v>
      </c>
      <c r="D8" s="33" t="s">
        <v>57</v>
      </c>
      <c r="E8" s="33" t="s">
        <v>58</v>
      </c>
      <c r="F8" s="32"/>
      <c r="G8" s="20"/>
      <c r="H8" s="20"/>
      <c r="I8" s="20"/>
      <c r="J8" s="22"/>
    </row>
    <row r="9" ht="15" customHeight="1">
      <c r="A9" s="34"/>
      <c r="B9" s="34">
        <f>COUNTIFS(Results!$E:$E,IF($C$4&lt;&gt;"",$C$4,"*"),Results!$V:$V,IF($C$3&lt;&gt;"",$C$3,"*"),Results!$U:$U,IF($D$3&lt;&gt;"",$D$3,"*"),Results!$W:$W,IF($F$3&lt;&gt;"",$F$3,"*"),Results!$J:$J,"=Male",Results!$K:$K,"&lt;15")+COUNTIFS(Results!$E:$E,IF($C$4&lt;&gt;"",$C$4,"*"),Results!$V:$V,IF($C$3&lt;&gt;"",$C$3,"*"),Results!$U:$U,IF($D$3&lt;&gt;"",$D$3,"*"),Results!$W:$W,IF($F$3&lt;&gt;"",$F$3,"*"),Results!$J:$J,"=M",Results!$K:$K,"&lt;15")</f>
        <v>0</v>
      </c>
      <c r="C9" s="34">
        <f>COUNTIFS(Results!$E:$E,IF($C$4&lt;&gt;"",$C$4,"*"),Results!$V:$V,IF($C$3&lt;&gt;"",$C$3,"*"),Results!$U:$U,IF($D$3&lt;&gt;"",$D$3,"*"),Results!$W:$W,IF($F$3&lt;&gt;"",$F$3,"*"),Results!$J:$J,"=Male",Results!$K:$K,"&gt;=15")+COUNTIFS(Results!$E:$E,IF($C$4&lt;&gt;"",$C$4,"*"),Results!$V:$V,IF($C$3&lt;&gt;"",$C$3,"*"),Results!$U:$U,IF($D$3&lt;&gt;"",$D$3,"*"),Results!$W:$W,IF($F$3&lt;&gt;"",$F$3,"*"),Results!$J:$J,"=M",Results!$K:$K,"&gt;=15")</f>
        <v>0</v>
      </c>
      <c r="D9" s="34">
        <f>COUNTIFS(Results!$E:$E,IF($C$4&lt;&gt;"",$C$4,"*"),Results!$V:$V,IF($C$3&lt;&gt;"",$C$3,"*"),Results!$U:$U,IF($D$3&lt;&gt;"",$D$3,"*"),Results!$W:$W,IF($F$3&lt;&gt;"",$F$3,"*"),Results!$J:$J,"=Female",Results!$K:$K,"&lt;15")+COUNTIFS(Results!$E:$E,IF($C$4&lt;&gt;"",$C$4,"*"),Results!$V:$V,IF($C$3&lt;&gt;"",$C$3,"*"),Results!$U:$U,IF($D$3&lt;&gt;"",$D$3,"*"),Results!$W:$W,IF($F$3&lt;&gt;"",$F$3,"*"),Results!$J:$J,"=F",Results!$K:$K,"&lt;15")</f>
        <v>0</v>
      </c>
      <c r="E9" s="34">
        <f>COUNTIFS(Results!$E:$E,IF($C$4&lt;&gt;"",$C$4,"*"),Results!$V:$V,IF($C$3&lt;&gt;"",$C$3,"*"),Results!$U:$U,IF($D$3&lt;&gt;"",$D$3,"*"),Results!$W:$W,IF($F$3&lt;&gt;"",$F$3,"*"),Results!$J:$J,"=Female",Results!$K:$K,"&gt;=15")+COUNTIFS(Results!$E:$E,IF($C$4&lt;&gt;"",$C$4,"*"),Results!$V:$V,IF($C$3&lt;&gt;"",$C$3,"*"),Results!$U:$U,IF($D$3&lt;&gt;"",$D$3,"*"),Results!$W:$W,IF($F$3&lt;&gt;"",$F$3,"*"),Results!$J:$J,"=F",Results!$K:$K,"&gt;=15")</f>
        <v>0</v>
      </c>
      <c r="F9" s="34">
        <f>B9+C9+D9+E9</f>
        <v>0</v>
      </c>
      <c r="G9" s="35"/>
      <c r="H9" s="20"/>
      <c r="I9" s="20"/>
      <c r="J9" s="36"/>
    </row>
    <row r="10" ht="15" customHeight="1">
      <c r="A10" s="20"/>
      <c r="B10" s="20"/>
      <c r="C10" s="20"/>
      <c r="D10" s="20"/>
      <c r="E10" s="20"/>
      <c r="F10" s="20"/>
      <c r="G10" s="20"/>
      <c r="H10" s="20"/>
      <c r="I10" s="20"/>
      <c r="J10" s="22"/>
    </row>
    <row r="11" ht="15" customHeight="1">
      <c r="A11" s="24" t="s">
        <v>59</v>
      </c>
      <c r="B11" s="24"/>
      <c r="C11" s="24"/>
      <c r="D11" s="24"/>
      <c r="E11" s="24"/>
      <c r="F11" s="24"/>
      <c r="G11" s="20"/>
      <c r="H11" s="20"/>
      <c r="I11" s="20"/>
      <c r="J11" s="22"/>
    </row>
    <row r="12" ht="15" customHeight="1">
      <c r="A12" s="29"/>
      <c r="B12" s="30" t="s">
        <v>54</v>
      </c>
      <c r="C12" s="31"/>
      <c r="D12" s="30" t="s">
        <v>55</v>
      </c>
      <c r="E12" s="31"/>
      <c r="F12" s="29" t="s">
        <v>56</v>
      </c>
      <c r="G12" s="20"/>
      <c r="H12" s="20"/>
      <c r="I12" s="20"/>
      <c r="J12" s="22"/>
    </row>
    <row r="13" ht="15" customHeight="1">
      <c r="A13" s="32"/>
      <c r="B13" s="33" t="s">
        <v>57</v>
      </c>
      <c r="C13" s="33" t="s">
        <v>58</v>
      </c>
      <c r="D13" s="33" t="s">
        <v>57</v>
      </c>
      <c r="E13" s="33" t="s">
        <v>58</v>
      </c>
      <c r="F13" s="32"/>
      <c r="G13" s="20"/>
      <c r="H13" s="20"/>
      <c r="I13" s="20"/>
      <c r="J13" s="22"/>
    </row>
    <row r="14" ht="15" customHeight="1">
      <c r="A14" s="34"/>
      <c r="B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result",Results!$J:$J,"=M",Results!$K:$K,"&lt;15")</f>
        <v>0</v>
      </c>
      <c r="C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result",Results!$J:$J,"=M",Results!$K:$K,"&gt;=15")</f>
        <v>0</v>
      </c>
      <c r="D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lt;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result",Results!$J:$J,"=F",Results!$K:$K,"&lt;15")</f>
        <v>0</v>
      </c>
      <c r="E14" s="34">
        <f>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emale",Results!$K:$K,"&gt;=15")+COUNTIFS(Results!$E:$E,IF($C$4&lt;&gt;"",$C$4,"*"),Results!$V:$V,IF($C$3&lt;&gt;"",$C$3,"*"),Results!$U:$U,IF($D$3&lt;&gt;"",$D$3,"*"),Results!$W:$W,IF($F$3&lt;&gt;"",$F$3,"*"),Results!$G:$G,"&lt;&gt;Error",Results!$G:$G,"&lt;&gt;Invalid",Results!$G:$G,"&lt;&gt;No result",Results!$J:$J,"=F",Results!$K:$K,"&gt;=15")</f>
        <v>0</v>
      </c>
      <c r="F14" s="34">
        <f>B14+C14+D14+E14</f>
        <v>0</v>
      </c>
      <c r="G14" s="20"/>
      <c r="H14" s="20"/>
      <c r="I14" s="20"/>
      <c r="J14" s="22"/>
    </row>
    <row r="15" ht="15" customHeight="1">
      <c r="A15" s="20"/>
      <c r="B15" s="20"/>
      <c r="C15" s="20"/>
      <c r="D15" s="20"/>
      <c r="E15" s="20"/>
      <c r="F15" s="20"/>
      <c r="G15" s="20"/>
      <c r="H15" s="20"/>
      <c r="I15" s="20"/>
      <c r="J15" s="22"/>
    </row>
    <row r="16" ht="15" customHeight="1">
      <c r="A16" s="24" t="s">
        <v>60</v>
      </c>
      <c r="B16" s="24"/>
      <c r="C16" s="24"/>
      <c r="D16" s="24"/>
      <c r="E16" s="24"/>
      <c r="F16" s="24"/>
      <c r="G16" s="20"/>
      <c r="H16" s="20"/>
      <c r="I16" s="20"/>
      <c r="J16" s="22"/>
    </row>
    <row r="17" ht="15" customHeight="1">
      <c r="A17" s="37"/>
      <c r="B17" s="37"/>
      <c r="C17" s="33" t="s">
        <v>61</v>
      </c>
      <c r="D17" s="33" t="s">
        <v>62</v>
      </c>
      <c r="E17" s="33" t="s">
        <v>63</v>
      </c>
      <c r="F17" s="33" t="s">
        <v>56</v>
      </c>
      <c r="G17" s="20"/>
      <c r="H17" s="20"/>
      <c r="I17" s="20"/>
      <c r="J17" s="22"/>
    </row>
    <row r="18" ht="15" customHeight="1">
      <c r="A18" s="38" t="s">
        <v>64</v>
      </c>
      <c r="B18" s="34" t="s">
        <v>65</v>
      </c>
      <c r="C18" s="34">
        <f>COUNTIFS(Results!$E:$E,IF($C$4&lt;&gt;"",$C$4,"*"),Results!$V:$V,IF($C$3&lt;&gt;"",$C$3,"*"),Results!$U:$U,IF($D$3&lt;&gt;"",$D$3,"*"),Results!$W:$W,IF($F$3&lt;&gt;"",$F$3,"*"),Results!$G:$G,"Negative",Results!$L:$L,"No")</f>
        <v>0</v>
      </c>
      <c r="D18" s="34">
        <f>COUNTIFS(Results!$E:$E,IF($C$4&lt;&gt;"",$C$4,"*"),Results!$V:$V,IF($C$3&lt;&gt;"",$C$3,"*"),Results!$U:$U,IF($D$3&lt;&gt;"",$D$3,"*"),Results!$W:$W,IF($F$3&lt;&gt;"",$F$3,"*"),Results!$G:$G,"Negative",Results!$L:$L,"Yes")</f>
        <v>0</v>
      </c>
      <c r="E18" s="34">
        <f>COUNTIFS(Results!$E:$E,IF($C$4&lt;&gt;"",$C$4,"*"),Results!$V:$V,IF($C$3&lt;&gt;"",$C$3,"*"),Results!$U:$U,IF($D$3&lt;&gt;"",$D$3,"*"),Results!$W:$W,IF($F$3&lt;&gt;"",$F$3,"*"),Results!$G:$G,"=Negative",Results!$L:$L,"Unknown")+COUNTIFS(Results!$E:$E,IF($C$4&lt;&gt;"",$C$4,"*"),Results!$V:$V,IF($C$3&lt;&gt;"",$C$3,"*"),Results!$U:$U,IF($D$3&lt;&gt;"",$D$3,"*"),Results!$W:$W,IF($F$3&lt;&gt;"",$F$3,"*"),Results!$G:$G,"=Negative",Results!$L:$L,"N/A")+COUNTIFS(Results!$E:$E,IF($C$4&lt;&gt;"",$C$4,"*"),Results!$V:$V,IF($C$3&lt;&gt;"",$C$3,"*"),Results!$U:$U,IF($D$3&lt;&gt;"",$D$3,"*"),Results!$W:$W,IF($F$3&lt;&gt;"",$F$3,"*"),Results!$G:$G,"=Negative",Results!$L:$L,"")</f>
        <v>0</v>
      </c>
      <c r="F18" s="34">
        <f t="shared" ref="F18:F22" si="80">C18+D18+E18</f>
        <v>0</v>
      </c>
      <c r="G18" s="39"/>
      <c r="H18" s="40"/>
      <c r="I18" s="35"/>
      <c r="J18" s="22"/>
    </row>
    <row r="19" ht="15" customHeight="1">
      <c r="A19" s="38"/>
      <c r="B19" s="34" t="s">
        <v>66</v>
      </c>
      <c r="C19" s="34">
        <f>COUNTIFS(Results!$E:$E,IF($C$4&lt;&gt;"",$C$4,"*"),Results!$V:$V,IF($C$3&lt;&gt;"",$C$3,"*"),Results!$U:$U,IF($D$3&lt;&gt;"",$D$3,"*"),Results!$W:$W,IF($F$3&lt;&gt;"",$F$3,"*"),Results!$G:$G,"Positive",Results!$H:$H,"Negative",Results!$L:$L,"No")</f>
        <v>0</v>
      </c>
      <c r="D19" s="34">
        <f>COUNTIFS(Results!$E:$E,IF($C$4&lt;&gt;"",$C$4,"*"),Results!$V:$V,IF($C$3&lt;&gt;"",$C$3,"*"),Results!$U:$U,IF($D$3&lt;&gt;"",$D$3,"*"),Results!$W:$W,IF($F$3&lt;&gt;"",$F$3,"*"),Results!$G:$G,"Positive",Results!$H:$H,"Negative",Results!$L:$L,"Yes")</f>
        <v>0</v>
      </c>
      <c r="E19" s="34">
        <f>COUNTIFS(Results!$E:$E,IF($C$4&lt;&gt;"",$C$4,"*"),Results!$V:$V,IF($C$3&lt;&gt;"",$C$3,"*"),Results!$U:$U,IF($D$3&lt;&gt;"",$D$3,"*"),Results!$W:$W,IF($F$3&lt;&gt;"",$F$3,"*"),Results!$G:$G,"Positive",Results!$H:$H,"=Negative",Results!$L:$L,"Unknown")+COUNTIFS(Results!$E:$E,IF($C$4&lt;&gt;"",$C$4,"*"),Results!$V:$V,IF($C$3&lt;&gt;"",$C$3,"*"),Results!$U:$U,IF($D$3&lt;&gt;"",$D$3,"*"),Results!$W:$W,IF($F$3&lt;&gt;"",$F$3,"*"),Results!$G:$G,"Positive",Results!$H:$H,"=Negative",Results!$L:$L,"N/A")+COUNTIFS(Results!$E:$E,IF($C$4&lt;&gt;"",$C$4,"*"),Results!$V:$V,IF($C$3&lt;&gt;"",$C$3,"*"),Results!$U:$U,IF($D$3&lt;&gt;"",$D$3,"*"),Results!$W:$W,IF($F$3&lt;&gt;"",$F$3,"*"),Results!$G:$G,"Positive",Results!$H:$H,"=Negative",Results!$L:$L,"")</f>
        <v>0</v>
      </c>
      <c r="F19" s="34">
        <f t="shared" si="80"/>
        <v>0</v>
      </c>
      <c r="G19" s="39"/>
      <c r="H19" s="40"/>
      <c r="I19" s="35"/>
      <c r="J19" s="22"/>
    </row>
    <row r="20" ht="15" customHeight="1">
      <c r="A20" s="38"/>
      <c r="B20" s="34" t="s">
        <v>67</v>
      </c>
      <c r="C20" s="34">
        <f>COUNTIFS(Results!$E:$E,IF($C$4&lt;&gt;"",$C$4,"*"),Results!$V:$V,IF($C$3&lt;&gt;"",$C$3,"*"),Results!$U:$U,IF($D$3&lt;&gt;"",$D$3,"*"),Results!$W:$W,IF($F$3&lt;&gt;"",$F$3,"*"),Results!$G:$G,"Positive",Results!$H:$H,"Positive",Results!$L:$L,"No")</f>
        <v>0</v>
      </c>
      <c r="D20" s="34">
        <f>COUNTIFS(Results!$E:$E,IF($C$4&lt;&gt;"",$C$4,"*"),Results!$V:$V,IF($C$3&lt;&gt;"",$C$3,"*"),Results!$U:$U,IF($D$3&lt;&gt;"",$D$3,"*"),Results!$W:$W,IF($F$3&lt;&gt;"",$F$3,"*"),Results!$G:$G,"Positive",Results!$H:$H,"Positive",Results!$L:$L,"Yes")</f>
        <v>0</v>
      </c>
      <c r="E20" s="34">
        <f>COUNTIFS(Results!$E:$E,IF($C$4&lt;&gt;"",$C$4,"*"),Results!$V:$V,IF($C$3&lt;&gt;"",$C$3,"*"),Results!$U:$U,IF($D$3&lt;&gt;"",$D$3,"*"),Results!$W:$W,IF($F$3&lt;&gt;"",$F$3,"*"),Results!$G:$G,"Positive",Results!$H:$H,"=Positive",Results!$L:$L,"Unknown")+COUNTIFS(Results!$E:$E,IF($C$4&lt;&gt;"",$C$4,"*"),Results!$V:$V,IF($C$3&lt;&gt;"",$C$3,"*"),Results!$U:$U,IF($D$3&lt;&gt;"",$D$3,"*"),Results!$W:$W,IF($F$3&lt;&gt;"",$F$3,"*"),Results!$G:$G,"Positive",Results!$H:$H,"=Positive",Results!$L:$L,"N/A")+COUNTIFS(Results!$E:$E,IF($C$4&lt;&gt;"",$C$4,"*"),Results!$V:$V,IF($C$3&lt;&gt;"",$C$3,"*"),Results!$U:$U,IF($D$3&lt;&gt;"",$D$3,"*"),Results!$W:$W,IF($F$3&lt;&gt;"",$F$3,"*"),Results!$G:$G,"Positive",Results!$H:$H,"=Positive",Results!$L:$L,"")</f>
        <v>0</v>
      </c>
      <c r="F20" s="34">
        <f t="shared" si="80"/>
        <v>0</v>
      </c>
      <c r="G20" s="39"/>
      <c r="H20" s="40"/>
      <c r="I20" s="35"/>
      <c r="J20" s="22"/>
    </row>
    <row r="21" ht="15" customHeight="1">
      <c r="A21" s="38"/>
      <c r="B21" s="34" t="s">
        <v>68</v>
      </c>
      <c r="C21" s="34">
        <f>COUNTIFS(Results!$E:$E,IF($C$4&lt;&gt;"",$C$4,"*"),Results!$V:$V,IF($C$3&lt;&gt;"",$C$3,"*"),Results!$U:$U,IF($D$3&lt;&gt;"",$D$3,"*"),Results!$W:$W,IF($F$3&lt;&gt;"",$F$3,"*"),Results!$G:$G,"Positive",Results!$H:$H,"Indeterminate",Results!$L:$L,"No")</f>
        <v>0</v>
      </c>
      <c r="D21" s="34">
        <f>COUNTIFS(Results!$E:$E,IF($C$4&lt;&gt;"",$C$4,"*"),Results!$V:$V,IF($C$3&lt;&gt;"",$C$3,"*"),Results!$U:$U,IF($D$3&lt;&gt;"",$D$3,"*"),Results!$W:$W,IF($F$3&lt;&gt;"",$F$3,"*"),Results!$G:$G,"Positive",Results!$H:$H,"Indeterminate",Results!$L:$L,"Yes")</f>
        <v>0</v>
      </c>
      <c r="E21" s="34">
        <f>COUNTIFS(Results!$E:$E,IF($C$4&lt;&gt;"",$C$4,"*"),Results!$V:$V,IF($C$3&lt;&gt;"",$C$3,"*"),Results!$U:$U,IF($D$3&lt;&gt;"",$D$3,"*"),Results!$W:$W,IF($F$3&lt;&gt;"",$F$3,"*"),Results!$G:$G,"Positive",Results!$H:$H,"=Indeterminate",Results!$L:$L,"Unknown")+COUNTIFS(Results!$E:$E,IF($C$4&lt;&gt;"",$C$4,"*"),Results!$V:$V,IF($C$3&lt;&gt;"",$C$3,"*"),Results!$U:$U,IF($D$3&lt;&gt;"",$D$3,"*"),Results!$W:$W,IF($F$3&lt;&gt;"",$F$3,"*"),Results!$G:$G,"Positive",Results!$H:$H,"=Indeterminate",Results!$L:$L,"N/A")+COUNTIFS(Results!$E:$E,IF($C$4&lt;&gt;"",$C$4,"*"),Results!$V:$V,IF($C$3&lt;&gt;"",$C$3,"*"),Results!$U:$U,IF($D$3&lt;&gt;"",$D$3,"*"),Results!$W:$W,IF($F$3&lt;&gt;"",$F$3,"*"),Results!$G:$G,"Positive",Results!$H:$H,"=Indeterminate",Results!$L:$L,"")</f>
        <v>0</v>
      </c>
      <c r="F21" s="34">
        <f t="shared" si="80"/>
        <v>0</v>
      </c>
      <c r="G21" s="39"/>
      <c r="H21" s="40"/>
      <c r="I21" s="35"/>
      <c r="J21" s="22"/>
    </row>
    <row r="22" ht="15" customHeight="1">
      <c r="A22" s="38"/>
      <c r="B22" s="34" t="s">
        <v>69</v>
      </c>
      <c r="C22" s="34">
        <f>COUNTIFS(Results!$E:$E,IF($C$4&lt;&gt;"",$C$4,"*"),Results!$V:$V,IF($C$3&lt;&gt;"",$C$3,"*"),Results!$U:$U,IF($D$3&lt;&gt;"",$D$3,"*"),Results!$W:$W,IF($F$3&lt;&gt;"",$F$3,"*"),Results!$G:$G,"Trace",Results!$H:$H,"Indeterminate",Results!$L:$L,"No")</f>
        <v>0</v>
      </c>
      <c r="D22" s="34">
        <f>COUNTIFS(Results!$E:$E,IF($C$4&lt;&gt;"",$C$4,"*"),Results!$V:$V,IF($C$3&lt;&gt;"",$C$3,"*"),Results!$U:$U,IF($D$3&lt;&gt;"",$D$3,"*"),Results!$W:$W,IF($F$3&lt;&gt;"",$F$3,"*"),Results!$G:$G,"Trace",Results!$H:$H,"Indeterminate",Results!$L:$L,"Yes")</f>
        <v>0</v>
      </c>
      <c r="E22" s="34">
        <f>COUNTIFS(Results!$E:$E,IF($C$4&lt;&gt;"",$C$4,"*"),Results!$V:$V,IF($C$3&lt;&gt;"",$C$3,"*"),Results!$U:$U,IF($D$3&lt;&gt;"",$D$3,"*"),Results!$W:$W,IF($F$3&lt;&gt;"",$F$3,"*"),Results!$G:$G,"Trace",Results!$H:$H,"=Indeterminate",Results!$L:$L,"Unknown")+COUNTIFS(Results!$E:$E,IF($C$4&lt;&gt;"",$C$4,"*"),Results!$V:$V,IF($C$3&lt;&gt;"",$C$3,"*"),Results!$U:$U,IF($D$3&lt;&gt;"",$D$3,"*"),Results!$W:$W,IF($F$3&lt;&gt;"",$F$3,"*"),Results!$G:$G,"Trace",Results!$H:$H,"=Indeterminate",Results!$L:$L,"N/A")+COUNTIFS(Results!$E:$E,IF($C$4&lt;&gt;"",$C$4,"*"),Results!$V:$V,IF($C$3&lt;&gt;"",$C$3,"*"),Results!$U:$U,IF($D$3&lt;&gt;"",$D$3,"*"),Results!$W:$W,IF($F$3&lt;&gt;"",$F$3,"*"),Results!$G:$G,"Trace",Results!$H:$H,"=Indeterminate",Results!$L:$L,"")</f>
        <v>0</v>
      </c>
      <c r="F22" s="34">
        <f t="shared" si="80"/>
        <v>0</v>
      </c>
      <c r="G22" s="20"/>
      <c r="H22" s="20"/>
      <c r="I22" s="20"/>
      <c r="J22" s="36"/>
    </row>
    <row r="23" ht="15" customHeight="1">
      <c r="A23" s="33" t="s">
        <v>56</v>
      </c>
      <c r="B23" s="33"/>
      <c r="C23" s="34">
        <f>SUM(C18:C22)</f>
        <v>0</v>
      </c>
      <c r="D23" s="34">
        <f>SUM(D18:D22)</f>
        <v>0</v>
      </c>
      <c r="E23" s="34">
        <f>SUM(E18:E22)</f>
        <v>0</v>
      </c>
      <c r="F23" s="34">
        <f>SUM(F18:F22)</f>
        <v>0</v>
      </c>
      <c r="G23" s="20"/>
      <c r="H23" s="20"/>
      <c r="I23" s="20"/>
      <c r="J23" s="36"/>
    </row>
    <row r="24" ht="15" customHeight="1">
      <c r="A24" s="23"/>
      <c r="B24" s="20"/>
      <c r="C24" s="20"/>
      <c r="D24" s="20"/>
      <c r="E24" s="20"/>
      <c r="F24" s="20"/>
      <c r="G24" s="20"/>
      <c r="H24" s="20"/>
      <c r="I24" s="20"/>
      <c r="J24" s="22"/>
    </row>
    <row r="25" ht="15" customHeight="1">
      <c r="A25" s="24" t="s">
        <v>70</v>
      </c>
      <c r="B25" s="24"/>
      <c r="C25" s="24"/>
      <c r="D25" s="24"/>
      <c r="E25" s="24"/>
      <c r="F25" s="24"/>
      <c r="G25" s="20"/>
      <c r="H25" s="20"/>
      <c r="I25" s="20"/>
      <c r="J25" s="22"/>
    </row>
    <row r="26" ht="15" customHeight="1">
      <c r="A26" s="37"/>
      <c r="B26" s="37"/>
      <c r="C26" s="41" t="s">
        <v>71</v>
      </c>
      <c r="D26" s="41" t="s">
        <v>72</v>
      </c>
      <c r="E26" s="33" t="s">
        <v>63</v>
      </c>
      <c r="F26" s="33" t="s">
        <v>56</v>
      </c>
      <c r="G26" s="20"/>
      <c r="H26" s="20"/>
      <c r="I26" s="20"/>
      <c r="J26" s="22"/>
    </row>
    <row r="27" ht="15" customHeight="1">
      <c r="A27" s="38" t="s">
        <v>64</v>
      </c>
      <c r="B27" s="34" t="s">
        <v>65</v>
      </c>
      <c r="C27" s="34">
        <f>COUNTIFS(Results!$E:$E,IF($C$4&lt;&gt;"",$C$4,"*"),Results!$V:$V,IF($C$3&lt;&gt;"",$C$3,"*"),Results!$U:$U,IF($D$3&lt;&gt;"",$D$3,"*"),Results!$W:$W,IF($F$3&lt;&gt;"",$F$3,"*"),Results!$G:$G,"Negative",Results!$I:$I,"Positive")</f>
        <v>0</v>
      </c>
      <c r="D27" s="34">
        <f>COUNTIFS(Results!$E:$E,IF($C$4&lt;&gt;"",$C$4,"*"),Results!$V:$V,IF($C$3&lt;&gt;"",$C$3,"*"),Results!$U:$U,IF($D$3&lt;&gt;"",$D$3,"*"),Results!$W:$W,IF($F$3&lt;&gt;"",$F$3,"*"),Results!$G:$G,"Negative",Results!$I:$I,"Negative")</f>
        <v>0</v>
      </c>
      <c r="E27" s="34">
        <f>COUNTIFS(Results!$E:$E,IF($C$4&lt;&gt;"",$C$4,"*"),Results!$V:$V,IF($C$3&lt;&gt;"",$C$3,"*"),Results!$U:$U,IF($D$3&lt;&gt;"",$D$3,"*"),Results!$W:$W,IF($F$3&lt;&gt;"",$F$3,"*"),Results!$G:$G,"=Negative",Results!$I:$I,"Unknown")+COUNTIFS(Results!$E:$E,IF($C$4&lt;&gt;"",$C$4,"*"),Results!$V:$V,IF($C$3&lt;&gt;"",$C$3,"*"),Results!$U:$U,IF($D$3&lt;&gt;"",$D$3,"*"),Results!$W:$W,IF($F$3&lt;&gt;"",$F$3,"*"),Results!$G:$G,"=Negative",Results!$I:$I,"=Not On Form")+COUNTIFS(Results!$E:$E,IF($C$4&lt;&gt;"",$C$4,"*"),Results!$V:$V,IF($C$3&lt;&gt;"",$C$3,"*"),Results!$U:$U,IF($D$3&lt;&gt;"",$D$3,"*"),Results!$W:$W,IF($F$3&lt;&gt;"",$F$3,"*"),Results!$G:$G,"=Negative",Results!$I:$I,"")</f>
        <v>0</v>
      </c>
      <c r="F27" s="34">
        <f t="shared" ref="F27:F31" si="81">C27+D27+E27</f>
        <v>0</v>
      </c>
      <c r="G27" s="39"/>
      <c r="H27" s="40"/>
      <c r="I27" s="35"/>
      <c r="J27" s="22"/>
    </row>
    <row r="28" ht="15" customHeight="1">
      <c r="A28" s="38"/>
      <c r="B28" s="34" t="s">
        <v>73</v>
      </c>
      <c r="C28" s="34">
        <f>COUNTIFS(Results!$E:$E,IF($C$4&lt;&gt;"",$C$4,"*"),Results!$V:$V,IF($C$3&lt;&gt;"",$C$3,"*"),Results!$U:$U,IF($D$3&lt;&gt;"",$D$3,"*"),Results!$W:$W,IF($F$3&lt;&gt;"",$F$3,"*"),Results!$G:$G,"Positive",Results!$H:$H,"Negative",Results!$I:$I,"Positive")</f>
        <v>0</v>
      </c>
      <c r="D28" s="34">
        <f>COUNTIFS(Results!$E:$E,IF($C$4&lt;&gt;"",$C$4,"*"),Results!$V:$V,IF($C$3&lt;&gt;"",$C$3,"*"),Results!$U:$U,IF($D$3&lt;&gt;"",$D$3,"*"),Results!$W:$W,IF($F$3&lt;&gt;"",$F$3,"*"),Results!$G:$G,"Positive",Results!$H:$H,"Negative",Results!$I:$I,"Negative")</f>
        <v>0</v>
      </c>
      <c r="E28" s="34">
        <f>COUNTIFS(Results!$E:$E,IF($C$4&lt;&gt;"",$C$4,"*"),Results!$V:$V,IF($C$3&lt;&gt;"",$C$3,"*"),Results!$U:$U,IF($D$3&lt;&gt;"",$D$3,"*"),Results!$W:$W,IF($F$3&lt;&gt;"",$F$3,"*"),Results!$G:$G,"Positive",Results!$H:$H,"=Negative",Results!$I:$I,"Unknown")+COUNTIFS(Results!$E:$E,IF($C$4&lt;&gt;"",$C$4,"*"),Results!$V:$V,IF($C$3&lt;&gt;"",$C$3,"*"),Results!$U:$U,IF($D$3&lt;&gt;"",$D$3,"*"),Results!$W:$W,IF($F$3&lt;&gt;"",$F$3,"*"),Results!$G:$G,"Positive",Results!$H:$H,"=Negative",Results!$I:$I,"=Not On Form")+COUNTIFS(Results!$E:$E,IF($C$4&lt;&gt;"",$C$4,"*"),Results!$V:$V,IF($C$3&lt;&gt;"",$C$3,"*"),Results!$U:$U,IF($D$3&lt;&gt;"",$D$3,"*"),Results!$W:$W,IF($F$3&lt;&gt;"",$F$3,"*"),Results!$G:$G,"Positive",Results!$H:$H,"=Negative",Results!$I:$I,"")</f>
        <v>0</v>
      </c>
      <c r="F28" s="34">
        <f t="shared" si="81"/>
        <v>0</v>
      </c>
      <c r="G28" s="39"/>
      <c r="H28" s="40"/>
      <c r="I28" s="35"/>
      <c r="J28" s="22"/>
    </row>
    <row r="29" ht="15" customHeight="1">
      <c r="A29" s="38"/>
      <c r="B29" s="34" t="s">
        <v>67</v>
      </c>
      <c r="C29" s="34">
        <f>COUNTIFS(Results!$E:$E,IF($C$4&lt;&gt;"",$C$4,"*"),Results!$V:$V,IF($C$3&lt;&gt;"",$C$3,"*"),Results!$U:$U,IF($D$3&lt;&gt;"",$D$3,"*"),Results!$W:$W,IF($F$3&lt;&gt;"",$F$3,"*"),Results!$G:$G,"Positive",Results!$H:$H,"Positive",Results!$I:$I,"Positive")</f>
        <v>0</v>
      </c>
      <c r="D29" s="34">
        <f>COUNTIFS(Results!$E:$E,IF($C$4&lt;&gt;"",$C$4,"*"),Results!$V:$V,IF($C$3&lt;&gt;"",$C$3,"*"),Results!$U:$U,IF($D$3&lt;&gt;"",$D$3,"*"),Results!$W:$W,IF($F$3&lt;&gt;"",$F$3,"*"),Results!$G:$G,"Positive",Results!$H:$H,"Positive",Results!$I:$I,"Negative")</f>
        <v>0</v>
      </c>
      <c r="E29" s="34">
        <f>COUNTIFS(Results!$E:$E,IF($C$4&lt;&gt;"",$C$4,"*"),Results!$V:$V,IF($C$3&lt;&gt;"",$C$3,"*"),Results!$U:$U,IF($D$3&lt;&gt;"",$D$3,"*"),Results!$W:$W,IF($F$3&lt;&gt;"",$F$3,"*"),Results!$G:$G,"Positive",Results!$H:$H,"=Positive",Results!$I:$I,"Unknown")+COUNTIFS(Results!$E:$E,IF($C$4&lt;&gt;"",$C$4,"*"),Results!$V:$V,IF($C$3&lt;&gt;"",$C$3,"*"),Results!$U:$U,IF($D$3&lt;&gt;"",$D$3,"*"),Results!$W:$W,IF($F$3&lt;&gt;"",$F$3,"*"),Results!$G:$G,"Positive",Results!$H:$H,"=Positive",Results!$I:$I,"=Not On Form")+COUNTIFS(Results!$E:$E,IF($C$4&lt;&gt;"",$C$4,"*"),Results!$V:$V,IF($C$3&lt;&gt;"",$C$3,"*"),Results!$U:$U,IF($D$3&lt;&gt;"",$D$3,"*"),Results!$W:$W,IF($F$3&lt;&gt;"",$F$3,"*"),Results!$G:$G,"Positive",Results!$H:$H,"=Positive",Results!$I:$I,"")</f>
        <v>0</v>
      </c>
      <c r="F29" s="34">
        <f t="shared" si="81"/>
        <v>0</v>
      </c>
      <c r="G29" s="39"/>
      <c r="H29" s="40"/>
      <c r="I29" s="35"/>
      <c r="J29" s="22"/>
    </row>
    <row r="30" ht="15" customHeight="1">
      <c r="A30" s="38"/>
      <c r="B30" s="34" t="s">
        <v>68</v>
      </c>
      <c r="C30" s="34">
        <f>COUNTIFS(Results!$E:$E,IF($C$4&lt;&gt;"",$C$4,"*"),Results!$V:$V,IF($C$3&lt;&gt;"",$C$3,"*"),Results!$U:$U,IF($D$3&lt;&gt;"",$D$3,"*"),Results!$W:$W,IF($F$3&lt;&gt;"",$F$3,"*"),Results!$G:$G,"Positive",Results!$H:$H,"Indeterminate",Results!$I:$I,"Positive")</f>
        <v>0</v>
      </c>
      <c r="D30" s="34">
        <f>COUNTIFS(Results!$E:$E,IF($C$4&lt;&gt;"",$C$4,"*"),Results!$V:$V,IF($C$3&lt;&gt;"",$C$3,"*"),Results!$U:$U,IF($D$3&lt;&gt;"",$D$3,"*"),Results!$W:$W,IF($F$3&lt;&gt;"",$F$3,"*"),Results!$G:$G,"Positive",Results!$H:$H,"Indeterminate",Results!$I:$I,"Negative")</f>
        <v>0</v>
      </c>
      <c r="E30" s="34">
        <f>COUNTIFS(Results!$E:$E,IF($C$4&lt;&gt;"",$C$4,"*"),Results!$V:$V,IF($C$3&lt;&gt;"",$C$3,"*"),Results!$U:$U,IF($D$3&lt;&gt;"",$D$3,"*"),Results!$W:$W,IF($F$3&lt;&gt;"",$F$3,"*"),Results!$G:$G,"Positive",Results!$H:$H,"=Indeterminate",Results!$I:$I,"Unknown")+COUNTIFS(Results!$E:$E,IF($C$4&lt;&gt;"",$C$4,"*"),Results!$V:$V,IF($C$3&lt;&gt;"",$C$3,"*"),Results!$U:$U,IF($D$3&lt;&gt;"",$D$3,"*"),Results!$W:$W,IF($F$3&lt;&gt;"",$F$3,"*"),Results!$G:$G,"Positiv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0" s="34">
        <f t="shared" si="81"/>
        <v>0</v>
      </c>
      <c r="G30" s="39"/>
      <c r="H30" s="40"/>
      <c r="I30" s="35"/>
      <c r="J30" s="22"/>
    </row>
    <row r="31" ht="15" customHeight="1">
      <c r="A31" s="38"/>
      <c r="B31" s="34" t="s">
        <v>69</v>
      </c>
      <c r="C31" s="34">
        <f>COUNTIFS(Results!$E:$E,IF($C$4&lt;&gt;"",$C$4,"*"),Results!$V:$V,IF($C$3&lt;&gt;"",$C$3,"*"),Results!$U:$U,IF($D$3&lt;&gt;"",$D$3,"*"),Results!$W:$W,IF($F$3&lt;&gt;"",$F$3,"*"),Results!$G:$G,"Trace",Results!$H:$H,"Indeterminate",Results!$I:$I,"Positive")</f>
        <v>0</v>
      </c>
      <c r="D31" s="34">
        <f>COUNTIFS(Results!$E:$E,IF($C$4&lt;&gt;"",$C$4,"*"),Results!$V:$V,IF($C$3&lt;&gt;"",$C$3,"*"),Results!$U:$U,IF($D$3&lt;&gt;"",$D$3,"*"),Results!$W:$W,IF($F$3&lt;&gt;"",$F$3,"*"),Results!$G:$G,"Trace",Results!$H:$H,"Indeterminate",Results!$I:$I,"Negative")</f>
        <v>0</v>
      </c>
      <c r="E31" s="34">
        <f>COUNTIFS(Results!$E:$E,IF($C$4&lt;&gt;"",$C$4,"*"),Results!$V:$V,IF($C$3&lt;&gt;"",$C$3,"*"),Results!$U:$U,IF($D$3&lt;&gt;"",$D$3,"*"),Results!$W:$W,IF($F$3&lt;&gt;"",$F$3,"*"),Results!$G:$G,"Trace",Results!$H:$H,"=Indeterminate",Results!$I:$I,"Unknown")+COUNTIFS(Results!$E:$E,IF($C$4&lt;&gt;"",$C$4,"*"),Results!$V:$V,IF($C$3&lt;&gt;"",$C$3,"*"),Results!$U:$U,IF($D$3&lt;&gt;"",$D$3,"*"),Results!$W:$W,IF($F$3&lt;&gt;"",$F$3,"*"),Results!$G:$G,"Trace",Results!$H:$H,"=Indeterminate",Results!$I:$I,"=Not On Form")+COUNTIFS(Results!$E:$E,IF($C$4&lt;&gt;"",$C$4,"*"),Results!$V:$V,IF($C$3&lt;&gt;"",$C$3,"*"),Results!$U:$U,IF($D$3&lt;&gt;"",$D$3,"*"),Results!$W:$W,IF($F$3&lt;&gt;"",$F$3,"*"),Results!$G:$G,"Positive",Results!$H:$H,"=Indeterminate",Results!$I:$I,"")</f>
        <v>0</v>
      </c>
      <c r="F31" s="34">
        <f t="shared" si="81"/>
        <v>0</v>
      </c>
      <c r="G31" s="20"/>
      <c r="H31" s="20"/>
      <c r="I31" s="20"/>
      <c r="J31" s="36"/>
    </row>
    <row r="32" ht="15" customHeight="1">
      <c r="A32" s="33" t="s">
        <v>56</v>
      </c>
      <c r="B32" s="33"/>
      <c r="C32" s="34">
        <f>SUM(C27:C31)</f>
        <v>0</v>
      </c>
      <c r="D32" s="34">
        <f>SUM(D27:D31)</f>
        <v>0</v>
      </c>
      <c r="E32" s="34">
        <f>SUM(E27:E31)</f>
        <v>0</v>
      </c>
      <c r="F32" s="34">
        <f>SUM(F27:F31)</f>
        <v>0</v>
      </c>
      <c r="G32" s="20"/>
      <c r="H32" s="20"/>
      <c r="I32" s="20"/>
      <c r="J32" s="36"/>
    </row>
    <row r="33" ht="15" customHeight="1">
      <c r="A33" s="20"/>
      <c r="B33" s="20"/>
      <c r="C33" s="20"/>
      <c r="D33" s="20"/>
      <c r="E33" s="20"/>
      <c r="F33" s="20"/>
      <c r="G33" s="20"/>
      <c r="H33" s="20"/>
      <c r="I33" s="20"/>
      <c r="J33" s="22"/>
      <c r="K33" s="22"/>
    </row>
    <row r="34" ht="15" customHeight="1">
      <c r="A34" s="24" t="s">
        <v>74</v>
      </c>
      <c r="B34" s="20"/>
      <c r="C34" s="20"/>
      <c r="D34" s="20"/>
      <c r="E34" s="20"/>
      <c r="F34" s="20"/>
      <c r="G34" s="20"/>
      <c r="H34" s="20"/>
      <c r="I34" s="20"/>
      <c r="J34" s="36"/>
      <c r="K34" s="22"/>
    </row>
    <row r="35" ht="15" customHeight="1">
      <c r="A35" s="34"/>
      <c r="B35" s="34"/>
      <c r="C35" s="41" t="s">
        <v>75</v>
      </c>
      <c r="D35" s="41" t="s">
        <v>76</v>
      </c>
      <c r="E35" s="41" t="s">
        <v>77</v>
      </c>
      <c r="F35" s="41" t="s">
        <v>78</v>
      </c>
      <c r="G35" s="41" t="s">
        <v>79</v>
      </c>
      <c r="H35" s="33" t="s">
        <v>56</v>
      </c>
      <c r="I35" s="20"/>
      <c r="J35" s="22"/>
      <c r="K35" s="22"/>
    </row>
    <row r="36" ht="15" customHeight="1">
      <c r="A36" s="38" t="s">
        <v>64</v>
      </c>
      <c r="B36" s="34" t="s">
        <v>65</v>
      </c>
      <c r="C36" s="34">
        <f>COUNTIFS(Results!$E:$E,IF($C$4&lt;&gt;"",$C$4,"*"),Results!$V:$V,IF($C$3&lt;&gt;"",$C$3,"*"),Results!$U:$U,IF($D$3&lt;&gt;"",$D$3,"*"),Results!$W:$W,IF($F$3&lt;&gt;"",$F$3,"*"),Results!$G:$G,"Negative",Results!$P:$P,"dx")</f>
        <v>0</v>
      </c>
      <c r="D36" s="34">
        <f>COUNTIFS(Results!$E:$E,IF($C$4&lt;&gt;"",$C$4,"*"),Results!$V:$V,IF($C$3&lt;&gt;"",$C$3,"*"),Results!$U:$U,IF($D$3&lt;&gt;"",$D$3,"*"),Results!$W:$W,IF($F$3&lt;&gt;"",$F$3,"*"),Results!$G:$G,"Negative",Results!$P:$P,"fu")</f>
        <v>0</v>
      </c>
      <c r="E36" s="34">
        <f>COUNTIFS(Results!$E:$E,IF($C$4&lt;&gt;"",$C$4,"*"),Results!$V:$V,IF($C$3&lt;&gt;"",$C$3,"*"),Results!$U:$U,IF($D$3&lt;&gt;"",$D$3,"*"),Results!$W:$W,IF($F$3&lt;&gt;"",$F$3,"*"),Results!$G:$G,"Negative",Results!$P:$P,"mdr")</f>
        <v>0</v>
      </c>
      <c r="F36" s="34">
        <f>COUNTIFS(Results!$E:$E,IF($C$4&lt;&gt;"",$C$4,"*"),Results!$V:$V,IF($C$3&lt;&gt;"",$C$3,"*"),Results!$U:$U,IF($D$3&lt;&gt;"",$D$3,"*"),Results!$W:$W,IF($F$3&lt;&gt;"",$F$3,"*"),Results!$G:$G,"Negative",Results!$P:$P,"dm")</f>
        <v>0</v>
      </c>
      <c r="G36" s="34">
        <f>COUNTIFS(Results!$E:$E,IF($C$4&lt;&gt;"",$C$4,"*"),Results!$V:$V,IF($C$3&lt;&gt;"",$C$3,"*"),Results!$U:$U,IF($D$3&lt;&gt;"",$D$3,"*"),Results!$W:$W,IF($F$3&lt;&gt;"",$F$3,"*"),Results!$G:$G,"Negative",Results!$P:$P,"na")</f>
        <v>0</v>
      </c>
      <c r="H36" s="34">
        <f t="shared" ref="H36:H40" si="82">SUM(C36:G36)</f>
        <v>0</v>
      </c>
      <c r="I36" s="35"/>
      <c r="J36" s="42"/>
      <c r="K36" s="22"/>
    </row>
    <row r="37" ht="15" customHeight="1">
      <c r="A37" s="38"/>
      <c r="B37" s="34" t="s">
        <v>73</v>
      </c>
      <c r="C37" s="34">
        <f>COUNTIFS(Results!$E:$E,IF($C$4&lt;&gt;"",$C$4,"*"),Results!$V:$V,IF($C$3&lt;&gt;"",$C$3,"*"),Results!$U:$U,IF($D$3&lt;&gt;"",$D$3,"*"),Results!$W:$W,IF($F$3&lt;&gt;"",$F$3,"*"),Results!$G:$G,"Positive",Results!$H:$H,"Negative",Results!$P:$P,"dx")</f>
        <v>0</v>
      </c>
      <c r="D37" s="34">
        <f>COUNTIFS(Results!$E:$E,IF($C$4&lt;&gt;"",$C$4,"*"),Results!$V:$V,IF($C$3&lt;&gt;"",$C$3,"*"),Results!$U:$U,IF($D$3&lt;&gt;"",$D$3,"*"),Results!$W:$W,IF($F$3&lt;&gt;"",$F$3,"*"),Results!$G:$G,"Positive",Results!$H:$H,"Negative",Results!$P:$P,"fu")</f>
        <v>0</v>
      </c>
      <c r="E37" s="34">
        <f>COUNTIFS(Results!$E:$E,IF($C$4&lt;&gt;"",$C$4,"*"),Results!$V:$V,IF($C$3&lt;&gt;"",$C$3,"*"),Results!$U:$U,IF($D$3&lt;&gt;"",$D$3,"*"),Results!$W:$W,IF($F$3&lt;&gt;"",$F$3,"*"),Results!$G:$G,"Positive",Results!$H:$H,"Negative",Results!$P:$P,"mdr")</f>
        <v>0</v>
      </c>
      <c r="F37" s="34">
        <f>COUNTIFS(Results!$E:$E,IF($C$4&lt;&gt;"",$C$4,"*"),Results!$V:$V,IF($C$3&lt;&gt;"",$C$3,"*"),Results!$U:$U,IF($D$3&lt;&gt;"",$D$3,"*"),Results!$W:$W,IF($F$3&lt;&gt;"",$F$3,"*"),Results!$G:$G,"Positive",Results!$H:$H,"Negative",Results!$P:$P,"dm")</f>
        <v>0</v>
      </c>
      <c r="G37" s="34">
        <f>COUNTIFS(Results!$E:$E,IF($C$4&lt;&gt;"",$C$4,"*"),Results!$V:$V,IF($C$3&lt;&gt;"",$C$3,"*"),Results!$U:$U,IF($D$3&lt;&gt;"",$D$3,"*"),Results!$W:$W,IF($F$3&lt;&gt;"",$F$3,"*"),Results!$G:$G,"Positive",Results!$H:$H,"Negative",Results!$P:$P,"na")</f>
        <v>0</v>
      </c>
      <c r="H37" s="34">
        <f t="shared" si="82"/>
        <v>0</v>
      </c>
      <c r="I37" s="35"/>
      <c r="J37" s="22"/>
      <c r="K37" s="22"/>
    </row>
    <row r="38" ht="15" customHeight="1">
      <c r="A38" s="38"/>
      <c r="B38" s="34" t="s">
        <v>67</v>
      </c>
      <c r="C38" s="34">
        <f>COUNTIFS(Results!$E:$E,IF($C$4&lt;&gt;"",$C$4,"*"),Results!$V:$V,IF($C$3&lt;&gt;"",$C$3,"*"),Results!$U:$U,IF($D$3&lt;&gt;"",$D$3,"*"),Results!$W:$W,IF($F$3&lt;&gt;"",$F$3,"*"),Results!$G:$G,"Positive",Results!$H:$H,"Positive",Results!$P:$P,"dx")</f>
        <v>0</v>
      </c>
      <c r="D38" s="34">
        <f>COUNTIFS(Results!$E:$E,IF($C$4&lt;&gt;"",$C$4,"*"),Results!$V:$V,IF($C$3&lt;&gt;"",$C$3,"*"),Results!$U:$U,IF($D$3&lt;&gt;"",$D$3,"*"),Results!$W:$W,IF($F$3&lt;&gt;"",$F$3,"*"),Results!$G:$G,"Positive",Results!$H:$H,"Positive",Results!$P:$P,"fu")</f>
        <v>0</v>
      </c>
      <c r="E38" s="34">
        <f>COUNTIFS(Results!$E:$E,IF($C$4&lt;&gt;"",$C$4,"*"),Results!$V:$V,IF($C$3&lt;&gt;"",$C$3,"*"),Results!$U:$U,IF($D$3&lt;&gt;"",$D$3,"*"),Results!$W:$W,IF($F$3&lt;&gt;"",$F$3,"*"),Results!$G:$G,"Positive",Results!$H:$H,"Positive",Results!$P:$P,"mdr")</f>
        <v>0</v>
      </c>
      <c r="F38" s="34">
        <f>COUNTIFS(Results!$E:$E,IF($C$4&lt;&gt;"",$C$4,"*"),Results!$V:$V,IF($C$3&lt;&gt;"",$C$3,"*"),Results!$U:$U,IF($D$3&lt;&gt;"",$D$3,"*"),Results!$W:$W,IF($F$3&lt;&gt;"",$F$3,"*"),Results!$G:$G,"Positive",Results!$H:$H,"Positive",Results!$P:$P,"dm")</f>
        <v>0</v>
      </c>
      <c r="G38" s="34">
        <f>COUNTIFS(Results!$E:$E,IF($C$4&lt;&gt;"",$C$4,"*"),Results!$V:$V,IF($C$3&lt;&gt;"",$C$3,"*"),Results!$U:$U,IF($D$3&lt;&gt;"",$D$3,"*"),Results!$W:$W,IF($F$3&lt;&gt;"",$F$3,"*"),Results!$G:$G,"Positive",Results!$H:$H,"Positive",Results!$P:$P,"na")</f>
        <v>0</v>
      </c>
      <c r="H38" s="34">
        <f t="shared" si="82"/>
        <v>0</v>
      </c>
      <c r="I38" s="35"/>
      <c r="J38" s="22"/>
      <c r="K38" s="22"/>
    </row>
    <row r="39" ht="15" customHeight="1">
      <c r="A39" s="38"/>
      <c r="B39" s="34" t="s">
        <v>68</v>
      </c>
      <c r="C39" s="34">
        <f>COUNTIFS(Results!$E:$E,IF($C$4&lt;&gt;"",$C$4,"*"),Results!$V:$V,IF($C$3&lt;&gt;"",$C$3,"*"),Results!$U:$U,IF($D$3&lt;&gt;"",$D$3,"*"),Results!$W:$W,IF($F$3&lt;&gt;"",$F$3,"*"),Results!$G:$G,"Positive",Results!$H:$H,"Indeterminate",Results!$P:$P,"dx")</f>
        <v>0</v>
      </c>
      <c r="D39" s="34">
        <f>COUNTIFS(Results!$E:$E,IF($C$4&lt;&gt;"",$C$4,"*"),Results!$V:$V,IF($C$3&lt;&gt;"",$C$3,"*"),Results!$U:$U,IF($D$3&lt;&gt;"",$D$3,"*"),Results!$W:$W,IF($F$3&lt;&gt;"",$F$3,"*"),Results!$G:$G,"Positive",Results!$H:$H,"Indeterminate",Results!$P:$P,"fu")</f>
        <v>0</v>
      </c>
      <c r="E39" s="34">
        <f>COUNTIFS(Results!$E:$E,IF($C$4&lt;&gt;"",$C$4,"*"),Results!$V:$V,IF($C$3&lt;&gt;"",$C$3,"*"),Results!$U:$U,IF($D$3&lt;&gt;"",$D$3,"*"),Results!$W:$W,IF($F$3&lt;&gt;"",$F$3,"*"),Results!$G:$G,"Positive",Results!$H:$H,"Indeterminate",Results!$P:$P,"mdr")</f>
        <v>0</v>
      </c>
      <c r="F39" s="34">
        <f>COUNTIFS(Results!$E:$E,IF($C$4&lt;&gt;"",$C$4,"*"),Results!$V:$V,IF($C$3&lt;&gt;"",$C$3,"*"),Results!$U:$U,IF($D$3&lt;&gt;"",$D$3,"*"),Results!$W:$W,IF($F$3&lt;&gt;"",$F$3,"*"),Results!$G:$G,"Positive",Results!$H:$H,"Indeterminate",Results!$P:$P,"dm")</f>
        <v>0</v>
      </c>
      <c r="G39" s="34">
        <f>COUNTIFS(Results!$E:$E,IF($C$4&lt;&gt;"",$C$4,"*"),Results!$V:$V,IF($C$3&lt;&gt;"",$C$3,"*"),Results!$U:$U,IF($D$3&lt;&gt;"",$D$3,"*"),Results!$W:$W,IF($F$3&lt;&gt;"",$F$3,"*"),Results!$G:$G,"Positive",Results!$H:$H,"Indeterminate",Results!$P:$P,"na")</f>
        <v>0</v>
      </c>
      <c r="H39" s="34">
        <f t="shared" si="82"/>
        <v>0</v>
      </c>
      <c r="I39" s="35"/>
      <c r="J39" s="22"/>
      <c r="K39" s="22"/>
    </row>
    <row r="40" ht="15" customHeight="1">
      <c r="A40" s="38"/>
      <c r="B40" s="34" t="s">
        <v>69</v>
      </c>
      <c r="C40" s="34">
        <f>COUNTIFS(Results!$E:$E,IF($C$4&lt;&gt;"",$C$4,"*"),Results!$V:$V,IF($C$3&lt;&gt;"",$C$3,"*"),Results!$U:$U,IF($D$3&lt;&gt;"",$D$3,"*"),Results!$W:$W,IF($F$3&lt;&gt;"",$F$3,"*"),Results!$G:$G,"Trace",Results!$H:$H,"Indeterminate",Results!$P:$P,"dx")</f>
        <v>0</v>
      </c>
      <c r="D40" s="34">
        <f>COUNTIFS(Results!$E:$E,IF($C$4&lt;&gt;"",$C$4,"*"),Results!$V:$V,IF($C$3&lt;&gt;"",$C$3,"*"),Results!$U:$U,IF($D$3&lt;&gt;"",$D$3,"*"),Results!$W:$W,IF($F$3&lt;&gt;"",$F$3,"*"),Results!$G:$G,"Trace",Results!$H:$H,"Indeterminate",Results!$P:$P,"fu")</f>
        <v>0</v>
      </c>
      <c r="E40" s="34">
        <f>COUNTIFS(Results!$E:$E,IF($C$4&lt;&gt;"",$C$4,"*"),Results!$V:$V,IF($C$3&lt;&gt;"",$C$3,"*"),Results!$U:$U,IF($D$3&lt;&gt;"",$D$3,"*"),Results!$W:$W,IF($F$3&lt;&gt;"",$F$3,"*"),Results!$G:$G,"Trace",Results!$H:$H,"Indeterminate",Results!$P:$P,"mdr")</f>
        <v>0</v>
      </c>
      <c r="F40" s="34">
        <f>COUNTIFS(Results!$E:$E,IF($C$4&lt;&gt;"",$C$4,"*"),Results!$V:$V,IF($C$3&lt;&gt;"",$C$3,"*"),Results!$U:$U,IF($D$3&lt;&gt;"",$D$3,"*"),Results!$W:$W,IF($F$3&lt;&gt;"",$F$3,"*"),Results!$G:$G,"Trace",Results!$H:$H,"Indeterminate",Results!$P:$P,"dm")</f>
        <v>0</v>
      </c>
      <c r="G40" s="34">
        <f>COUNTIFS(Results!$E:$E,IF($C$4&lt;&gt;"",$C$4,"*"),Results!$V:$V,IF($C$3&lt;&gt;"",$C$3,"*"),Results!$U:$U,IF($D$3&lt;&gt;"",$D$3,"*"),Results!$W:$W,IF($F$3&lt;&gt;"",$F$3,"*"),Results!$G:$G,"Trace",Results!$H:$H,"Indeterminate",Results!$P:$P,"na")</f>
        <v>0</v>
      </c>
      <c r="H40" s="34">
        <f t="shared" si="82"/>
        <v>0</v>
      </c>
      <c r="I40" s="35"/>
      <c r="J40" s="22"/>
      <c r="K40" s="22"/>
    </row>
    <row r="41" ht="15" customHeight="1">
      <c r="A41" s="33" t="s">
        <v>56</v>
      </c>
      <c r="B41" s="33"/>
      <c r="C41" s="34">
        <f t="shared" ref="C41:H41" si="83">SUM(C36:C40)</f>
        <v>0</v>
      </c>
      <c r="D41" s="34">
        <f t="shared" si="83"/>
        <v>0</v>
      </c>
      <c r="E41" s="34">
        <f t="shared" si="83"/>
        <v>0</v>
      </c>
      <c r="F41" s="34">
        <f t="shared" si="83"/>
        <v>0</v>
      </c>
      <c r="G41" s="34">
        <f t="shared" si="83"/>
        <v>0</v>
      </c>
      <c r="H41" s="34">
        <f t="shared" si="83"/>
        <v>0</v>
      </c>
      <c r="I41" s="20"/>
      <c r="J41" s="22"/>
      <c r="K41" s="22"/>
    </row>
    <row r="42" ht="15" customHeight="1">
      <c r="A42" s="20"/>
      <c r="B42" s="20"/>
      <c r="C42" s="20"/>
      <c r="D42" s="20"/>
      <c r="E42" s="20"/>
      <c r="F42" s="20"/>
      <c r="G42" s="20"/>
      <c r="H42" s="20"/>
      <c r="I42" s="20"/>
      <c r="J42" s="22"/>
      <c r="K42" s="22"/>
    </row>
    <row r="43" ht="15" customHeight="1">
      <c r="A43" s="20"/>
      <c r="B43" s="20"/>
      <c r="C43" s="30" t="s">
        <v>54</v>
      </c>
      <c r="D43" s="31"/>
      <c r="E43" s="30" t="s">
        <v>55</v>
      </c>
      <c r="F43" s="31"/>
      <c r="G43" s="29" t="s">
        <v>56</v>
      </c>
      <c r="H43" s="20"/>
      <c r="I43" s="20"/>
      <c r="J43" s="22"/>
      <c r="K43" s="22"/>
    </row>
    <row r="44" ht="15" customHeight="1">
      <c r="A44" s="37" t="s">
        <v>80</v>
      </c>
      <c r="B44" s="34"/>
      <c r="C44" s="43">
        <f>COUNTIFS(Results!$E:$E,IF($C$4&lt;&gt;"",$C$4,"*"),Results!$V:$V,IF($C$3&lt;&gt;"",$C$3,"*"),Results!$U:$U,IF($D$3&lt;&gt;"",$D$3,"*"),Results!$W:$W,IF($F$3&lt;&gt;"",$F$3,"*"),Results!$J:$J,"=Male",Results!$G:$G,"=Positive",Results!$H:$H,"=Positive")+COUNTIFS(Results!$E:$E,IF($C$4&lt;&gt;"",$C$4,"*"),Results!$V:$V,IF($C$3&lt;&gt;"",$C$3,"*"),Results!$U:$U,IF($D$3&lt;&gt;"",$D$3,"*"),Results!$W:$W,IF($F$3&lt;&gt;"",$F$3,"*"),Results!$J:$J,"=M",Results!$G:$G,"=Positive",Results!$H:$H,"=Positive")</f>
        <v>0</v>
      </c>
      <c r="D44" s="44">
        <v>0</v>
      </c>
      <c r="E44" s="43">
        <f>COUNTIFS(Results!$E:$E,IF($C$4&lt;&gt;"",$C$4,"*"),Results!$V:$V,IF($C$3&lt;&gt;"",$C$3,"*"),Results!$U:$U,IF($D$3&lt;&gt;"",$D$3,"*"),Results!$W:$W,IF($F$3&lt;&gt;"",$F$3,"*"),Results!$J:$J,"=Female",Results!$G:$G,"=Positive",Results!$H:$H,"=Positive")+COUNTIFS(Results!$E:$E,IF($C$4&lt;&gt;"",$C$4,"*"),Results!$V:$V,IF($C$3&lt;&gt;"",$C$3,"*"),Results!$U:$U,IF($D$3&lt;&gt;"",$D$3,"*"),Results!$W:$W,IF($F$3&lt;&gt;"",$F$3,"*"),Results!$J:$J,"=F",Results!$G:$G,"=Positive",Results!$H:$H,"=Positive")</f>
        <v>0</v>
      </c>
      <c r="F44" s="44">
        <v>0</v>
      </c>
      <c r="G44" s="45">
        <f>C44+E44</f>
        <v>0</v>
      </c>
      <c r="H44" s="20"/>
      <c r="I44" s="20"/>
      <c r="J44" s="22"/>
      <c r="K44" s="22"/>
    </row>
    <row r="45" ht="15" customHeight="1">
      <c r="A45" s="20"/>
      <c r="B45" s="20"/>
      <c r="C45" s="20"/>
      <c r="D45" s="20"/>
      <c r="E45" s="20"/>
      <c r="F45" s="20"/>
      <c r="G45" s="20"/>
      <c r="H45" s="20"/>
      <c r="I45" s="20"/>
      <c r="J45" s="22"/>
      <c r="K45" s="22"/>
    </row>
    <row r="46" ht="15" customHeight="1">
      <c r="A46" s="24" t="s">
        <v>81</v>
      </c>
      <c r="B46" s="20"/>
      <c r="C46" s="20"/>
      <c r="D46" s="20"/>
      <c r="E46" s="20"/>
      <c r="F46" s="20"/>
      <c r="G46" s="20"/>
      <c r="H46" s="20"/>
      <c r="I46" s="20"/>
      <c r="J46" s="22"/>
      <c r="K46" s="22"/>
    </row>
    <row r="47" ht="15" customHeight="1">
      <c r="A47" s="34"/>
      <c r="B47" s="34"/>
      <c r="C47" s="30" t="s">
        <v>82</v>
      </c>
      <c r="D47" s="31"/>
      <c r="E47" s="30" t="s">
        <v>83</v>
      </c>
      <c r="F47" s="31"/>
      <c r="G47" s="33" t="s">
        <v>84</v>
      </c>
      <c r="H47" s="33" t="s">
        <v>56</v>
      </c>
      <c r="I47" s="20"/>
      <c r="J47" s="22"/>
      <c r="K47" s="22"/>
    </row>
    <row r="48" ht="15" customHeight="1">
      <c r="A48" s="46" t="s">
        <v>85</v>
      </c>
      <c r="B48" s="47"/>
      <c r="C48" s="43">
        <f>COUNTIFS(Results!$E:$E,IF($C$4&lt;&gt;"",$C$4,"*"),Results!$V:$V,IF($C$3&lt;&gt;"",$C$3,"*"),Results!$U:$U,IF($D$3&lt;&gt;"",$D$3,"*"),Results!$W:$W,IF($F$3&lt;&gt;"",$F$3,"*"),Results!$M:$M,"Smear Positive",Results!$G:$G,"Positive")</f>
        <v>0</v>
      </c>
      <c r="D48" s="44"/>
      <c r="E48" s="43">
        <f>COUNTIFS(Results!$E:$E,IF($C$4&lt;&gt;"",$C$4,"*"),Results!$V:$V,IF($C$3&lt;&gt;"",$C$3,"*"),Results!$U:$U,IF($D$3&lt;&gt;"",$D$3,"*"),Results!$W:$W,IF($F$3&lt;&gt;"",$F$3,"*"),Results!$M:$M,"Smear Positive",Results!$G:$G,"Negative")</f>
        <v>0</v>
      </c>
      <c r="F48" s="44"/>
      <c r="G48" s="34">
        <f>COUNTIFS(Results!$E:$E,IF($C$4&lt;&gt;"",$C$4,"*"),Results!$V:$V,IF($C$3&lt;&gt;"",$C$3,"*"),Results!$U:$U,IF($D$3&lt;&gt;"",$D$3,"*"),Results!$W:$W,IF($F$3&lt;&gt;"",$F$3,"*"),Results!$M:$M,"Smear Positive",Results!$G:$G,"Trace")</f>
        <v>0</v>
      </c>
      <c r="H48" s="34">
        <f t="shared" ref="H48:H50" si="84">C48+E48+G48</f>
        <v>0</v>
      </c>
      <c r="I48" s="22"/>
      <c r="J48" s="48"/>
      <c r="K48" s="49"/>
    </row>
    <row r="49" ht="15" customHeight="1">
      <c r="A49" s="46" t="s">
        <v>86</v>
      </c>
      <c r="B49" s="47"/>
      <c r="C49" s="43">
        <f>COUNTIFS(Results!$E:$E,IF($C$4&lt;&gt;"",$C$4,"*"),Results!$V:$V,IF($C$3&lt;&gt;"",$C$3,"*"),Results!$U:$U,IF($D$3&lt;&gt;"",$D$3,"*"),Results!$W:$W,IF($F$3&lt;&gt;"",$F$3,"*"),Results!$M:$M,"Smear Negative",Results!$G:$G,"Positive")</f>
        <v>0</v>
      </c>
      <c r="D49" s="44"/>
      <c r="E49" s="43">
        <f>COUNTIFS(Results!$E:$E,IF($C$4&lt;&gt;"",$C$4,"*"),Results!$V:$V,IF($C$3&lt;&gt;"",$C$3,"*"),Results!$U:$U,IF($D$3&lt;&gt;"",$D$3,"*"),Results!$W:$W,IF($F$3&lt;&gt;"",$F$3,"*"),Results!$M:$M,"Smear Negative",Results!$G:$G,"Negative")</f>
        <v>0</v>
      </c>
      <c r="F49" s="44"/>
      <c r="G49" s="34">
        <f>COUNTIFS(Results!$E:$E,IF($C$4&lt;&gt;"",$C$4,"*"),Results!$V:$V,IF($C$3&lt;&gt;"",$C$3,"*"),Results!$U:$U,IF($D$3&lt;&gt;"",$D$3,"*"),Results!$W:$W,IF($F$3&lt;&gt;"",$F$3,"*"),Results!$M:$M,"Smear Negative",Results!$G:$G,"Trace")</f>
        <v>0</v>
      </c>
      <c r="H49" s="34">
        <f t="shared" si="84"/>
        <v>0</v>
      </c>
      <c r="I49" s="22"/>
      <c r="J49" s="22"/>
    </row>
    <row r="50" ht="15" customHeight="1">
      <c r="A50" s="46" t="s">
        <v>87</v>
      </c>
      <c r="B50" s="47"/>
      <c r="C50" s="43">
        <f>COUNTIFS(Results!$E:$E,IF($C$4&lt;&gt;"",$C$4,"*"),Results!$V:$V,IF($C$3&lt;&gt;"",$C$3,"*"),Results!$U:$U,IF($D$3&lt;&gt;"",$D$3,"*"),Results!$W:$W,IF($F$3&lt;&gt;"",$F$3,"*"),Results!$M:$M,"Not Done",Results!$G:$G,"Positive")+COUNTIFS(Results!$E:$E,IF($C$4&lt;&gt;"",$C$4,"*"),Results!$V:$V,IF($C$3&lt;&gt;"",$C$3,"*"),Results!$U:$U,IF($D$3&lt;&gt;"",$D$3,"*"),Results!$W:$W,IF($F$3&lt;&gt;"",$F$3,"*"),Results!$M:$M,"Not On Form",Results!$G:$G,"Positive")+COUNTIFS(Results!$E:$E,IF($C$4&lt;&gt;"",$C$4,"*"),Results!$V:$V,IF($C$3&lt;&gt;"",$C$3,"*"),Results!$U:$U,IF($D$3&lt;&gt;"",$D$3,"*"),Results!$W:$W,IF($F$3&lt;&gt;"",$F$3,"*"),Results!$M:$M,"",Results!$G:$G,"Positive")</f>
        <v>0</v>
      </c>
      <c r="D50" s="44"/>
      <c r="E50" s="43">
        <f>COUNTIFS(Results!$E:$E,IF($C$4&lt;&gt;"",$C$4,"*"),Results!$V:$V,IF($C$3&lt;&gt;"",$C$3,"*"),Results!$U:$U,IF($D$3&lt;&gt;"",$D$3,"*"),Results!$W:$W,IF($F$3&lt;&gt;"",$F$3,"*"),Results!$M:$M,"Not Done",Results!$G:$G,"Negative")+COUNTIFS(Results!$E:$E,IF($C$4&lt;&gt;"",$C$4,"*"),Results!$V:$V,IF($C$3&lt;&gt;"",$C$3,"*"),Results!$U:$U,IF($D$3&lt;&gt;"",$D$3,"*"),Results!$W:$W,IF($F$3&lt;&gt;"",$F$3,"*"),Results!$M:$M,"Not On Form",Results!$G:$G,"Negative")+COUNTIFS(Results!$E:$E,IF($C$4&lt;&gt;"",$C$4,"*"),Results!$V:$V,IF($C$3&lt;&gt;"",$C$3,"*"),Results!$U:$U,IF($D$3&lt;&gt;"",$D$3,"*"),Results!$W:$W,IF($F$3&lt;&gt;"",$F$3,"*"),Results!$M:$M,"",Results!$G:$G,"Negative")</f>
        <v>0</v>
      </c>
      <c r="F50" s="44"/>
      <c r="G50" s="34">
        <f>COUNTIFS(Results!$E:$E,IF($C$4&lt;&gt;"",$C$4,"*"),Results!$V:$V,IF($C$3&lt;&gt;"",$C$3,"*"),Results!$U:$U,IF($D$3&lt;&gt;"",$D$3,"*"),Results!$W:$W,IF($F$3&lt;&gt;"",$F$3,"*"),Results!$M:$M,"Not Done",Results!$G:$G,"Trace")+COUNTIFS(Results!$E:$E,IF($C$4&lt;&gt;"",$C$4,"*"),Results!$V:$V,IF($C$3&lt;&gt;"",$C$3,"*"),Results!$U:$U,IF($D$3&lt;&gt;"",$D$3,"*"),Results!$W:$W,IF($F$3&lt;&gt;"",$F$3,"*"),Results!$M:$M,"Not On Form",Results!$G:$G,"Trace")+COUNTIFS(Results!$E:$E,IF($C$4&lt;&gt;"",$C$4,"*"),Results!$V:$V,IF($C$3&lt;&gt;"",$C$3,"*"),Results!$U:$U,IF($D$3&lt;&gt;"",$D$3,"*"),Results!$W:$W,IF($F$3&lt;&gt;"",$F$3,"*"),Results!$M:$M,"",Results!$G:$G,"Trace")</f>
        <v>0</v>
      </c>
      <c r="H50" s="34">
        <f t="shared" si="84"/>
        <v>0</v>
      </c>
      <c r="I50" s="22"/>
      <c r="J50" s="22"/>
    </row>
    <row r="51" ht="15" customHeight="1">
      <c r="A51" s="33" t="s">
        <v>56</v>
      </c>
      <c r="B51" s="33"/>
      <c r="C51" s="43">
        <f>C48+C49+C50</f>
        <v>0</v>
      </c>
      <c r="D51" s="44"/>
      <c r="E51" s="43">
        <f>E48+E49+E50</f>
        <v>0</v>
      </c>
      <c r="F51" s="44"/>
      <c r="G51" s="45">
        <f>G48+G49+G50</f>
        <v>0</v>
      </c>
      <c r="H51" s="45">
        <f>H48+H49+H50</f>
        <v>0</v>
      </c>
      <c r="I51" s="22"/>
      <c r="J51" s="22"/>
    </row>
    <row r="53" ht="15" customHeight="1">
      <c r="A53" s="20"/>
      <c r="B53" s="20"/>
      <c r="C53" s="30" t="s">
        <v>82</v>
      </c>
      <c r="D53" s="31"/>
      <c r="E53" s="30" t="s">
        <v>83</v>
      </c>
      <c r="F53" s="31"/>
      <c r="G53" s="29" t="s">
        <v>56</v>
      </c>
      <c r="H53" s="22"/>
      <c r="I53" s="22"/>
      <c r="J53" s="22"/>
    </row>
    <row r="54" ht="15" customHeight="1">
      <c r="A54" s="37" t="s">
        <v>88</v>
      </c>
      <c r="B54" s="34"/>
      <c r="C54" s="43">
        <f>COUNTIFS(Results!$E:$E,IF($C$4&lt;&gt;"",$C$4,"*"),Results!$V:$V,IF($C$3&lt;&gt;"",$C$3,"*"),Results!$U:$U,IF($D$3&lt;&gt;"",$D$3,"*"),Results!$W:$W,IF($F$3&lt;&gt;"",$F$3,"*"),Results!$Q:$Q,"cxr",Results!$G:$G,"Positive")</f>
        <v>0</v>
      </c>
      <c r="D54" s="44"/>
      <c r="E54" s="43">
        <f>COUNTIFS(Results!$E:$E,IF($C$4&lt;&gt;"",$C$4,"*"),Results!$V:$V,IF($C$3&lt;&gt;"",$C$3,"*"),Results!$U:$U,IF($D$3&lt;&gt;"",$D$3,"*"),Results!$W:$W,IF($F$3&lt;&gt;"",$F$3,"*"),Results!$Q:$Q,"cxr",Results!$G:$G,"Negative")</f>
        <v>0</v>
      </c>
      <c r="F54" s="44"/>
      <c r="G54" s="45">
        <f>SUM(C54:F54)</f>
        <v>0</v>
      </c>
      <c r="H54" s="22"/>
      <c r="I54" s="22"/>
      <c r="J54" s="36"/>
    </row>
    <row r="55" ht="15" customHeight="1">
      <c r="A55" s="20"/>
      <c r="B55" s="20"/>
      <c r="C55" s="23"/>
      <c r="D55" s="23"/>
      <c r="E55" s="23"/>
      <c r="F55" s="23"/>
      <c r="G55" s="20"/>
      <c r="H55" s="22"/>
      <c r="I55" s="22"/>
      <c r="J55" s="22"/>
    </row>
    <row r="56" ht="15" customHeight="1">
      <c r="A56" s="50" t="s">
        <v>89</v>
      </c>
      <c r="B56" s="51"/>
      <c r="C56" s="51"/>
      <c r="D56" s="51"/>
      <c r="E56" s="51"/>
      <c r="F56" s="51"/>
      <c r="G56" s="51"/>
      <c r="H56" s="51"/>
      <c r="I56" s="51"/>
      <c r="J56" s="22"/>
    </row>
    <row r="57" ht="15" customHeight="1">
      <c r="A57" s="52"/>
      <c r="B57" s="52"/>
      <c r="C57" s="53" t="s">
        <v>90</v>
      </c>
      <c r="D57" s="54"/>
      <c r="E57" s="53" t="s">
        <v>91</v>
      </c>
      <c r="F57" s="54"/>
      <c r="G57" s="51"/>
      <c r="H57" s="51"/>
      <c r="I57" s="51"/>
      <c r="J57" s="22"/>
    </row>
    <row r="58" ht="15" customHeight="1">
      <c r="A58" s="55" t="s">
        <v>92</v>
      </c>
      <c r="B58" s="56"/>
      <c r="C58" s="57"/>
      <c r="D58" s="58"/>
      <c r="E58" s="57"/>
      <c r="F58" s="58"/>
      <c r="G58" s="51"/>
      <c r="H58" s="51"/>
      <c r="I58" s="51"/>
      <c r="J58" s="22"/>
    </row>
    <row r="59" ht="15" customHeight="1">
      <c r="A59" s="55" t="s">
        <v>93</v>
      </c>
      <c r="B59" s="56"/>
      <c r="C59" s="57"/>
      <c r="D59" s="58"/>
      <c r="E59" s="57"/>
      <c r="F59" s="58"/>
      <c r="G59" s="51"/>
      <c r="H59" s="51"/>
      <c r="I59" s="51"/>
      <c r="J59" s="22"/>
    </row>
    <row r="60" ht="15" customHeight="1">
      <c r="A60" s="55" t="s">
        <v>94</v>
      </c>
      <c r="B60" s="56"/>
      <c r="C60" s="59">
        <f>F9</f>
        <v>0</v>
      </c>
      <c r="D60" s="60"/>
      <c r="E60" s="57"/>
      <c r="F60" s="58"/>
      <c r="G60" s="51"/>
      <c r="H60" s="51"/>
      <c r="I60" s="51"/>
      <c r="J60" s="22"/>
    </row>
    <row r="61" ht="15" customHeight="1">
      <c r="A61" s="55" t="s">
        <v>95</v>
      </c>
      <c r="B61" s="56"/>
      <c r="C61" s="59">
        <f>(C58+C59)-C60</f>
        <v>0</v>
      </c>
      <c r="D61" s="60"/>
      <c r="E61" s="57"/>
      <c r="F61" s="58"/>
      <c r="G61" s="51"/>
      <c r="H61" s="51"/>
      <c r="I61" s="51"/>
      <c r="J61" s="22"/>
    </row>
    <row r="62" ht="15" customHeight="1">
      <c r="A62" s="61" t="s">
        <v>96</v>
      </c>
      <c r="B62" s="61"/>
      <c r="C62" s="52">
        <f>COUNTIFS(Results!$E:$E,IF($C$4&lt;&gt;"",$C$4,"*"),Results!$V:$V,IF($C$3&lt;&gt;"",$C$3,"*"),Results!$U:$U,IF($D$3&lt;&gt;"",$D$3,"*"),Results!$W:$W,IF($F$3&lt;&gt;"",$F$3,"*"),Results!$G:$G,"Error")+COUNTIFS(Results!$E:$E,IF($C$4&lt;&gt;"",$C$4,"*"),Results!$V:$V,IF($C$3&lt;&gt;"",$C$3,"*"),Results!$U:$U,IF($D$3&lt;&gt;"",$D$3,"*"),Results!$W:$W,IF($F$3&lt;&gt;"",$F$3,"*"),Results!$G:$G,"Invalid")</f>
        <v>0</v>
      </c>
      <c r="D62" s="51"/>
      <c r="E62" s="51"/>
      <c r="F62" s="51"/>
      <c r="G62" s="51"/>
      <c r="H62" s="51"/>
      <c r="I62" s="51"/>
      <c r="J62" s="22"/>
    </row>
    <row r="63" ht="15" customHeight="1">
      <c r="A63" s="61" t="s">
        <v>97</v>
      </c>
      <c r="B63" s="52"/>
      <c r="C63" s="52">
        <f>COUNTIFS(Results!$E:$E,IF($C$4&lt;&gt;"",$C$4,"*"),Results!$V:$V,IF($C$3&lt;&gt;"",$C$3,"*"),Results!$U:$U,IF($D$3&lt;&gt;"",$D$3,"*"),Results!$W:$W,IF($F$3&lt;&gt;"",$F$3,"*"),Results!$G:$G,"No Result")</f>
        <v>0</v>
      </c>
      <c r="D63" s="51"/>
      <c r="E63" s="51"/>
      <c r="F63" s="51"/>
      <c r="G63" s="51"/>
      <c r="H63" s="51"/>
      <c r="I63" s="51"/>
      <c r="J63" s="22"/>
    </row>
    <row r="64" ht="15" customHeight="1">
      <c r="A64" s="51"/>
      <c r="B64" s="51"/>
      <c r="C64" s="51"/>
      <c r="D64" s="51"/>
      <c r="E64" s="51"/>
      <c r="F64" s="51"/>
      <c r="G64" s="51"/>
      <c r="H64" s="51"/>
      <c r="I64" s="51"/>
      <c r="J64" s="22"/>
    </row>
    <row r="65" ht="15" customHeight="1">
      <c r="A65" s="51"/>
      <c r="B65" s="51"/>
      <c r="C65" s="51"/>
      <c r="D65" s="51"/>
      <c r="E65" s="51" t="s">
        <v>98</v>
      </c>
      <c r="F65" s="62"/>
      <c r="G65" s="62"/>
      <c r="H65" s="51"/>
      <c r="I65" s="51"/>
    </row>
    <row r="66" ht="15" customHeight="1">
      <c r="A66" s="51"/>
      <c r="B66" s="51"/>
      <c r="C66" s="51"/>
      <c r="D66" s="51"/>
      <c r="E66" s="51" t="s">
        <v>99</v>
      </c>
      <c r="F66" s="63"/>
      <c r="G66" s="63"/>
      <c r="H66" s="51"/>
      <c r="I66" s="51"/>
    </row>
    <row r="67" ht="15" customHeight="1">
      <c r="A67" s="51"/>
      <c r="B67" s="51"/>
      <c r="C67" s="51"/>
      <c r="D67" s="51"/>
      <c r="E67" s="51" t="s">
        <v>100</v>
      </c>
      <c r="F67" s="63"/>
      <c r="G67" s="63"/>
      <c r="H67" s="51"/>
      <c r="I67" s="51"/>
    </row>
    <row r="68" ht="15" customHeight="1">
      <c r="A68" s="51"/>
      <c r="B68" s="51"/>
      <c r="C68" s="51"/>
      <c r="D68" s="51"/>
      <c r="E68" s="51" t="s">
        <v>101</v>
      </c>
      <c r="F68" s="63"/>
      <c r="G68" s="63"/>
      <c r="H68" s="51"/>
      <c r="I68" s="51"/>
    </row>
    <row r="69" ht="15" customHeight="1">
      <c r="A69" s="51"/>
      <c r="B69" s="51"/>
      <c r="C69" s="51"/>
      <c r="D69" s="51"/>
      <c r="E69" s="51"/>
      <c r="F69" s="51"/>
      <c r="G69" s="51"/>
      <c r="H69" s="51"/>
      <c r="I69" s="51"/>
    </row>
    <row r="70" ht="15" customHeight="1">
      <c r="A70" s="51"/>
      <c r="B70" s="51"/>
      <c r="C70" s="51"/>
      <c r="D70" s="51"/>
      <c r="E70" s="51"/>
      <c r="F70" s="51"/>
      <c r="G70" s="51"/>
      <c r="H70" s="51"/>
      <c r="I70" s="51"/>
    </row>
  </sheetData>
  <mergeCells count="48">
    <mergeCell ref="H5:J6"/>
    <mergeCell ref="A51:B51"/>
    <mergeCell ref="J48:K48"/>
    <mergeCell ref="C51:D51"/>
    <mergeCell ref="E51:F51"/>
    <mergeCell ref="A12:A13"/>
    <mergeCell ref="B12:C12"/>
    <mergeCell ref="D12:E12"/>
    <mergeCell ref="F12:F13"/>
    <mergeCell ref="A23:B23"/>
    <mergeCell ref="C50:D50"/>
    <mergeCell ref="E50:F50"/>
    <mergeCell ref="E44:F44"/>
    <mergeCell ref="A18:A22"/>
    <mergeCell ref="A27:A31"/>
    <mergeCell ref="A36:A40"/>
    <mergeCell ref="C43:D43"/>
    <mergeCell ref="C53:D53"/>
    <mergeCell ref="E53:F53"/>
    <mergeCell ref="C54:D54"/>
    <mergeCell ref="E54:F54"/>
    <mergeCell ref="C47:D47"/>
    <mergeCell ref="E47:F47"/>
    <mergeCell ref="C48:D48"/>
    <mergeCell ref="E48:F48"/>
    <mergeCell ref="C49:D49"/>
    <mergeCell ref="E49:F49"/>
    <mergeCell ref="E43:F43"/>
    <mergeCell ref="C44:D44"/>
    <mergeCell ref="C60:D60"/>
    <mergeCell ref="E60:F60"/>
    <mergeCell ref="C61:D61"/>
    <mergeCell ref="E61:F61"/>
    <mergeCell ref="C57:D57"/>
    <mergeCell ref="E57:F57"/>
    <mergeCell ref="C58:D58"/>
    <mergeCell ref="E58:F58"/>
    <mergeCell ref="C59:D59"/>
    <mergeCell ref="E59:F59"/>
    <mergeCell ref="A32:B32"/>
    <mergeCell ref="A41:B41"/>
    <mergeCell ref="A1:F1"/>
    <mergeCell ref="A7:A8"/>
    <mergeCell ref="B7:C7"/>
    <mergeCell ref="D7:E7"/>
    <mergeCell ref="F7:F8"/>
    <mergeCell ref="D3:E3"/>
    <mergeCell ref="D2:E2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ONLYOFFICE/9.0.3.29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revision>1</cp:revision>
  <dcterms:created xsi:type="dcterms:W3CDTF">2024-11-15T10:51:42Z</dcterms:created>
  <dcterms:modified xsi:type="dcterms:W3CDTF">2025-07-28T07:11:50Z</dcterms:modified>
</cp:coreProperties>
</file>