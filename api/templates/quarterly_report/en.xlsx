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516" yWindow="576" windowWidth="14052" windowHeight="6096"/>
  </bookViews>
  <sheets>
    <sheet name="Results" sheetId="1" r:id="rId1"/>
    <sheet name="Jan" sheetId="2" r:id="rId2"/>
    <sheet name="Feb" sheetId="3" r:id="rId3"/>
    <sheet name="Mar" sheetId="4" r:id="rId4"/>
    <sheet name="Q1" sheetId="5" r:id="rId5"/>
    <sheet name="Apr" sheetId="6" r:id="rId6"/>
    <sheet name="May" sheetId="7" r:id="rId7"/>
    <sheet name="Jun" sheetId="8" r:id="rId8"/>
    <sheet name="Q2" sheetId="9" r:id="rId9"/>
    <sheet name="Jul" sheetId="10" r:id="rId10"/>
    <sheet name="Aug" sheetId="11" r:id="rId11"/>
    <sheet name="Sep" sheetId="12" r:id="rId12"/>
    <sheet name="Q3" sheetId="13" r:id="rId13"/>
    <sheet name="Oct" sheetId="14" r:id="rId14"/>
    <sheet name="Nov" sheetId="15" r:id="rId15"/>
    <sheet name="Dec" sheetId="16" r:id="rId16"/>
    <sheet name="Q4" sheetId="17" r:id="rId17"/>
    <sheet name="Annual" sheetId="18" r:id="rId18"/>
  </sheets>
  <definedNames>
    <definedName name="devicelist">INDEX(#REF!, 1):INDEX(#REF!, MIN(COUNTA(#REF!),#REF!))</definedName>
    <definedName name="GeneAge">Results!$J$1:$J$17245</definedName>
    <definedName name="GeneDate">Results!$E$1:$E$17245</definedName>
    <definedName name="GeneDeployment">Results!$D$1:$D$17245</definedName>
    <definedName name="GeneHIV">Results!$H$1:$H$17245</definedName>
    <definedName name="GeneLab">Results!$D$1:$D$17245</definedName>
    <definedName name="GeneMTB">Results!$F$1:$F$17245</definedName>
    <definedName name="GeneRif">Results!$G$1:$G$17245</definedName>
    <definedName name="GeneSex">Results!$I$1:$I$17245</definedName>
    <definedName name="list">INDEX(#REF!, 1):INDEX(#REF!, MIN(COUNTA(#REF!),#REF!))</definedName>
  </definedNames>
  <calcPr calcId="162913"/>
</workbook>
</file>

<file path=xl/calcChain.xml><?xml version="1.0" encoding="utf-8"?>
<calcChain xmlns="http://schemas.openxmlformats.org/spreadsheetml/2006/main">
  <c r="U3" i="1" l="1"/>
  <c r="F3" i="2"/>
  <c r="C38" i="2" s="1"/>
  <c r="F3" i="3"/>
  <c r="C63" i="3" s="1"/>
  <c r="F3" i="4"/>
  <c r="C63" i="4" s="1"/>
  <c r="F3" i="5"/>
  <c r="D14" i="5" s="1"/>
  <c r="F3" i="6"/>
  <c r="C62" i="6" s="1"/>
  <c r="D39" i="7"/>
  <c r="C38" i="7"/>
  <c r="G36" i="7"/>
  <c r="F36" i="7"/>
  <c r="C30" i="7"/>
  <c r="F3" i="7"/>
  <c r="E40" i="7" s="1"/>
  <c r="F3" i="8"/>
  <c r="C62" i="8" s="1"/>
  <c r="F3" i="9"/>
  <c r="C63" i="9" s="1"/>
  <c r="C54" i="10"/>
  <c r="C50" i="10"/>
  <c r="C49" i="10"/>
  <c r="C48" i="10"/>
  <c r="C38" i="10"/>
  <c r="D37" i="10"/>
  <c r="G36" i="10"/>
  <c r="F36" i="10"/>
  <c r="C30" i="10"/>
  <c r="C28" i="10"/>
  <c r="F3" i="10"/>
  <c r="C63" i="10" s="1"/>
  <c r="F3" i="11"/>
  <c r="C63" i="11" s="1"/>
  <c r="F3" i="12"/>
  <c r="C63" i="12" s="1"/>
  <c r="F3" i="13"/>
  <c r="C63" i="13" s="1"/>
  <c r="F3" i="14"/>
  <c r="C49" i="14" s="1"/>
  <c r="F3" i="15"/>
  <c r="E40" i="15" s="1"/>
  <c r="E40" i="16"/>
  <c r="F3" i="16"/>
  <c r="G50" i="16" s="1"/>
  <c r="F3" i="17"/>
  <c r="C63" i="17" s="1"/>
  <c r="E20" i="16" l="1"/>
  <c r="E27" i="16"/>
  <c r="F38" i="10"/>
  <c r="F40" i="7"/>
  <c r="C9" i="10"/>
  <c r="B14" i="7"/>
  <c r="G40" i="7"/>
  <c r="B14" i="10"/>
  <c r="E39" i="10"/>
  <c r="C44" i="7"/>
  <c r="C14" i="10"/>
  <c r="F40" i="10"/>
  <c r="C19" i="7"/>
  <c r="C49" i="7"/>
  <c r="G37" i="16"/>
  <c r="C19" i="10"/>
  <c r="G40" i="10"/>
  <c r="C21" i="7"/>
  <c r="E49" i="7"/>
  <c r="E29" i="16"/>
  <c r="D39" i="10"/>
  <c r="E31" i="16"/>
  <c r="C14" i="7"/>
  <c r="E36" i="16"/>
  <c r="C39" i="16"/>
  <c r="C21" i="10"/>
  <c r="C44" i="10"/>
  <c r="C28" i="7"/>
  <c r="C62" i="7"/>
  <c r="E18" i="16"/>
  <c r="E22" i="16"/>
  <c r="E39" i="7"/>
  <c r="D14" i="2"/>
  <c r="D19" i="2"/>
  <c r="D21" i="2"/>
  <c r="D28" i="2"/>
  <c r="D30" i="2"/>
  <c r="D38" i="2"/>
  <c r="F39" i="2"/>
  <c r="E44" i="2"/>
  <c r="G49" i="2"/>
  <c r="C63" i="2"/>
  <c r="B9" i="2"/>
  <c r="E14" i="2"/>
  <c r="E19" i="2"/>
  <c r="E21" i="2"/>
  <c r="E28" i="2"/>
  <c r="E30" i="2"/>
  <c r="C37" i="2"/>
  <c r="E38" i="2"/>
  <c r="G39" i="2"/>
  <c r="F40" i="2"/>
  <c r="C49" i="2"/>
  <c r="C19" i="2"/>
  <c r="E49" i="2"/>
  <c r="D39" i="2"/>
  <c r="C21" i="2"/>
  <c r="F21" i="2" s="1"/>
  <c r="C28" i="2"/>
  <c r="G36" i="2"/>
  <c r="E39" i="2"/>
  <c r="G40" i="2"/>
  <c r="C44" i="2"/>
  <c r="G44" i="2" s="1"/>
  <c r="C62" i="2"/>
  <c r="C9" i="2"/>
  <c r="D37" i="2"/>
  <c r="F38" i="2"/>
  <c r="C48" i="2"/>
  <c r="C50" i="2"/>
  <c r="C54" i="2"/>
  <c r="D9" i="2"/>
  <c r="C18" i="2"/>
  <c r="C20" i="2"/>
  <c r="C22" i="2"/>
  <c r="C27" i="2"/>
  <c r="C29" i="2"/>
  <c r="C31" i="2"/>
  <c r="C36" i="2"/>
  <c r="E37" i="2"/>
  <c r="G38" i="2"/>
  <c r="C40" i="2"/>
  <c r="E48" i="2"/>
  <c r="E50" i="2"/>
  <c r="E54" i="2"/>
  <c r="E9" i="2"/>
  <c r="D18" i="2"/>
  <c r="D20" i="2"/>
  <c r="D22" i="2"/>
  <c r="D27" i="2"/>
  <c r="D29" i="2"/>
  <c r="D31" i="2"/>
  <c r="D36" i="2"/>
  <c r="F37" i="2"/>
  <c r="D40" i="2"/>
  <c r="G48" i="2"/>
  <c r="G50" i="2"/>
  <c r="E18" i="2"/>
  <c r="E20" i="2"/>
  <c r="E22" i="2"/>
  <c r="E27" i="2"/>
  <c r="E29" i="2"/>
  <c r="E31" i="2"/>
  <c r="E36" i="2"/>
  <c r="G37" i="2"/>
  <c r="C39" i="2"/>
  <c r="H39" i="2" s="1"/>
  <c r="E40" i="2"/>
  <c r="B14" i="2"/>
  <c r="F36" i="2"/>
  <c r="C14" i="2"/>
  <c r="C30" i="2"/>
  <c r="F30" i="2" s="1"/>
  <c r="B9" i="3"/>
  <c r="E30" i="3"/>
  <c r="C9" i="3"/>
  <c r="D37" i="3"/>
  <c r="F38" i="3"/>
  <c r="C48" i="3"/>
  <c r="C50" i="3"/>
  <c r="C54" i="3"/>
  <c r="G39" i="3"/>
  <c r="D9" i="3"/>
  <c r="C18" i="3"/>
  <c r="C20" i="3"/>
  <c r="C22" i="3"/>
  <c r="C27" i="3"/>
  <c r="C29" i="3"/>
  <c r="C31" i="3"/>
  <c r="C36" i="3"/>
  <c r="E37" i="3"/>
  <c r="G38" i="3"/>
  <c r="C40" i="3"/>
  <c r="E48" i="3"/>
  <c r="E50" i="3"/>
  <c r="E54" i="3"/>
  <c r="E21" i="3"/>
  <c r="E9" i="3"/>
  <c r="D18" i="3"/>
  <c r="D20" i="3"/>
  <c r="D22" i="3"/>
  <c r="D27" i="3"/>
  <c r="D29" i="3"/>
  <c r="D31" i="3"/>
  <c r="D36" i="3"/>
  <c r="F37" i="3"/>
  <c r="D40" i="3"/>
  <c r="G48" i="3"/>
  <c r="G50" i="3"/>
  <c r="E19" i="3"/>
  <c r="E38" i="3"/>
  <c r="E18" i="3"/>
  <c r="E20" i="3"/>
  <c r="E22" i="3"/>
  <c r="E27" i="3"/>
  <c r="E29" i="3"/>
  <c r="E31" i="3"/>
  <c r="E36" i="3"/>
  <c r="G37" i="3"/>
  <c r="C39" i="3"/>
  <c r="E40" i="3"/>
  <c r="E28" i="3"/>
  <c r="B14" i="3"/>
  <c r="F36" i="3"/>
  <c r="D39" i="3"/>
  <c r="F40" i="3"/>
  <c r="C49" i="3"/>
  <c r="E14" i="3"/>
  <c r="C37" i="3"/>
  <c r="C14" i="3"/>
  <c r="C19" i="3"/>
  <c r="C21" i="3"/>
  <c r="C28" i="3"/>
  <c r="C30" i="3"/>
  <c r="G36" i="3"/>
  <c r="C38" i="3"/>
  <c r="E39" i="3"/>
  <c r="G40" i="3"/>
  <c r="C44" i="3"/>
  <c r="E49" i="3"/>
  <c r="C62" i="3"/>
  <c r="D14" i="3"/>
  <c r="D19" i="3"/>
  <c r="D21" i="3"/>
  <c r="D28" i="3"/>
  <c r="D30" i="3"/>
  <c r="D38" i="3"/>
  <c r="F39" i="3"/>
  <c r="E44" i="3"/>
  <c r="G49" i="3"/>
  <c r="B14" i="4"/>
  <c r="E21" i="4"/>
  <c r="D37" i="4"/>
  <c r="F38" i="4"/>
  <c r="C48" i="4"/>
  <c r="C50" i="4"/>
  <c r="C54" i="4"/>
  <c r="B9" i="4"/>
  <c r="C37" i="4"/>
  <c r="C9" i="4"/>
  <c r="D9" i="4"/>
  <c r="C18" i="4"/>
  <c r="C20" i="4"/>
  <c r="C22" i="4"/>
  <c r="C27" i="4"/>
  <c r="C29" i="4"/>
  <c r="C31" i="4"/>
  <c r="C36" i="4"/>
  <c r="E37" i="4"/>
  <c r="G38" i="4"/>
  <c r="C40" i="4"/>
  <c r="E48" i="4"/>
  <c r="E50" i="4"/>
  <c r="E54" i="4"/>
  <c r="E19" i="4"/>
  <c r="E30" i="4"/>
  <c r="E38" i="4"/>
  <c r="E9" i="4"/>
  <c r="D18" i="4"/>
  <c r="D20" i="4"/>
  <c r="D22" i="4"/>
  <c r="D27" i="4"/>
  <c r="D29" i="4"/>
  <c r="D31" i="4"/>
  <c r="D36" i="4"/>
  <c r="F37" i="4"/>
  <c r="D40" i="4"/>
  <c r="G48" i="4"/>
  <c r="G50" i="4"/>
  <c r="E14" i="4"/>
  <c r="E28" i="4"/>
  <c r="G39" i="4"/>
  <c r="E18" i="4"/>
  <c r="E20" i="4"/>
  <c r="E22" i="4"/>
  <c r="E27" i="4"/>
  <c r="E29" i="4"/>
  <c r="E31" i="4"/>
  <c r="E36" i="4"/>
  <c r="G37" i="4"/>
  <c r="C39" i="4"/>
  <c r="E40" i="4"/>
  <c r="F36" i="4"/>
  <c r="D39" i="4"/>
  <c r="F40" i="4"/>
  <c r="C49" i="4"/>
  <c r="C14" i="4"/>
  <c r="C19" i="4"/>
  <c r="C21" i="4"/>
  <c r="C28" i="4"/>
  <c r="C30" i="4"/>
  <c r="G36" i="4"/>
  <c r="C38" i="4"/>
  <c r="E39" i="4"/>
  <c r="G40" i="4"/>
  <c r="C44" i="4"/>
  <c r="E49" i="4"/>
  <c r="C62" i="4"/>
  <c r="D14" i="4"/>
  <c r="D19" i="4"/>
  <c r="D21" i="4"/>
  <c r="D28" i="4"/>
  <c r="D30" i="4"/>
  <c r="D38" i="4"/>
  <c r="F39" i="4"/>
  <c r="E44" i="4"/>
  <c r="G49" i="4"/>
  <c r="D19" i="5"/>
  <c r="D21" i="5"/>
  <c r="D28" i="5"/>
  <c r="D30" i="5"/>
  <c r="D38" i="5"/>
  <c r="F39" i="5"/>
  <c r="E44" i="5"/>
  <c r="G49" i="5"/>
  <c r="C63" i="5"/>
  <c r="B9" i="5"/>
  <c r="E14" i="5"/>
  <c r="E19" i="5"/>
  <c r="E21" i="5"/>
  <c r="E28" i="5"/>
  <c r="E30" i="5"/>
  <c r="C37" i="5"/>
  <c r="E38" i="5"/>
  <c r="G39" i="5"/>
  <c r="F40" i="5"/>
  <c r="C49" i="5"/>
  <c r="C14" i="5"/>
  <c r="C28" i="5"/>
  <c r="C30" i="5"/>
  <c r="F30" i="5" s="1"/>
  <c r="G36" i="5"/>
  <c r="E39" i="5"/>
  <c r="C44" i="5"/>
  <c r="G44" i="5" s="1"/>
  <c r="E49" i="5"/>
  <c r="C62" i="5"/>
  <c r="C9" i="5"/>
  <c r="D37" i="5"/>
  <c r="F38" i="5"/>
  <c r="C48" i="5"/>
  <c r="C50" i="5"/>
  <c r="C54" i="5"/>
  <c r="F36" i="5"/>
  <c r="D39" i="5"/>
  <c r="C21" i="5"/>
  <c r="F21" i="5" s="1"/>
  <c r="D9" i="5"/>
  <c r="C18" i="5"/>
  <c r="C20" i="5"/>
  <c r="C22" i="5"/>
  <c r="C27" i="5"/>
  <c r="C29" i="5"/>
  <c r="C31" i="5"/>
  <c r="C36" i="5"/>
  <c r="E37" i="5"/>
  <c r="G38" i="5"/>
  <c r="C40" i="5"/>
  <c r="E48" i="5"/>
  <c r="E50" i="5"/>
  <c r="E54" i="5"/>
  <c r="E9" i="5"/>
  <c r="D18" i="5"/>
  <c r="D20" i="5"/>
  <c r="D22" i="5"/>
  <c r="D27" i="5"/>
  <c r="D29" i="5"/>
  <c r="D31" i="5"/>
  <c r="D36" i="5"/>
  <c r="F37" i="5"/>
  <c r="D40" i="5"/>
  <c r="G48" i="5"/>
  <c r="G50" i="5"/>
  <c r="E18" i="5"/>
  <c r="E20" i="5"/>
  <c r="E22" i="5"/>
  <c r="E27" i="5"/>
  <c r="E29" i="5"/>
  <c r="E31" i="5"/>
  <c r="E36" i="5"/>
  <c r="G37" i="5"/>
  <c r="C39" i="5"/>
  <c r="H39" i="5" s="1"/>
  <c r="E40" i="5"/>
  <c r="B14" i="5"/>
  <c r="F14" i="5" s="1"/>
  <c r="C19" i="5"/>
  <c r="F19" i="5" s="1"/>
  <c r="C38" i="5"/>
  <c r="H38" i="5" s="1"/>
  <c r="G40" i="5"/>
  <c r="D14" i="6"/>
  <c r="D19" i="6"/>
  <c r="D28" i="6"/>
  <c r="D30" i="6"/>
  <c r="D38" i="6"/>
  <c r="F39" i="6"/>
  <c r="E44" i="6"/>
  <c r="G49" i="6"/>
  <c r="C63" i="6"/>
  <c r="B9" i="6"/>
  <c r="E14" i="6"/>
  <c r="E19" i="6"/>
  <c r="E21" i="6"/>
  <c r="E28" i="6"/>
  <c r="E30" i="6"/>
  <c r="C37" i="6"/>
  <c r="E38" i="6"/>
  <c r="G39" i="6"/>
  <c r="D21" i="6"/>
  <c r="C9" i="6"/>
  <c r="D37" i="6"/>
  <c r="F38" i="6"/>
  <c r="C48" i="6"/>
  <c r="C50" i="6"/>
  <c r="C54" i="6"/>
  <c r="D9" i="6"/>
  <c r="C18" i="6"/>
  <c r="C20" i="6"/>
  <c r="C22" i="6"/>
  <c r="C27" i="6"/>
  <c r="C29" i="6"/>
  <c r="C31" i="6"/>
  <c r="C36" i="6"/>
  <c r="E37" i="6"/>
  <c r="G38" i="6"/>
  <c r="C40" i="6"/>
  <c r="E48" i="6"/>
  <c r="E50" i="6"/>
  <c r="E54" i="6"/>
  <c r="E9" i="6"/>
  <c r="D20" i="6"/>
  <c r="D22" i="6"/>
  <c r="D29" i="6"/>
  <c r="D31" i="6"/>
  <c r="D36" i="6"/>
  <c r="F37" i="6"/>
  <c r="D40" i="6"/>
  <c r="G48" i="6"/>
  <c r="G50" i="6"/>
  <c r="E18" i="6"/>
  <c r="E20" i="6"/>
  <c r="E22" i="6"/>
  <c r="E27" i="6"/>
  <c r="E29" i="6"/>
  <c r="E31" i="6"/>
  <c r="E36" i="6"/>
  <c r="G37" i="6"/>
  <c r="C39" i="6"/>
  <c r="E40" i="6"/>
  <c r="D18" i="6"/>
  <c r="D23" i="6" s="1"/>
  <c r="D27" i="6"/>
  <c r="D32" i="6" s="1"/>
  <c r="B14" i="6"/>
  <c r="F14" i="6" s="1"/>
  <c r="F36" i="6"/>
  <c r="D39" i="6"/>
  <c r="F40" i="6"/>
  <c r="C49" i="6"/>
  <c r="C14" i="6"/>
  <c r="C19" i="6"/>
  <c r="C21" i="6"/>
  <c r="F21" i="6" s="1"/>
  <c r="C28" i="6"/>
  <c r="F28" i="6" s="1"/>
  <c r="C30" i="6"/>
  <c r="F30" i="6" s="1"/>
  <c r="G36" i="6"/>
  <c r="C38" i="6"/>
  <c r="H38" i="6" s="1"/>
  <c r="E39" i="6"/>
  <c r="G40" i="6"/>
  <c r="C44" i="6"/>
  <c r="G44" i="6" s="1"/>
  <c r="E49" i="6"/>
  <c r="D14" i="7"/>
  <c r="D19" i="7"/>
  <c r="D21" i="7"/>
  <c r="D28" i="7"/>
  <c r="D30" i="7"/>
  <c r="D38" i="7"/>
  <c r="F39" i="7"/>
  <c r="E44" i="7"/>
  <c r="G44" i="7" s="1"/>
  <c r="G49" i="7"/>
  <c r="H49" i="7" s="1"/>
  <c r="C63" i="7"/>
  <c r="B9" i="7"/>
  <c r="E14" i="7"/>
  <c r="E19" i="7"/>
  <c r="E21" i="7"/>
  <c r="E28" i="7"/>
  <c r="E30" i="7"/>
  <c r="C37" i="7"/>
  <c r="E38" i="7"/>
  <c r="G39" i="7"/>
  <c r="C9" i="7"/>
  <c r="D37" i="7"/>
  <c r="F38" i="7"/>
  <c r="C48" i="7"/>
  <c r="C50" i="7"/>
  <c r="C54" i="7"/>
  <c r="D9" i="7"/>
  <c r="C18" i="7"/>
  <c r="C20" i="7"/>
  <c r="C22" i="7"/>
  <c r="C27" i="7"/>
  <c r="C29" i="7"/>
  <c r="C31" i="7"/>
  <c r="C36" i="7"/>
  <c r="E37" i="7"/>
  <c r="G38" i="7"/>
  <c r="C40" i="7"/>
  <c r="E48" i="7"/>
  <c r="E50" i="7"/>
  <c r="E54" i="7"/>
  <c r="E9" i="7"/>
  <c r="D18" i="7"/>
  <c r="D20" i="7"/>
  <c r="D22" i="7"/>
  <c r="D27" i="7"/>
  <c r="D29" i="7"/>
  <c r="D31" i="7"/>
  <c r="D36" i="7"/>
  <c r="F37" i="7"/>
  <c r="F41" i="7" s="1"/>
  <c r="D40" i="7"/>
  <c r="G48" i="7"/>
  <c r="G50" i="7"/>
  <c r="E18" i="7"/>
  <c r="E20" i="7"/>
  <c r="E22" i="7"/>
  <c r="E27" i="7"/>
  <c r="E29" i="7"/>
  <c r="E31" i="7"/>
  <c r="E36" i="7"/>
  <c r="G37" i="7"/>
  <c r="G41" i="7" s="1"/>
  <c r="C39" i="7"/>
  <c r="H39" i="7" s="1"/>
  <c r="E44" i="8"/>
  <c r="G49" i="8"/>
  <c r="C63" i="8"/>
  <c r="B9" i="8"/>
  <c r="E14" i="8"/>
  <c r="E19" i="8"/>
  <c r="E21" i="8"/>
  <c r="E28" i="8"/>
  <c r="E30" i="8"/>
  <c r="C37" i="8"/>
  <c r="E38" i="8"/>
  <c r="G39" i="8"/>
  <c r="D30" i="8"/>
  <c r="C9" i="8"/>
  <c r="D37" i="8"/>
  <c r="F38" i="8"/>
  <c r="C48" i="8"/>
  <c r="C50" i="8"/>
  <c r="C54" i="8"/>
  <c r="D21" i="8"/>
  <c r="D9" i="8"/>
  <c r="C27" i="8"/>
  <c r="E9" i="8"/>
  <c r="D22" i="8"/>
  <c r="D27" i="8"/>
  <c r="D29" i="8"/>
  <c r="D31" i="8"/>
  <c r="D36" i="8"/>
  <c r="F37" i="8"/>
  <c r="D40" i="8"/>
  <c r="G48" i="8"/>
  <c r="G50" i="8"/>
  <c r="D19" i="8"/>
  <c r="C18" i="8"/>
  <c r="C31" i="8"/>
  <c r="G38" i="8"/>
  <c r="E48" i="8"/>
  <c r="D20" i="8"/>
  <c r="E18" i="8"/>
  <c r="E20" i="8"/>
  <c r="E22" i="8"/>
  <c r="E27" i="8"/>
  <c r="E29" i="8"/>
  <c r="E31" i="8"/>
  <c r="E36" i="8"/>
  <c r="G37" i="8"/>
  <c r="C39" i="8"/>
  <c r="E40" i="8"/>
  <c r="D14" i="8"/>
  <c r="F39" i="8"/>
  <c r="C20" i="8"/>
  <c r="C29" i="8"/>
  <c r="F29" i="8" s="1"/>
  <c r="E37" i="8"/>
  <c r="E54" i="8"/>
  <c r="D18" i="8"/>
  <c r="B14" i="8"/>
  <c r="F14" i="8" s="1"/>
  <c r="F36" i="8"/>
  <c r="D39" i="8"/>
  <c r="F40" i="8"/>
  <c r="C49" i="8"/>
  <c r="D28" i="8"/>
  <c r="D38" i="8"/>
  <c r="C22" i="8"/>
  <c r="C36" i="8"/>
  <c r="C40" i="8"/>
  <c r="E50" i="8"/>
  <c r="C14" i="8"/>
  <c r="C19" i="8"/>
  <c r="F19" i="8" s="1"/>
  <c r="C21" i="8"/>
  <c r="F21" i="8" s="1"/>
  <c r="C28" i="8"/>
  <c r="C30" i="8"/>
  <c r="F30" i="8" s="1"/>
  <c r="G36" i="8"/>
  <c r="G41" i="8" s="1"/>
  <c r="C38" i="8"/>
  <c r="H38" i="8" s="1"/>
  <c r="E39" i="8"/>
  <c r="G40" i="8"/>
  <c r="C44" i="8"/>
  <c r="G44" i="8" s="1"/>
  <c r="E49" i="8"/>
  <c r="F40" i="9"/>
  <c r="C19" i="9"/>
  <c r="C30" i="9"/>
  <c r="G36" i="9"/>
  <c r="G40" i="9"/>
  <c r="E21" i="9"/>
  <c r="E30" i="9"/>
  <c r="C37" i="9"/>
  <c r="E38" i="9"/>
  <c r="G39" i="9"/>
  <c r="C9" i="9"/>
  <c r="D37" i="9"/>
  <c r="F38" i="9"/>
  <c r="C48" i="9"/>
  <c r="C50" i="9"/>
  <c r="C54" i="9"/>
  <c r="C44" i="9"/>
  <c r="E14" i="9"/>
  <c r="C29" i="9"/>
  <c r="G38" i="9"/>
  <c r="E48" i="9"/>
  <c r="E54" i="9"/>
  <c r="B14" i="9"/>
  <c r="D39" i="9"/>
  <c r="C49" i="9"/>
  <c r="C21" i="9"/>
  <c r="C38" i="9"/>
  <c r="E49" i="9"/>
  <c r="B9" i="9"/>
  <c r="E28" i="9"/>
  <c r="D9" i="9"/>
  <c r="C20" i="9"/>
  <c r="C27" i="9"/>
  <c r="C31" i="9"/>
  <c r="E37" i="9"/>
  <c r="E50" i="9"/>
  <c r="E9" i="9"/>
  <c r="D18" i="9"/>
  <c r="D20" i="9"/>
  <c r="D22" i="9"/>
  <c r="D27" i="9"/>
  <c r="D29" i="9"/>
  <c r="D31" i="9"/>
  <c r="D36" i="9"/>
  <c r="F37" i="9"/>
  <c r="D40" i="9"/>
  <c r="G48" i="9"/>
  <c r="G50" i="9"/>
  <c r="F36" i="9"/>
  <c r="C14" i="9"/>
  <c r="C28" i="9"/>
  <c r="E39" i="9"/>
  <c r="C62" i="9"/>
  <c r="E19" i="9"/>
  <c r="C18" i="9"/>
  <c r="C22" i="9"/>
  <c r="C36" i="9"/>
  <c r="C40" i="9"/>
  <c r="E18" i="9"/>
  <c r="E20" i="9"/>
  <c r="E22" i="9"/>
  <c r="E27" i="9"/>
  <c r="E29" i="9"/>
  <c r="E31" i="9"/>
  <c r="E36" i="9"/>
  <c r="G37" i="9"/>
  <c r="C39" i="9"/>
  <c r="E40" i="9"/>
  <c r="D14" i="9"/>
  <c r="D19" i="9"/>
  <c r="D21" i="9"/>
  <c r="D28" i="9"/>
  <c r="D30" i="9"/>
  <c r="D38" i="9"/>
  <c r="F39" i="9"/>
  <c r="E44" i="9"/>
  <c r="G49" i="9"/>
  <c r="C51" i="10"/>
  <c r="E49" i="10"/>
  <c r="C62" i="10"/>
  <c r="B9" i="10"/>
  <c r="E14" i="10"/>
  <c r="E19" i="10"/>
  <c r="E21" i="10"/>
  <c r="E28" i="10"/>
  <c r="E30" i="10"/>
  <c r="C37" i="10"/>
  <c r="E38" i="10"/>
  <c r="G39" i="10"/>
  <c r="D9" i="10"/>
  <c r="C20" i="10"/>
  <c r="C27" i="10"/>
  <c r="C29" i="10"/>
  <c r="C36" i="10"/>
  <c r="E37" i="10"/>
  <c r="G38" i="10"/>
  <c r="C40" i="10"/>
  <c r="E48" i="10"/>
  <c r="E50" i="10"/>
  <c r="E54" i="10"/>
  <c r="G54" i="10" s="1"/>
  <c r="E9" i="10"/>
  <c r="D18" i="10"/>
  <c r="D20" i="10"/>
  <c r="D22" i="10"/>
  <c r="D27" i="10"/>
  <c r="D29" i="10"/>
  <c r="D31" i="10"/>
  <c r="D36" i="10"/>
  <c r="F37" i="10"/>
  <c r="D40" i="10"/>
  <c r="G48" i="10"/>
  <c r="H48" i="10" s="1"/>
  <c r="G50" i="10"/>
  <c r="C18" i="10"/>
  <c r="C22" i="10"/>
  <c r="C31" i="10"/>
  <c r="E18" i="10"/>
  <c r="E20" i="10"/>
  <c r="E22" i="10"/>
  <c r="E27" i="10"/>
  <c r="E29" i="10"/>
  <c r="E31" i="10"/>
  <c r="E36" i="10"/>
  <c r="G37" i="10"/>
  <c r="G41" i="10" s="1"/>
  <c r="C39" i="10"/>
  <c r="E40" i="10"/>
  <c r="D14" i="10"/>
  <c r="F14" i="10" s="1"/>
  <c r="D19" i="10"/>
  <c r="D21" i="10"/>
  <c r="D28" i="10"/>
  <c r="D30" i="10"/>
  <c r="F30" i="10" s="1"/>
  <c r="D38" i="10"/>
  <c r="H38" i="10" s="1"/>
  <c r="F39" i="10"/>
  <c r="E44" i="10"/>
  <c r="G44" i="10" s="1"/>
  <c r="G49" i="10"/>
  <c r="C19" i="11"/>
  <c r="C28" i="11"/>
  <c r="G36" i="11"/>
  <c r="C44" i="11"/>
  <c r="E14" i="11"/>
  <c r="E21" i="11"/>
  <c r="E30" i="11"/>
  <c r="C37" i="11"/>
  <c r="E38" i="11"/>
  <c r="G39" i="11"/>
  <c r="C9" i="11"/>
  <c r="D37" i="11"/>
  <c r="F38" i="11"/>
  <c r="C48" i="11"/>
  <c r="C50" i="11"/>
  <c r="C54" i="11"/>
  <c r="C14" i="11"/>
  <c r="E39" i="11"/>
  <c r="E19" i="11"/>
  <c r="C18" i="11"/>
  <c r="C22" i="11"/>
  <c r="C29" i="11"/>
  <c r="C36" i="11"/>
  <c r="E37" i="11"/>
  <c r="G38" i="11"/>
  <c r="C40" i="11"/>
  <c r="E48" i="11"/>
  <c r="E50" i="11"/>
  <c r="E54" i="11"/>
  <c r="E49" i="11"/>
  <c r="B9" i="11"/>
  <c r="E28" i="11"/>
  <c r="D9" i="11"/>
  <c r="C20" i="11"/>
  <c r="C27" i="11"/>
  <c r="C31" i="11"/>
  <c r="E9" i="11"/>
  <c r="D18" i="11"/>
  <c r="D20" i="11"/>
  <c r="D22" i="11"/>
  <c r="D27" i="11"/>
  <c r="D29" i="11"/>
  <c r="D31" i="11"/>
  <c r="D36" i="11"/>
  <c r="F37" i="11"/>
  <c r="D40" i="11"/>
  <c r="G48" i="11"/>
  <c r="G50" i="11"/>
  <c r="C21" i="11"/>
  <c r="C30" i="11"/>
  <c r="C38" i="11"/>
  <c r="G40" i="11"/>
  <c r="C62" i="11"/>
  <c r="E18" i="11"/>
  <c r="E20" i="11"/>
  <c r="E22" i="11"/>
  <c r="E27" i="11"/>
  <c r="E29" i="11"/>
  <c r="E31" i="11"/>
  <c r="E36" i="11"/>
  <c r="G37" i="11"/>
  <c r="C39" i="11"/>
  <c r="E40" i="11"/>
  <c r="B14" i="11"/>
  <c r="F36" i="11"/>
  <c r="D39" i="11"/>
  <c r="F40" i="11"/>
  <c r="C49" i="11"/>
  <c r="D14" i="11"/>
  <c r="D19" i="11"/>
  <c r="D21" i="11"/>
  <c r="D28" i="11"/>
  <c r="D30" i="11"/>
  <c r="D38" i="11"/>
  <c r="F39" i="11"/>
  <c r="E44" i="11"/>
  <c r="G49" i="11"/>
  <c r="C21" i="12"/>
  <c r="C38" i="12"/>
  <c r="C62" i="12"/>
  <c r="B9" i="12"/>
  <c r="E14" i="12"/>
  <c r="E19" i="12"/>
  <c r="E21" i="12"/>
  <c r="E28" i="12"/>
  <c r="E30" i="12"/>
  <c r="C37" i="12"/>
  <c r="E38" i="12"/>
  <c r="G39" i="12"/>
  <c r="C14" i="12"/>
  <c r="C30" i="12"/>
  <c r="G40" i="12"/>
  <c r="C9" i="12"/>
  <c r="C22" i="12"/>
  <c r="C31" i="12"/>
  <c r="C36" i="12"/>
  <c r="E37" i="12"/>
  <c r="G38" i="12"/>
  <c r="C40" i="12"/>
  <c r="E48" i="12"/>
  <c r="E50" i="12"/>
  <c r="E54" i="12"/>
  <c r="C19" i="12"/>
  <c r="E39" i="12"/>
  <c r="C48" i="12"/>
  <c r="D9" i="12"/>
  <c r="E9" i="12"/>
  <c r="D22" i="12"/>
  <c r="D31" i="12"/>
  <c r="D40" i="12"/>
  <c r="G48" i="12"/>
  <c r="G50" i="12"/>
  <c r="G36" i="12"/>
  <c r="E49" i="12"/>
  <c r="F38" i="12"/>
  <c r="C50" i="12"/>
  <c r="C18" i="12"/>
  <c r="C27" i="12"/>
  <c r="D18" i="12"/>
  <c r="D27" i="12"/>
  <c r="D36" i="12"/>
  <c r="E18" i="12"/>
  <c r="E22" i="12"/>
  <c r="E27" i="12"/>
  <c r="E29" i="12"/>
  <c r="E31" i="12"/>
  <c r="E36" i="12"/>
  <c r="G37" i="12"/>
  <c r="C39" i="12"/>
  <c r="E40" i="12"/>
  <c r="C28" i="12"/>
  <c r="C44" i="12"/>
  <c r="D37" i="12"/>
  <c r="C54" i="12"/>
  <c r="C20" i="12"/>
  <c r="C29" i="12"/>
  <c r="D20" i="12"/>
  <c r="D29" i="12"/>
  <c r="F37" i="12"/>
  <c r="E20" i="12"/>
  <c r="B14" i="12"/>
  <c r="F14" i="12" s="1"/>
  <c r="F36" i="12"/>
  <c r="D39" i="12"/>
  <c r="F40" i="12"/>
  <c r="C49" i="12"/>
  <c r="D14" i="12"/>
  <c r="D19" i="12"/>
  <c r="D21" i="12"/>
  <c r="D28" i="12"/>
  <c r="D30" i="12"/>
  <c r="D38" i="12"/>
  <c r="F39" i="12"/>
  <c r="E44" i="12"/>
  <c r="G49" i="12"/>
  <c r="D37" i="13"/>
  <c r="F38" i="13"/>
  <c r="C48" i="13"/>
  <c r="C50" i="13"/>
  <c r="C54" i="13"/>
  <c r="E21" i="13"/>
  <c r="C20" i="13"/>
  <c r="C36" i="13"/>
  <c r="E37" i="13"/>
  <c r="G38" i="13"/>
  <c r="C40" i="13"/>
  <c r="E48" i="13"/>
  <c r="E50" i="13"/>
  <c r="E54" i="13"/>
  <c r="E19" i="13"/>
  <c r="E30" i="13"/>
  <c r="G39" i="13"/>
  <c r="C18" i="13"/>
  <c r="D18" i="13"/>
  <c r="D29" i="13"/>
  <c r="F37" i="13"/>
  <c r="D40" i="13"/>
  <c r="G48" i="13"/>
  <c r="G50" i="13"/>
  <c r="B9" i="13"/>
  <c r="E28" i="13"/>
  <c r="E38" i="13"/>
  <c r="C9" i="13"/>
  <c r="C29" i="13"/>
  <c r="D20" i="13"/>
  <c r="D31" i="13"/>
  <c r="E20" i="13"/>
  <c r="E22" i="13"/>
  <c r="E31" i="13"/>
  <c r="E36" i="13"/>
  <c r="G37" i="13"/>
  <c r="C39" i="13"/>
  <c r="E40" i="13"/>
  <c r="E14" i="13"/>
  <c r="D9" i="13"/>
  <c r="C27" i="13"/>
  <c r="E9" i="13"/>
  <c r="D27" i="13"/>
  <c r="E29" i="13"/>
  <c r="B14" i="13"/>
  <c r="F36" i="13"/>
  <c r="D39" i="13"/>
  <c r="F40" i="13"/>
  <c r="C49" i="13"/>
  <c r="C37" i="13"/>
  <c r="H37" i="13" s="1"/>
  <c r="C22" i="13"/>
  <c r="C31" i="13"/>
  <c r="D22" i="13"/>
  <c r="D36" i="13"/>
  <c r="E18" i="13"/>
  <c r="E27" i="13"/>
  <c r="C14" i="13"/>
  <c r="C19" i="13"/>
  <c r="C21" i="13"/>
  <c r="C28" i="13"/>
  <c r="C30" i="13"/>
  <c r="G36" i="13"/>
  <c r="C38" i="13"/>
  <c r="E39" i="13"/>
  <c r="G40" i="13"/>
  <c r="C44" i="13"/>
  <c r="E49" i="13"/>
  <c r="C62" i="13"/>
  <c r="D14" i="13"/>
  <c r="D19" i="13"/>
  <c r="D21" i="13"/>
  <c r="D28" i="13"/>
  <c r="D30" i="13"/>
  <c r="D38" i="13"/>
  <c r="F39" i="13"/>
  <c r="E44" i="13"/>
  <c r="G49" i="13"/>
  <c r="C14" i="14"/>
  <c r="C28" i="14"/>
  <c r="C30" i="14"/>
  <c r="C38" i="14"/>
  <c r="E39" i="14"/>
  <c r="G40" i="14"/>
  <c r="C44" i="14"/>
  <c r="E49" i="14"/>
  <c r="C62" i="14"/>
  <c r="D14" i="14"/>
  <c r="D21" i="14"/>
  <c r="D30" i="14"/>
  <c r="D38" i="14"/>
  <c r="G49" i="14"/>
  <c r="C63" i="14"/>
  <c r="B9" i="14"/>
  <c r="E14" i="14"/>
  <c r="E19" i="14"/>
  <c r="E21" i="14"/>
  <c r="E28" i="14"/>
  <c r="E30" i="14"/>
  <c r="C37" i="14"/>
  <c r="E38" i="14"/>
  <c r="G39" i="14"/>
  <c r="D19" i="14"/>
  <c r="D28" i="14"/>
  <c r="F39" i="14"/>
  <c r="E44" i="14"/>
  <c r="C9" i="14"/>
  <c r="D37" i="14"/>
  <c r="F38" i="14"/>
  <c r="C48" i="14"/>
  <c r="C50" i="14"/>
  <c r="C54" i="14"/>
  <c r="C19" i="14"/>
  <c r="C18" i="14"/>
  <c r="C22" i="14"/>
  <c r="C29" i="14"/>
  <c r="C36" i="14"/>
  <c r="G38" i="14"/>
  <c r="E50" i="14"/>
  <c r="E9" i="14"/>
  <c r="D20" i="14"/>
  <c r="D27" i="14"/>
  <c r="D31" i="14"/>
  <c r="G50" i="14"/>
  <c r="E20" i="14"/>
  <c r="E27" i="14"/>
  <c r="E31" i="14"/>
  <c r="E36" i="14"/>
  <c r="C39" i="14"/>
  <c r="E40" i="14"/>
  <c r="C21" i="14"/>
  <c r="F21" i="14" s="1"/>
  <c r="G36" i="14"/>
  <c r="D9" i="14"/>
  <c r="C20" i="14"/>
  <c r="C27" i="14"/>
  <c r="C31" i="14"/>
  <c r="E37" i="14"/>
  <c r="C40" i="14"/>
  <c r="E48" i="14"/>
  <c r="E54" i="14"/>
  <c r="D18" i="14"/>
  <c r="D22" i="14"/>
  <c r="D29" i="14"/>
  <c r="D36" i="14"/>
  <c r="F37" i="14"/>
  <c r="D40" i="14"/>
  <c r="G48" i="14"/>
  <c r="G51" i="14" s="1"/>
  <c r="E18" i="14"/>
  <c r="E22" i="14"/>
  <c r="E29" i="14"/>
  <c r="G37" i="14"/>
  <c r="B14" i="14"/>
  <c r="F36" i="14"/>
  <c r="D39" i="14"/>
  <c r="F40" i="14"/>
  <c r="C49" i="15"/>
  <c r="B14" i="15"/>
  <c r="F40" i="15"/>
  <c r="C14" i="15"/>
  <c r="C21" i="15"/>
  <c r="C30" i="15"/>
  <c r="G36" i="15"/>
  <c r="C38" i="15"/>
  <c r="G40" i="15"/>
  <c r="C44" i="15"/>
  <c r="E49" i="15"/>
  <c r="C62" i="15"/>
  <c r="D14" i="15"/>
  <c r="D30" i="15"/>
  <c r="F39" i="15"/>
  <c r="E44" i="15"/>
  <c r="G49" i="15"/>
  <c r="C63" i="15"/>
  <c r="B9" i="15"/>
  <c r="E14" i="15"/>
  <c r="E19" i="15"/>
  <c r="E21" i="15"/>
  <c r="E28" i="15"/>
  <c r="E30" i="15"/>
  <c r="C37" i="15"/>
  <c r="E38" i="15"/>
  <c r="G39" i="15"/>
  <c r="C9" i="15"/>
  <c r="D37" i="15"/>
  <c r="F38" i="15"/>
  <c r="C48" i="15"/>
  <c r="C50" i="15"/>
  <c r="C54" i="15"/>
  <c r="F36" i="15"/>
  <c r="D39" i="15"/>
  <c r="C19" i="15"/>
  <c r="C28" i="15"/>
  <c r="E39" i="15"/>
  <c r="D21" i="15"/>
  <c r="D38" i="15"/>
  <c r="D9" i="15"/>
  <c r="C22" i="15"/>
  <c r="C29" i="15"/>
  <c r="E37" i="15"/>
  <c r="D22" i="15"/>
  <c r="D31" i="15"/>
  <c r="D36" i="15"/>
  <c r="F37" i="15"/>
  <c r="D40" i="15"/>
  <c r="G48" i="15"/>
  <c r="G50" i="15"/>
  <c r="D19" i="15"/>
  <c r="D28" i="15"/>
  <c r="C18" i="15"/>
  <c r="C20" i="15"/>
  <c r="C27" i="15"/>
  <c r="C31" i="15"/>
  <c r="C36" i="15"/>
  <c r="G38" i="15"/>
  <c r="C40" i="15"/>
  <c r="H40" i="15" s="1"/>
  <c r="E48" i="15"/>
  <c r="E50" i="15"/>
  <c r="E54" i="15"/>
  <c r="E9" i="15"/>
  <c r="D18" i="15"/>
  <c r="D20" i="15"/>
  <c r="D27" i="15"/>
  <c r="D29" i="15"/>
  <c r="E18" i="15"/>
  <c r="E20" i="15"/>
  <c r="E22" i="15"/>
  <c r="E27" i="15"/>
  <c r="E29" i="15"/>
  <c r="E31" i="15"/>
  <c r="E36" i="15"/>
  <c r="G37" i="15"/>
  <c r="C39" i="15"/>
  <c r="D14" i="16"/>
  <c r="D19" i="16"/>
  <c r="D21" i="16"/>
  <c r="D28" i="16"/>
  <c r="D30" i="16"/>
  <c r="D38" i="16"/>
  <c r="F39" i="16"/>
  <c r="E44" i="16"/>
  <c r="G49" i="16"/>
  <c r="C63" i="16"/>
  <c r="B9" i="16"/>
  <c r="E14" i="16"/>
  <c r="E19" i="16"/>
  <c r="E21" i="16"/>
  <c r="E28" i="16"/>
  <c r="E30" i="16"/>
  <c r="C37" i="16"/>
  <c r="E38" i="16"/>
  <c r="G39" i="16"/>
  <c r="B14" i="16"/>
  <c r="F36" i="16"/>
  <c r="D39" i="16"/>
  <c r="F40" i="16"/>
  <c r="C49" i="16"/>
  <c r="C14" i="16"/>
  <c r="C19" i="16"/>
  <c r="C21" i="16"/>
  <c r="C28" i="16"/>
  <c r="C30" i="16"/>
  <c r="F30" i="16" s="1"/>
  <c r="G36" i="16"/>
  <c r="C38" i="16"/>
  <c r="E39" i="16"/>
  <c r="G40" i="16"/>
  <c r="C44" i="16"/>
  <c r="E49" i="16"/>
  <c r="C62" i="16"/>
  <c r="C9" i="16"/>
  <c r="D37" i="16"/>
  <c r="F38" i="16"/>
  <c r="C48" i="16"/>
  <c r="C50" i="16"/>
  <c r="C54" i="16"/>
  <c r="D9" i="16"/>
  <c r="C18" i="16"/>
  <c r="C20" i="16"/>
  <c r="C22" i="16"/>
  <c r="C27" i="16"/>
  <c r="C29" i="16"/>
  <c r="C31" i="16"/>
  <c r="C36" i="16"/>
  <c r="E37" i="16"/>
  <c r="G38" i="16"/>
  <c r="C40" i="16"/>
  <c r="E48" i="16"/>
  <c r="E50" i="16"/>
  <c r="E54" i="16"/>
  <c r="E9" i="16"/>
  <c r="D18" i="16"/>
  <c r="D20" i="16"/>
  <c r="D22" i="16"/>
  <c r="D27" i="16"/>
  <c r="D29" i="16"/>
  <c r="D31" i="16"/>
  <c r="D36" i="16"/>
  <c r="F37" i="16"/>
  <c r="D40" i="16"/>
  <c r="G48" i="16"/>
  <c r="G51" i="16" s="1"/>
  <c r="C9" i="17"/>
  <c r="C54" i="17"/>
  <c r="C22" i="17"/>
  <c r="G38" i="17"/>
  <c r="D18" i="17"/>
  <c r="D31" i="17"/>
  <c r="B9" i="17"/>
  <c r="E14" i="17"/>
  <c r="E19" i="17"/>
  <c r="E21" i="17"/>
  <c r="E28" i="17"/>
  <c r="E30" i="17"/>
  <c r="C37" i="17"/>
  <c r="E38" i="17"/>
  <c r="G39" i="17"/>
  <c r="D37" i="17"/>
  <c r="C48" i="17"/>
  <c r="C20" i="17"/>
  <c r="C29" i="17"/>
  <c r="E48" i="17"/>
  <c r="E50" i="17"/>
  <c r="E54" i="17"/>
  <c r="C50" i="17"/>
  <c r="C36" i="17"/>
  <c r="D27" i="17"/>
  <c r="D40" i="17"/>
  <c r="F38" i="17"/>
  <c r="C18" i="17"/>
  <c r="C27" i="17"/>
  <c r="E37" i="17"/>
  <c r="E9" i="17"/>
  <c r="D22" i="17"/>
  <c r="D36" i="17"/>
  <c r="G48" i="17"/>
  <c r="G50" i="17"/>
  <c r="E18" i="17"/>
  <c r="E20" i="17"/>
  <c r="E22" i="17"/>
  <c r="E27" i="17"/>
  <c r="E29" i="17"/>
  <c r="E31" i="17"/>
  <c r="E36" i="17"/>
  <c r="G37" i="17"/>
  <c r="C39" i="17"/>
  <c r="E40" i="17"/>
  <c r="D9" i="17"/>
  <c r="C31" i="17"/>
  <c r="C40" i="17"/>
  <c r="D20" i="17"/>
  <c r="D29" i="17"/>
  <c r="F37" i="17"/>
  <c r="B14" i="17"/>
  <c r="F36" i="17"/>
  <c r="D39" i="17"/>
  <c r="F40" i="17"/>
  <c r="C49" i="17"/>
  <c r="C14" i="17"/>
  <c r="C19" i="17"/>
  <c r="C21" i="17"/>
  <c r="C28" i="17"/>
  <c r="C30" i="17"/>
  <c r="G36" i="17"/>
  <c r="C38" i="17"/>
  <c r="E39" i="17"/>
  <c r="G40" i="17"/>
  <c r="C44" i="17"/>
  <c r="E49" i="17"/>
  <c r="C62" i="17"/>
  <c r="D14" i="17"/>
  <c r="D19" i="17"/>
  <c r="D21" i="17"/>
  <c r="D28" i="17"/>
  <c r="D30" i="17"/>
  <c r="D38" i="17"/>
  <c r="F39" i="17"/>
  <c r="E44" i="17"/>
  <c r="G49" i="17"/>
  <c r="F3" i="18"/>
  <c r="F9" i="11" l="1"/>
  <c r="C60" i="11" s="1"/>
  <c r="C61" i="11" s="1"/>
  <c r="F28" i="10"/>
  <c r="F22" i="8"/>
  <c r="F19" i="6"/>
  <c r="G44" i="15"/>
  <c r="F21" i="10"/>
  <c r="F19" i="3"/>
  <c r="F41" i="2"/>
  <c r="F19" i="10"/>
  <c r="E41" i="16"/>
  <c r="F21" i="16"/>
  <c r="F14" i="11"/>
  <c r="F31" i="10"/>
  <c r="F28" i="5"/>
  <c r="H37" i="3"/>
  <c r="E23" i="16"/>
  <c r="F31" i="13"/>
  <c r="G54" i="12"/>
  <c r="F28" i="8"/>
  <c r="E41" i="7"/>
  <c r="F41" i="6"/>
  <c r="H39" i="15"/>
  <c r="F41" i="8"/>
  <c r="F19" i="2"/>
  <c r="G44" i="12"/>
  <c r="H49" i="2"/>
  <c r="G44" i="16"/>
  <c r="D23" i="8"/>
  <c r="D23" i="5"/>
  <c r="F19" i="4"/>
  <c r="E32" i="8"/>
  <c r="H40" i="8"/>
  <c r="E41" i="15"/>
  <c r="F20" i="14"/>
  <c r="D23" i="14"/>
  <c r="F28" i="16"/>
  <c r="E32" i="15"/>
  <c r="G44" i="13"/>
  <c r="F19" i="13"/>
  <c r="H50" i="12"/>
  <c r="F31" i="17"/>
  <c r="E32" i="13"/>
  <c r="D41" i="16"/>
  <c r="F14" i="14"/>
  <c r="E41" i="14"/>
  <c r="E23" i="13"/>
  <c r="H38" i="2"/>
  <c r="F28" i="2"/>
  <c r="C23" i="2"/>
  <c r="F18" i="2"/>
  <c r="E41" i="2"/>
  <c r="G51" i="2"/>
  <c r="D23" i="2"/>
  <c r="C41" i="2"/>
  <c r="H36" i="2"/>
  <c r="G54" i="2"/>
  <c r="F31" i="2"/>
  <c r="H50" i="2"/>
  <c r="E32" i="2"/>
  <c r="D41" i="2"/>
  <c r="F29" i="2"/>
  <c r="C51" i="2"/>
  <c r="H48" i="2"/>
  <c r="G41" i="2"/>
  <c r="F9" i="2"/>
  <c r="C60" i="2" s="1"/>
  <c r="C61" i="2" s="1"/>
  <c r="C32" i="2"/>
  <c r="F27" i="2"/>
  <c r="F14" i="2"/>
  <c r="E51" i="2"/>
  <c r="F22" i="2"/>
  <c r="H37" i="2"/>
  <c r="E23" i="2"/>
  <c r="D32" i="2"/>
  <c r="H40" i="2"/>
  <c r="F20" i="2"/>
  <c r="E23" i="3"/>
  <c r="D41" i="3"/>
  <c r="F31" i="3"/>
  <c r="G54" i="3"/>
  <c r="H39" i="3"/>
  <c r="F29" i="3"/>
  <c r="H50" i="3"/>
  <c r="H38" i="3"/>
  <c r="G41" i="3"/>
  <c r="H49" i="3"/>
  <c r="C32" i="3"/>
  <c r="F27" i="3"/>
  <c r="C51" i="3"/>
  <c r="H48" i="3"/>
  <c r="F30" i="3"/>
  <c r="E41" i="3"/>
  <c r="D32" i="3"/>
  <c r="E51" i="3"/>
  <c r="F22" i="3"/>
  <c r="F28" i="3"/>
  <c r="H40" i="3"/>
  <c r="F20" i="3"/>
  <c r="F21" i="3"/>
  <c r="F41" i="3"/>
  <c r="G51" i="3"/>
  <c r="C23" i="3"/>
  <c r="F18" i="3"/>
  <c r="G44" i="3"/>
  <c r="F14" i="3"/>
  <c r="E32" i="3"/>
  <c r="D23" i="3"/>
  <c r="H36" i="3"/>
  <c r="C41" i="3"/>
  <c r="F9" i="3"/>
  <c r="C60" i="3" s="1"/>
  <c r="C61" i="3" s="1"/>
  <c r="E23" i="4"/>
  <c r="G44" i="4"/>
  <c r="E41" i="4"/>
  <c r="H49" i="4"/>
  <c r="D32" i="4"/>
  <c r="F29" i="4"/>
  <c r="F9" i="4"/>
  <c r="C60" i="4" s="1"/>
  <c r="C61" i="4" s="1"/>
  <c r="H38" i="4"/>
  <c r="C32" i="4"/>
  <c r="F27" i="4"/>
  <c r="G54" i="4"/>
  <c r="G41" i="4"/>
  <c r="E32" i="4"/>
  <c r="G51" i="4"/>
  <c r="E51" i="4"/>
  <c r="F22" i="4"/>
  <c r="H50" i="4"/>
  <c r="F30" i="4"/>
  <c r="F41" i="4"/>
  <c r="D23" i="4"/>
  <c r="H40" i="4"/>
  <c r="F20" i="4"/>
  <c r="C51" i="4"/>
  <c r="H48" i="4"/>
  <c r="F28" i="4"/>
  <c r="C23" i="4"/>
  <c r="F18" i="4"/>
  <c r="F21" i="4"/>
  <c r="H39" i="4"/>
  <c r="D41" i="4"/>
  <c r="H36" i="4"/>
  <c r="C41" i="4"/>
  <c r="F31" i="4"/>
  <c r="H37" i="4"/>
  <c r="F14" i="4"/>
  <c r="E41" i="5"/>
  <c r="E23" i="5"/>
  <c r="D32" i="5"/>
  <c r="H40" i="5"/>
  <c r="F20" i="5"/>
  <c r="C51" i="5"/>
  <c r="H48" i="5"/>
  <c r="G41" i="5"/>
  <c r="H37" i="5"/>
  <c r="F18" i="5"/>
  <c r="C23" i="5"/>
  <c r="G51" i="5"/>
  <c r="C41" i="5"/>
  <c r="H36" i="5"/>
  <c r="F31" i="5"/>
  <c r="H49" i="5"/>
  <c r="E32" i="5"/>
  <c r="D41" i="5"/>
  <c r="F29" i="5"/>
  <c r="F41" i="5"/>
  <c r="C32" i="5"/>
  <c r="F27" i="5"/>
  <c r="G54" i="5"/>
  <c r="F9" i="5"/>
  <c r="C60" i="5" s="1"/>
  <c r="C61" i="5" s="1"/>
  <c r="E51" i="5"/>
  <c r="F22" i="5"/>
  <c r="H50" i="5"/>
  <c r="G41" i="6"/>
  <c r="E41" i="6"/>
  <c r="G51" i="6"/>
  <c r="F31" i="6"/>
  <c r="H50" i="6"/>
  <c r="H37" i="6"/>
  <c r="F29" i="6"/>
  <c r="C51" i="6"/>
  <c r="H48" i="6"/>
  <c r="C32" i="6"/>
  <c r="F27" i="6"/>
  <c r="E32" i="6"/>
  <c r="D41" i="6"/>
  <c r="E51" i="6"/>
  <c r="F22" i="6"/>
  <c r="H40" i="6"/>
  <c r="F20" i="6"/>
  <c r="C23" i="6"/>
  <c r="F18" i="6"/>
  <c r="H49" i="6"/>
  <c r="H39" i="6"/>
  <c r="E23" i="6"/>
  <c r="F9" i="6"/>
  <c r="C60" i="6" s="1"/>
  <c r="C61" i="6" s="1"/>
  <c r="C41" i="6"/>
  <c r="H36" i="6"/>
  <c r="G54" i="6"/>
  <c r="H38" i="7"/>
  <c r="F30" i="7"/>
  <c r="F28" i="7"/>
  <c r="F21" i="7"/>
  <c r="F19" i="7"/>
  <c r="F14" i="7"/>
  <c r="C32" i="7"/>
  <c r="F27" i="7"/>
  <c r="E51" i="7"/>
  <c r="F22" i="7"/>
  <c r="E23" i="7"/>
  <c r="D32" i="7"/>
  <c r="H40" i="7"/>
  <c r="F20" i="7"/>
  <c r="F18" i="7"/>
  <c r="C23" i="7"/>
  <c r="F9" i="7"/>
  <c r="C60" i="7" s="1"/>
  <c r="C61" i="7" s="1"/>
  <c r="G51" i="7"/>
  <c r="D23" i="7"/>
  <c r="C41" i="7"/>
  <c r="H36" i="7"/>
  <c r="G54" i="7"/>
  <c r="H37" i="7"/>
  <c r="F31" i="7"/>
  <c r="H50" i="7"/>
  <c r="E32" i="7"/>
  <c r="D41" i="7"/>
  <c r="F29" i="7"/>
  <c r="C51" i="7"/>
  <c r="H48" i="7"/>
  <c r="H36" i="8"/>
  <c r="C41" i="8"/>
  <c r="H39" i="8"/>
  <c r="E23" i="8"/>
  <c r="G51" i="8"/>
  <c r="C32" i="8"/>
  <c r="F27" i="8"/>
  <c r="E41" i="8"/>
  <c r="E51" i="8"/>
  <c r="H49" i="8"/>
  <c r="D41" i="8"/>
  <c r="F9" i="8"/>
  <c r="C60" i="8" s="1"/>
  <c r="C61" i="8" s="1"/>
  <c r="F20" i="8"/>
  <c r="F31" i="8"/>
  <c r="G54" i="8"/>
  <c r="C23" i="8"/>
  <c r="F18" i="8"/>
  <c r="H50" i="8"/>
  <c r="H37" i="8"/>
  <c r="D32" i="8"/>
  <c r="C51" i="8"/>
  <c r="H48" i="8"/>
  <c r="E32" i="9"/>
  <c r="F22" i="9"/>
  <c r="F20" i="9"/>
  <c r="G54" i="9"/>
  <c r="H37" i="9"/>
  <c r="F18" i="9"/>
  <c r="C23" i="9"/>
  <c r="G51" i="9"/>
  <c r="F14" i="9"/>
  <c r="H50" i="9"/>
  <c r="D23" i="9"/>
  <c r="H48" i="9"/>
  <c r="C51" i="9"/>
  <c r="F9" i="9"/>
  <c r="C60" i="9" s="1"/>
  <c r="C61" i="9" s="1"/>
  <c r="E51" i="9"/>
  <c r="D41" i="9"/>
  <c r="G41" i="9"/>
  <c r="E23" i="9"/>
  <c r="F28" i="9"/>
  <c r="H38" i="9"/>
  <c r="F29" i="9"/>
  <c r="F30" i="9"/>
  <c r="H40" i="9"/>
  <c r="F31" i="9"/>
  <c r="F21" i="9"/>
  <c r="F19" i="9"/>
  <c r="H39" i="9"/>
  <c r="E41" i="9"/>
  <c r="H36" i="9"/>
  <c r="C41" i="9"/>
  <c r="F41" i="9"/>
  <c r="D32" i="9"/>
  <c r="F27" i="9"/>
  <c r="C32" i="9"/>
  <c r="H49" i="9"/>
  <c r="G44" i="9"/>
  <c r="F41" i="10"/>
  <c r="H50" i="10"/>
  <c r="H49" i="10"/>
  <c r="H51" i="10" s="1"/>
  <c r="E41" i="10"/>
  <c r="F22" i="10"/>
  <c r="E51" i="10"/>
  <c r="C23" i="10"/>
  <c r="F18" i="10"/>
  <c r="D32" i="10"/>
  <c r="H40" i="10"/>
  <c r="F9" i="10"/>
  <c r="C60" i="10" s="1"/>
  <c r="C61" i="10" s="1"/>
  <c r="E32" i="10"/>
  <c r="G51" i="10"/>
  <c r="H37" i="10"/>
  <c r="D23" i="10"/>
  <c r="H36" i="10"/>
  <c r="C41" i="10"/>
  <c r="F29" i="10"/>
  <c r="H39" i="10"/>
  <c r="E23" i="10"/>
  <c r="D41" i="10"/>
  <c r="C32" i="10"/>
  <c r="F27" i="10"/>
  <c r="F20" i="10"/>
  <c r="G54" i="11"/>
  <c r="H37" i="11"/>
  <c r="G51" i="11"/>
  <c r="H36" i="11"/>
  <c r="C41" i="11"/>
  <c r="H50" i="11"/>
  <c r="H39" i="11"/>
  <c r="E23" i="11"/>
  <c r="D23" i="11"/>
  <c r="F29" i="11"/>
  <c r="C51" i="11"/>
  <c r="H48" i="11"/>
  <c r="F22" i="11"/>
  <c r="H49" i="11"/>
  <c r="E41" i="11"/>
  <c r="D41" i="11"/>
  <c r="F31" i="11"/>
  <c r="F18" i="11"/>
  <c r="C23" i="11"/>
  <c r="G44" i="11"/>
  <c r="H38" i="11"/>
  <c r="F27" i="11"/>
  <c r="C32" i="11"/>
  <c r="E51" i="11"/>
  <c r="G41" i="11"/>
  <c r="F30" i="11"/>
  <c r="F20" i="11"/>
  <c r="H40" i="11"/>
  <c r="F28" i="11"/>
  <c r="F41" i="11"/>
  <c r="E32" i="11"/>
  <c r="F21" i="11"/>
  <c r="D32" i="11"/>
  <c r="F19" i="11"/>
  <c r="F41" i="12"/>
  <c r="F18" i="12"/>
  <c r="C23" i="12"/>
  <c r="E32" i="12"/>
  <c r="E51" i="12"/>
  <c r="F28" i="12"/>
  <c r="H40" i="12"/>
  <c r="F30" i="12"/>
  <c r="E23" i="12"/>
  <c r="H49" i="12"/>
  <c r="H39" i="12"/>
  <c r="D41" i="12"/>
  <c r="G41" i="12"/>
  <c r="C51" i="12"/>
  <c r="H48" i="12"/>
  <c r="F9" i="12"/>
  <c r="C60" i="12" s="1"/>
  <c r="C61" i="12" s="1"/>
  <c r="D32" i="12"/>
  <c r="H36" i="12"/>
  <c r="C41" i="12"/>
  <c r="F29" i="12"/>
  <c r="F20" i="12"/>
  <c r="E41" i="12"/>
  <c r="D23" i="12"/>
  <c r="G51" i="12"/>
  <c r="F19" i="12"/>
  <c r="F31" i="12"/>
  <c r="H37" i="12"/>
  <c r="H38" i="12"/>
  <c r="F27" i="12"/>
  <c r="C32" i="12"/>
  <c r="F22" i="12"/>
  <c r="F21" i="12"/>
  <c r="H36" i="13"/>
  <c r="C41" i="13"/>
  <c r="G51" i="13"/>
  <c r="F20" i="13"/>
  <c r="H38" i="13"/>
  <c r="G41" i="13"/>
  <c r="D41" i="13"/>
  <c r="F41" i="13"/>
  <c r="F30" i="13"/>
  <c r="F14" i="13"/>
  <c r="H39" i="13"/>
  <c r="F29" i="13"/>
  <c r="G54" i="13"/>
  <c r="F28" i="13"/>
  <c r="E51" i="13"/>
  <c r="H50" i="13"/>
  <c r="F21" i="13"/>
  <c r="F22" i="13"/>
  <c r="D32" i="13"/>
  <c r="E41" i="13"/>
  <c r="D23" i="13"/>
  <c r="H40" i="13"/>
  <c r="C51" i="13"/>
  <c r="H48" i="13"/>
  <c r="C23" i="13"/>
  <c r="F18" i="13"/>
  <c r="H49" i="13"/>
  <c r="C32" i="13"/>
  <c r="F27" i="13"/>
  <c r="F9" i="13"/>
  <c r="C60" i="13" s="1"/>
  <c r="C61" i="13" s="1"/>
  <c r="H49" i="14"/>
  <c r="H36" i="14"/>
  <c r="C41" i="14"/>
  <c r="G44" i="14"/>
  <c r="E23" i="14"/>
  <c r="G41" i="14"/>
  <c r="F29" i="14"/>
  <c r="H37" i="14"/>
  <c r="E51" i="14"/>
  <c r="F22" i="14"/>
  <c r="H40" i="14"/>
  <c r="D32" i="14"/>
  <c r="F18" i="14"/>
  <c r="C23" i="14"/>
  <c r="H38" i="14"/>
  <c r="F27" i="14"/>
  <c r="C32" i="14"/>
  <c r="F41" i="14"/>
  <c r="H39" i="14"/>
  <c r="F19" i="14"/>
  <c r="F30" i="14"/>
  <c r="D41" i="14"/>
  <c r="F31" i="14"/>
  <c r="G54" i="14"/>
  <c r="F28" i="14"/>
  <c r="H50" i="14"/>
  <c r="E32" i="14"/>
  <c r="C51" i="14"/>
  <c r="H48" i="14"/>
  <c r="F9" i="14"/>
  <c r="C60" i="14" s="1"/>
  <c r="C61" i="14" s="1"/>
  <c r="C32" i="15"/>
  <c r="F27" i="15"/>
  <c r="H50" i="15"/>
  <c r="H38" i="15"/>
  <c r="F20" i="15"/>
  <c r="D41" i="15"/>
  <c r="H48" i="15"/>
  <c r="C51" i="15"/>
  <c r="G41" i="15"/>
  <c r="F18" i="15"/>
  <c r="C23" i="15"/>
  <c r="F30" i="15"/>
  <c r="E23" i="15"/>
  <c r="E51" i="15"/>
  <c r="F28" i="15"/>
  <c r="F21" i="15"/>
  <c r="F19" i="15"/>
  <c r="D32" i="15"/>
  <c r="F29" i="15"/>
  <c r="F9" i="15"/>
  <c r="C60" i="15" s="1"/>
  <c r="C61" i="15" s="1"/>
  <c r="H36" i="15"/>
  <c r="C41" i="15"/>
  <c r="G51" i="15"/>
  <c r="F22" i="15"/>
  <c r="F41" i="15"/>
  <c r="F14" i="15"/>
  <c r="D23" i="15"/>
  <c r="F31" i="15"/>
  <c r="G54" i="15"/>
  <c r="H37" i="15"/>
  <c r="H49" i="15"/>
  <c r="E32" i="16"/>
  <c r="H39" i="16"/>
  <c r="F31" i="16"/>
  <c r="C23" i="16"/>
  <c r="F18" i="16"/>
  <c r="F14" i="16"/>
  <c r="F9" i="16"/>
  <c r="C60" i="16" s="1"/>
  <c r="C61" i="16" s="1"/>
  <c r="D23" i="16"/>
  <c r="C41" i="16"/>
  <c r="H36" i="16"/>
  <c r="G54" i="16"/>
  <c r="F19" i="16"/>
  <c r="H50" i="16"/>
  <c r="H37" i="16"/>
  <c r="F29" i="16"/>
  <c r="C51" i="16"/>
  <c r="H48" i="16"/>
  <c r="H49" i="16"/>
  <c r="C32" i="16"/>
  <c r="F27" i="16"/>
  <c r="H38" i="16"/>
  <c r="E51" i="16"/>
  <c r="F22" i="16"/>
  <c r="G41" i="16"/>
  <c r="D32" i="16"/>
  <c r="H40" i="16"/>
  <c r="F20" i="16"/>
  <c r="F41" i="16"/>
  <c r="H38" i="17"/>
  <c r="H49" i="17"/>
  <c r="H40" i="17"/>
  <c r="H36" i="17"/>
  <c r="C41" i="17"/>
  <c r="E32" i="17"/>
  <c r="H50" i="17"/>
  <c r="F9" i="17"/>
  <c r="C60" i="17" s="1"/>
  <c r="C61" i="17" s="1"/>
  <c r="G41" i="17"/>
  <c r="F30" i="17"/>
  <c r="F41" i="17"/>
  <c r="C32" i="17"/>
  <c r="F27" i="17"/>
  <c r="H37" i="17"/>
  <c r="D23" i="17"/>
  <c r="F28" i="17"/>
  <c r="F14" i="17"/>
  <c r="H39" i="17"/>
  <c r="E23" i="17"/>
  <c r="C23" i="17"/>
  <c r="F18" i="17"/>
  <c r="E51" i="17"/>
  <c r="F21" i="17"/>
  <c r="F29" i="17"/>
  <c r="F22" i="17"/>
  <c r="G44" i="17"/>
  <c r="F19" i="17"/>
  <c r="E41" i="17"/>
  <c r="G51" i="17"/>
  <c r="F20" i="17"/>
  <c r="G54" i="17"/>
  <c r="D41" i="17"/>
  <c r="D32" i="17"/>
  <c r="C51" i="17"/>
  <c r="H48" i="17"/>
  <c r="H51" i="9" l="1"/>
  <c r="F23" i="15"/>
  <c r="F32" i="6"/>
  <c r="F23" i="3"/>
  <c r="H51" i="12"/>
  <c r="F23" i="6"/>
  <c r="H51" i="6"/>
  <c r="F23" i="2"/>
  <c r="H51" i="2"/>
  <c r="H41" i="2"/>
  <c r="F32" i="2"/>
  <c r="H41" i="3"/>
  <c r="F32" i="3"/>
  <c r="H51" i="3"/>
  <c r="F23" i="4"/>
  <c r="F32" i="4"/>
  <c r="H51" i="4"/>
  <c r="H41" i="4"/>
  <c r="H51" i="5"/>
  <c r="F32" i="5"/>
  <c r="H41" i="5"/>
  <c r="F23" i="5"/>
  <c r="H41" i="6"/>
  <c r="F23" i="7"/>
  <c r="H51" i="7"/>
  <c r="H41" i="7"/>
  <c r="F32" i="7"/>
  <c r="F32" i="8"/>
  <c r="F23" i="8"/>
  <c r="H41" i="8"/>
  <c r="H51" i="8"/>
  <c r="F32" i="9"/>
  <c r="F23" i="9"/>
  <c r="H41" i="9"/>
  <c r="F23" i="10"/>
  <c r="H41" i="10"/>
  <c r="F32" i="10"/>
  <c r="F23" i="11"/>
  <c r="F32" i="11"/>
  <c r="H51" i="11"/>
  <c r="H41" i="11"/>
  <c r="F32" i="12"/>
  <c r="H41" i="12"/>
  <c r="F23" i="12"/>
  <c r="H41" i="13"/>
  <c r="H51" i="13"/>
  <c r="F32" i="13"/>
  <c r="F23" i="13"/>
  <c r="F32" i="14"/>
  <c r="H41" i="14"/>
  <c r="H51" i="14"/>
  <c r="F23" i="14"/>
  <c r="F32" i="15"/>
  <c r="H51" i="15"/>
  <c r="H41" i="15"/>
  <c r="H51" i="16"/>
  <c r="F23" i="16"/>
  <c r="H41" i="16"/>
  <c r="F32" i="16"/>
  <c r="H41" i="17"/>
  <c r="H51" i="17"/>
  <c r="F23" i="17"/>
  <c r="F32" i="17"/>
  <c r="T3" i="1"/>
  <c r="V3" i="1" l="1"/>
  <c r="C63" i="18" l="1"/>
  <c r="C62" i="18"/>
  <c r="E54" i="18"/>
  <c r="C54" i="18"/>
  <c r="G50" i="18"/>
  <c r="G49" i="18"/>
  <c r="G48" i="18"/>
  <c r="E50" i="18"/>
  <c r="E49" i="18"/>
  <c r="E48" i="18"/>
  <c r="C50" i="18"/>
  <c r="C49" i="18"/>
  <c r="C48" i="18"/>
  <c r="H48" i="18" s="1"/>
  <c r="E44" i="18"/>
  <c r="C44" i="18"/>
  <c r="G40" i="18"/>
  <c r="G39" i="18"/>
  <c r="G38" i="18"/>
  <c r="G37" i="18"/>
  <c r="G36" i="18"/>
  <c r="F40" i="18"/>
  <c r="F39" i="18"/>
  <c r="F38" i="18"/>
  <c r="F37" i="18"/>
  <c r="F36" i="18"/>
  <c r="E40" i="18"/>
  <c r="E39" i="18"/>
  <c r="E38" i="18"/>
  <c r="E37" i="18"/>
  <c r="E36" i="18"/>
  <c r="D40" i="18"/>
  <c r="D39" i="18"/>
  <c r="D38" i="18"/>
  <c r="D37" i="18"/>
  <c r="D36" i="18"/>
  <c r="C40" i="18"/>
  <c r="C39" i="18"/>
  <c r="C38" i="18"/>
  <c r="C37" i="18"/>
  <c r="C36" i="18"/>
  <c r="E31" i="18"/>
  <c r="E30" i="18"/>
  <c r="E29" i="18"/>
  <c r="E28" i="18"/>
  <c r="E27" i="18"/>
  <c r="D31" i="18"/>
  <c r="D30" i="18"/>
  <c r="D29" i="18"/>
  <c r="D28" i="18"/>
  <c r="D27" i="18"/>
  <c r="C31" i="18"/>
  <c r="C30" i="18"/>
  <c r="C29" i="18"/>
  <c r="C28" i="18"/>
  <c r="C27" i="18"/>
  <c r="E22" i="18"/>
  <c r="E21" i="18"/>
  <c r="E20" i="18"/>
  <c r="E19" i="18"/>
  <c r="E18" i="18"/>
  <c r="D22" i="18"/>
  <c r="D21" i="18"/>
  <c r="D20" i="18"/>
  <c r="D19" i="18"/>
  <c r="D18" i="18"/>
  <c r="C22" i="18"/>
  <c r="C21" i="18"/>
  <c r="C20" i="18"/>
  <c r="C19" i="18"/>
  <c r="C18" i="18"/>
  <c r="E14" i="18"/>
  <c r="D14" i="18"/>
  <c r="C14" i="18"/>
  <c r="B14" i="18"/>
  <c r="E9" i="18"/>
  <c r="D9" i="18"/>
  <c r="C9" i="18"/>
  <c r="B9" i="18"/>
  <c r="H38" i="18" l="1"/>
  <c r="G41" i="18"/>
  <c r="H50" i="18"/>
  <c r="D41" i="18"/>
  <c r="D32" i="18"/>
  <c r="D23" i="18"/>
  <c r="F20" i="18"/>
  <c r="G44" i="18"/>
  <c r="E32" i="18"/>
  <c r="E23" i="18"/>
  <c r="F21" i="18"/>
  <c r="F29" i="18"/>
  <c r="H36" i="18"/>
  <c r="H39" i="18"/>
  <c r="F41" i="18"/>
  <c r="F9" i="18"/>
  <c r="C60" i="18" s="1"/>
  <c r="C61" i="18" s="1"/>
  <c r="F18" i="18"/>
  <c r="F27" i="18"/>
  <c r="F30" i="18"/>
  <c r="C41" i="18"/>
  <c r="G51" i="18"/>
  <c r="F14" i="18"/>
  <c r="F19" i="18"/>
  <c r="F28" i="18"/>
  <c r="E41" i="18"/>
  <c r="H40" i="18"/>
  <c r="H49" i="18"/>
  <c r="H51" i="18" s="1"/>
  <c r="G54" i="18"/>
  <c r="C32" i="18"/>
  <c r="E51" i="18"/>
  <c r="C23" i="18"/>
  <c r="F22" i="18"/>
  <c r="F31" i="18"/>
  <c r="H37" i="18"/>
  <c r="C51" i="18"/>
  <c r="H41" i="18" l="1"/>
  <c r="F23" i="18"/>
  <c r="F32" i="18"/>
</calcChain>
</file>

<file path=xl/sharedStrings.xml><?xml version="1.0" encoding="utf-8"?>
<sst xmlns="http://schemas.openxmlformats.org/spreadsheetml/2006/main" count="1617" uniqueCount="114">
  <si>
    <t>&lt;Table&gt;</t>
  </si>
  <si>
    <t>#</t>
  </si>
  <si>
    <t>Patient ID</t>
  </si>
  <si>
    <t>Sample ID</t>
  </si>
  <si>
    <t>Device</t>
  </si>
  <si>
    <t>Test Date</t>
  </si>
  <si>
    <t>MTB</t>
  </si>
  <si>
    <t>Rif</t>
  </si>
  <si>
    <t>HIV</t>
  </si>
  <si>
    <t>Gender</t>
  </si>
  <si>
    <t>Age</t>
  </si>
  <si>
    <t>Previously Treated for TB</t>
  </si>
  <si>
    <t>Microscopy Result</t>
  </si>
  <si>
    <t>Patient City</t>
  </si>
  <si>
    <t>Treatment Unit</t>
  </si>
  <si>
    <t>Test Reason</t>
  </si>
  <si>
    <t>CXR Abnormalities</t>
  </si>
  <si>
    <t>Error Code</t>
  </si>
  <si>
    <t>Error Notes</t>
  </si>
  <si>
    <t>Test Notes</t>
  </si>
  <si>
    <t>&lt;#&gt;</t>
  </si>
  <si>
    <t>&lt;patientId&gt;</t>
  </si>
  <si>
    <t>&lt;sampleId&gt;</t>
  </si>
  <si>
    <t>&lt;deviceName&gt;</t>
  </si>
  <si>
    <t>&lt;testDate&gt;</t>
  </si>
  <si>
    <t>&lt;result1&gt;</t>
  </si>
  <si>
    <t>&lt;result2&gt;</t>
  </si>
  <si>
    <t>&lt;hivStatus&gt;</t>
  </si>
  <si>
    <t>&lt;gender&gt;</t>
  </si>
  <si>
    <t>&lt;patientAgeYears&gt;</t>
  </si>
  <si>
    <t>&lt;previouslyTreated&gt;</t>
  </si>
  <si>
    <t>&lt;microscopyResult&gt;</t>
  </si>
  <si>
    <t>&lt;patientCity&gt;</t>
  </si>
  <si>
    <t>&lt;tag&gt;</t>
  </si>
  <si>
    <t>&lt;testReason&gt;</t>
  </si>
  <si>
    <t>&lt;errorCode&gt;</t>
  </si>
  <si>
    <t>&lt;errorNotes&gt;</t>
  </si>
  <si>
    <t>&lt;notes&gt;</t>
  </si>
  <si>
    <t>GeneXpert MTB/RIF Testing Report</t>
  </si>
  <si>
    <t>January</t>
  </si>
  <si>
    <t>Year</t>
  </si>
  <si>
    <t>Reporting Unit</t>
  </si>
  <si>
    <t>1. Age and sex distribution of tested patients</t>
  </si>
  <si>
    <t>Male</t>
  </si>
  <si>
    <t>Female</t>
  </si>
  <si>
    <t>Total</t>
  </si>
  <si>
    <t>&lt;15</t>
  </si>
  <si>
    <t>&gt;=15</t>
  </si>
  <si>
    <t>New</t>
  </si>
  <si>
    <t>Retreatment</t>
  </si>
  <si>
    <t>Unknown</t>
  </si>
  <si>
    <t>Xpert MTB/RIF</t>
  </si>
  <si>
    <t>Negative</t>
  </si>
  <si>
    <t>TB with NO RIF- Resistance</t>
  </si>
  <si>
    <t>TB with RIF- Resistance</t>
  </si>
  <si>
    <t>TB with RIF- Indeterminate</t>
  </si>
  <si>
    <t>HIV
(+)</t>
  </si>
  <si>
    <t>HIV
(-)</t>
  </si>
  <si>
    <t>Dx</t>
  </si>
  <si>
    <t>Fu</t>
  </si>
  <si>
    <t>MDR</t>
  </si>
  <si>
    <t>DM</t>
  </si>
  <si>
    <t>Na</t>
  </si>
  <si>
    <t>TB - Trace with RIF- Indeterminate</t>
  </si>
  <si>
    <t>Xpert Positive</t>
  </si>
  <si>
    <t>Xpert Negative</t>
  </si>
  <si>
    <t>Microscopy AFB (Positive)</t>
  </si>
  <si>
    <t>Microscopy AFB (Negative)</t>
  </si>
  <si>
    <t>Microscopy AFB (Not Done)</t>
  </si>
  <si>
    <t>Amount</t>
  </si>
  <si>
    <t>Expire date</t>
  </si>
  <si>
    <t>Opening balance</t>
  </si>
  <si>
    <t>Received during this month</t>
  </si>
  <si>
    <t>Used</t>
  </si>
  <si>
    <t>Closing balance</t>
  </si>
  <si>
    <t>Remark : Error and Invalid result Cartridge</t>
  </si>
  <si>
    <t xml:space="preserve">                   No Results or Damaged Cartridge</t>
  </si>
  <si>
    <t xml:space="preserve">Sign                      </t>
  </si>
  <si>
    <t xml:space="preserve">Name                  </t>
  </si>
  <si>
    <t xml:space="preserve">Designation       </t>
  </si>
  <si>
    <t xml:space="preserve">Date                      </t>
  </si>
  <si>
    <t>February</t>
  </si>
  <si>
    <t>March</t>
  </si>
  <si>
    <t>1st Quarter</t>
  </si>
  <si>
    <t>April</t>
  </si>
  <si>
    <t>May</t>
  </si>
  <si>
    <t>June</t>
  </si>
  <si>
    <t>2nd Quarter</t>
  </si>
  <si>
    <t>July</t>
  </si>
  <si>
    <t>August</t>
  </si>
  <si>
    <t>September</t>
  </si>
  <si>
    <t>3rd Quarter</t>
  </si>
  <si>
    <t>October</t>
  </si>
  <si>
    <t>November</t>
  </si>
  <si>
    <t>December</t>
  </si>
  <si>
    <t>4th Quarter</t>
  </si>
  <si>
    <t>&lt;cxrAbnormalities&gt;</t>
  </si>
  <si>
    <r>
      <rPr>
        <b/>
        <sz val="11"/>
        <color theme="1"/>
        <rFont val="Calibri"/>
        <family val="2"/>
      </rPr>
      <t xml:space="preserve">Note: </t>
    </r>
    <r>
      <rPr>
        <sz val="11"/>
        <color theme="1"/>
        <rFont val="Calibri"/>
        <family val="2"/>
      </rPr>
      <t>Press Ctrl + Alt + Shift + F9 to see  the results in the cells.</t>
    </r>
  </si>
  <si>
    <t>2. Age and sex distribution of completed test</t>
  </si>
  <si>
    <t>Xpert Trace</t>
  </si>
  <si>
    <t>Quarter</t>
  </si>
  <si>
    <t>Month</t>
  </si>
  <si>
    <t>Reporting Period</t>
  </si>
  <si>
    <t>3. Test results and previous history of TB</t>
  </si>
  <si>
    <t>TB with No RIF- Resistance</t>
  </si>
  <si>
    <t>4. Test results and HIV status</t>
  </si>
  <si>
    <t>5. Test results and Test reason</t>
  </si>
  <si>
    <t>6. TB with Rif-Resistance detected</t>
  </si>
  <si>
    <t>7. Compare with sputum microscopy</t>
  </si>
  <si>
    <t>8. Compare with CXR abnormalities</t>
  </si>
  <si>
    <t>9. Test kit Balance</t>
  </si>
  <si>
    <t>Tested Month</t>
  </si>
  <si>
    <t>Tested Quarter</t>
  </si>
  <si>
    <t>Tested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</si>
</sst>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\-yy"/>
    <numFmt numFmtId="165" formatCode="dd/mm/yy;@"/>
  </numFmts>
  <fonts count="18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</font>
    <font>
      <b/>
      <sz val="12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EF2CB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6">
    <xf numFmtId="0" fontId="0" fillId="0" borderId="0"/>
    <xf numFmtId="0" fontId="5" fillId="0" borderId="5" applyAlignment="0"/>
    <xf numFmtId="0" fontId="11" fillId="0" borderId="5" applyAlignment="0"/>
    <xf numFmtId="0" fontId="5" fillId="0" borderId="5" applyAlignment="0"/>
    <xf numFmtId="0" fontId="5" fillId="0" borderId="5" applyAlignment="0"/>
    <xf numFmtId="0" fontId="5" fillId="0" borderId="5"/>
    <xf numFmtId="0" fontId="4" fillId="0" borderId="5" applyAlignment="0"/>
    <xf numFmtId="0" fontId="4" fillId="0" borderId="5" applyAlignment="0"/>
    <xf numFmtId="0" fontId="4" fillId="0" borderId="5" applyAlignment="0"/>
    <xf numFmtId="0" fontId="4" fillId="0" borderId="5"/>
    <xf numFmtId="0" fontId="4" fillId="0" borderId="5" applyAlignment="0"/>
    <xf numFmtId="0" fontId="4" fillId="0" borderId="5" applyAlignment="0"/>
    <xf numFmtId="0" fontId="4" fillId="0" borderId="5" applyAlignment="0"/>
    <xf numFmtId="0" fontId="4" fillId="0" borderId="5"/>
    <xf numFmtId="0" fontId="11" fillId="0" borderId="5" applyAlignment="0"/>
    <xf numFmtId="0" fontId="11" fillId="0" borderId="5" applyAlignment="0"/>
    <xf numFmtId="0" fontId="3" fillId="0" borderId="5" applyAlignment="0"/>
    <xf numFmtId="0" fontId="3" fillId="0" borderId="5" applyAlignment="0"/>
    <xf numFmtId="0" fontId="3" fillId="0" borderId="5" applyAlignment="0"/>
    <xf numFmtId="0" fontId="3" fillId="0" borderId="5"/>
    <xf numFmtId="0" fontId="11" fillId="0" borderId="5" applyAlignment="0"/>
    <xf numFmtId="0" fontId="2" fillId="0" borderId="5" applyAlignment="0"/>
    <xf numFmtId="0" fontId="2" fillId="0" borderId="5" applyAlignment="0"/>
    <xf numFmtId="0" fontId="2" fillId="0" borderId="5" applyAlignment="0"/>
    <xf numFmtId="0" fontId="2" fillId="0" borderId="5"/>
    <xf numFmtId="0" fontId="1" fillId="0" borderId="5"/>
  </cellStyleXfs>
  <cellXfs count="88">
    <xf numFmtId="0" fontId="0" fillId="0" borderId="0" xfId="0" applyFont="1" applyAlignment="1"/>
    <xf numFmtId="0" fontId="6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164" fontId="6" fillId="0" borderId="4" xfId="0" applyNumberFormat="1" applyFont="1" applyBorder="1"/>
    <xf numFmtId="1" fontId="6" fillId="0" borderId="4" xfId="0" applyNumberFormat="1" applyFont="1" applyBorder="1" applyAlignment="1">
      <alignment horizontal="center"/>
    </xf>
    <xf numFmtId="1" fontId="6" fillId="0" borderId="4" xfId="0" applyNumberFormat="1" applyFont="1" applyBorder="1"/>
    <xf numFmtId="0" fontId="0" fillId="0" borderId="0" xfId="0" applyFont="1" applyAlignment="1"/>
    <xf numFmtId="0" fontId="11" fillId="0" borderId="5" xfId="2"/>
    <xf numFmtId="0" fontId="4" fillId="0" borderId="5" xfId="2" applyFont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/>
    </xf>
    <xf numFmtId="0" fontId="4" fillId="0" borderId="15" xfId="2" applyFont="1" applyBorder="1" applyAlignment="1">
      <alignment vertical="center" wrapText="1"/>
    </xf>
    <xf numFmtId="0" fontId="4" fillId="0" borderId="5" xfId="2" applyFont="1" applyAlignment="1">
      <alignment vertical="center" wrapText="1"/>
    </xf>
    <xf numFmtId="0" fontId="4" fillId="0" borderId="5" xfId="2" applyFont="1" applyAlignment="1">
      <alignment vertical="center"/>
    </xf>
    <xf numFmtId="0" fontId="4" fillId="0" borderId="5" xfId="2" applyFont="1" applyFill="1" applyBorder="1" applyAlignment="1">
      <alignment vertical="center"/>
    </xf>
    <xf numFmtId="0" fontId="4" fillId="0" borderId="5" xfId="2" applyFont="1" applyFill="1" applyBorder="1" applyAlignment="1">
      <alignment horizontal="right" vertical="center"/>
    </xf>
    <xf numFmtId="0" fontId="10" fillId="0" borderId="5" xfId="2" applyFont="1" applyFill="1" applyBorder="1" applyAlignment="1">
      <alignment vertical="center"/>
    </xf>
    <xf numFmtId="165" fontId="10" fillId="0" borderId="5" xfId="2" applyNumberFormat="1" applyFont="1" applyFill="1" applyBorder="1" applyAlignment="1">
      <alignment vertical="center"/>
    </xf>
    <xf numFmtId="0" fontId="10" fillId="4" borderId="12" xfId="2" applyFont="1" applyFill="1" applyBorder="1" applyAlignment="1">
      <alignment vertical="center"/>
    </xf>
    <xf numFmtId="0" fontId="10" fillId="0" borderId="5" xfId="2" applyFont="1" applyAlignment="1">
      <alignment vertical="center"/>
    </xf>
    <xf numFmtId="0" fontId="4" fillId="0" borderId="12" xfId="2" applyFont="1" applyBorder="1" applyAlignment="1">
      <alignment vertical="center"/>
    </xf>
    <xf numFmtId="0" fontId="4" fillId="0" borderId="12" xfId="2" applyFont="1" applyFill="1" applyBorder="1" applyAlignment="1">
      <alignment vertical="center"/>
    </xf>
    <xf numFmtId="0" fontId="4" fillId="0" borderId="5" xfId="2" applyFont="1" applyAlignment="1" applyProtection="1">
      <alignment vertical="center"/>
      <protection locked="0" hidden="1"/>
    </xf>
    <xf numFmtId="0" fontId="13" fillId="0" borderId="5" xfId="2" applyFont="1" applyAlignment="1">
      <alignment vertical="center"/>
    </xf>
    <xf numFmtId="0" fontId="4" fillId="0" borderId="5" xfId="2" applyFont="1" applyFill="1" applyAlignment="1">
      <alignment vertical="center"/>
    </xf>
    <xf numFmtId="0" fontId="4" fillId="0" borderId="5" xfId="2" applyFont="1" applyBorder="1" applyAlignment="1">
      <alignment vertical="center"/>
    </xf>
    <xf numFmtId="0" fontId="10" fillId="0" borderId="12" xfId="2" applyFont="1" applyBorder="1" applyAlignment="1">
      <alignment vertical="center"/>
    </xf>
    <xf numFmtId="0" fontId="11" fillId="0" borderId="5" xfId="2" applyFill="1" applyAlignment="1">
      <alignment vertical="center"/>
    </xf>
    <xf numFmtId="0" fontId="10" fillId="0" borderId="12" xfId="2" applyFont="1" applyFill="1" applyBorder="1" applyAlignment="1">
      <alignment vertical="center"/>
    </xf>
    <xf numFmtId="0" fontId="4" fillId="0" borderId="9" xfId="2" applyFont="1" applyBorder="1" applyAlignment="1">
      <alignment horizontal="left" vertical="center"/>
    </xf>
    <xf numFmtId="0" fontId="4" fillId="0" borderId="10" xfId="2" applyFont="1" applyBorder="1" applyAlignment="1">
      <alignment horizontal="left" vertical="center"/>
    </xf>
    <xf numFmtId="0" fontId="4" fillId="0" borderId="5" xfId="2" applyFont="1" applyAlignment="1" applyProtection="1">
      <alignment vertical="center"/>
      <protection locked="0"/>
    </xf>
    <xf numFmtId="0" fontId="4" fillId="0" borderId="12" xfId="2" applyFont="1" applyBorder="1" applyAlignment="1" applyProtection="1">
      <alignment vertical="center"/>
      <protection locked="0"/>
    </xf>
    <xf numFmtId="0" fontId="4" fillId="0" borderId="9" xfId="2" applyFont="1" applyBorder="1" applyAlignment="1" applyProtection="1">
      <alignment horizontal="left" vertical="center"/>
      <protection locked="0"/>
    </xf>
    <xf numFmtId="0" fontId="4" fillId="0" borderId="10" xfId="2" applyFont="1" applyBorder="1" applyAlignment="1" applyProtection="1">
      <alignment horizontal="left" vertical="center"/>
      <protection locked="0"/>
    </xf>
    <xf numFmtId="0" fontId="4" fillId="0" borderId="13" xfId="2" applyFont="1" applyBorder="1" applyAlignment="1" applyProtection="1">
      <alignment vertical="center"/>
      <protection locked="0"/>
    </xf>
    <xf numFmtId="0" fontId="4" fillId="0" borderId="14" xfId="2" applyFont="1" applyBorder="1" applyAlignment="1" applyProtection="1">
      <alignment vertical="center"/>
      <protection locked="0"/>
    </xf>
    <xf numFmtId="0" fontId="10" fillId="0" borderId="12" xfId="2" applyFont="1" applyBorder="1" applyAlignment="1" applyProtection="1">
      <alignment vertical="center"/>
      <protection locked="0"/>
    </xf>
    <xf numFmtId="0" fontId="10" fillId="0" borderId="12" xfId="2" applyFont="1" applyFill="1" applyBorder="1" applyAlignment="1">
      <alignment horizontal="center" vertical="center" wrapText="1"/>
    </xf>
    <xf numFmtId="0" fontId="10" fillId="0" borderId="5" xfId="2" applyFont="1" applyFill="1" applyAlignment="1">
      <alignment vertical="center"/>
    </xf>
    <xf numFmtId="0" fontId="10" fillId="0" borderId="8" xfId="2" applyFont="1" applyBorder="1" applyAlignment="1">
      <alignment horizontal="center" vertical="center"/>
    </xf>
    <xf numFmtId="0" fontId="10" fillId="0" borderId="5" xfId="2" applyFont="1" applyAlignment="1" applyProtection="1">
      <alignment vertical="center"/>
      <protection locked="0"/>
    </xf>
    <xf numFmtId="0" fontId="10" fillId="0" borderId="8" xfId="2" applyFont="1" applyFill="1" applyBorder="1" applyAlignment="1">
      <alignment horizontal="center" vertical="center"/>
    </xf>
    <xf numFmtId="0" fontId="10" fillId="0" borderId="12" xfId="2" applyFont="1" applyBorder="1" applyAlignment="1">
      <alignment horizontal="center" vertical="center" wrapText="1"/>
    </xf>
    <xf numFmtId="0" fontId="4" fillId="0" borderId="12" xfId="2" applyFont="1" applyBorder="1" applyAlignment="1">
      <alignment horizontal="right" vertical="center"/>
    </xf>
    <xf numFmtId="0" fontId="4" fillId="0" borderId="12" xfId="2" applyFont="1" applyFill="1" applyBorder="1" applyAlignment="1">
      <alignment horizontal="right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4" fillId="0" borderId="5" xfId="2" applyFont="1" applyAlignment="1">
      <alignment horizontal="center" vertical="center"/>
    </xf>
    <xf numFmtId="0" fontId="12" fillId="0" borderId="9" xfId="2" applyFont="1" applyBorder="1" applyAlignment="1" applyProtection="1">
      <alignment horizontal="right" vertical="center"/>
      <protection locked="0"/>
    </xf>
    <xf numFmtId="0" fontId="12" fillId="0" borderId="10" xfId="2" applyFont="1" applyBorder="1" applyAlignment="1" applyProtection="1">
      <alignment horizontal="right" vertical="center"/>
      <protection locked="0"/>
    </xf>
    <xf numFmtId="0" fontId="4" fillId="0" borderId="9" xfId="2" applyFont="1" applyBorder="1" applyAlignment="1" applyProtection="1">
      <alignment horizontal="right" vertical="center"/>
      <protection locked="0"/>
    </xf>
    <xf numFmtId="0" fontId="4" fillId="0" borderId="10" xfId="2" applyFont="1" applyBorder="1" applyAlignment="1" applyProtection="1">
      <alignment horizontal="right" vertical="center"/>
      <protection locked="0"/>
    </xf>
    <xf numFmtId="0" fontId="4" fillId="0" borderId="9" xfId="2" applyFont="1" applyFill="1" applyBorder="1" applyAlignment="1">
      <alignment horizontal="right" vertical="center"/>
    </xf>
    <xf numFmtId="0" fontId="4" fillId="0" borderId="10" xfId="2" applyFont="1" applyFill="1" applyBorder="1" applyAlignment="1">
      <alignment horizontal="right" vertical="center"/>
    </xf>
    <xf numFmtId="0" fontId="10" fillId="0" borderId="9" xfId="2" applyFont="1" applyBorder="1" applyAlignment="1" applyProtection="1">
      <alignment horizontal="center" vertical="center"/>
      <protection locked="0"/>
    </xf>
    <xf numFmtId="0" fontId="10" fillId="0" borderId="10" xfId="2" applyFont="1" applyBorder="1" applyAlignment="1" applyProtection="1">
      <alignment horizontal="center" vertical="center"/>
      <protection locked="0"/>
    </xf>
    <xf numFmtId="0" fontId="4" fillId="0" borderId="9" xfId="2" applyFont="1" applyBorder="1" applyAlignment="1">
      <alignment horizontal="right" vertical="center"/>
    </xf>
    <xf numFmtId="0" fontId="4" fillId="0" borderId="10" xfId="2" applyFont="1" applyBorder="1" applyAlignment="1">
      <alignment horizontal="right" vertical="center"/>
    </xf>
    <xf numFmtId="0" fontId="10" fillId="0" borderId="12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2" xfId="2" applyFont="1" applyFill="1" applyBorder="1" applyAlignment="1">
      <alignment horizontal="center" vertical="center"/>
    </xf>
    <xf numFmtId="0" fontId="10" fillId="0" borderId="12" xfId="2" applyFont="1" applyFill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14" fillId="0" borderId="5" xfId="2" applyFont="1" applyAlignment="1">
      <alignment horizontal="center" vertical="center"/>
    </xf>
    <xf numFmtId="0" fontId="10" fillId="0" borderId="9" xfId="2" applyFont="1" applyFill="1" applyBorder="1" applyAlignment="1">
      <alignment horizontal="center" vertical="center"/>
    </xf>
    <xf numFmtId="0" fontId="10" fillId="0" borderId="10" xfId="2" applyFont="1" applyFill="1" applyBorder="1" applyAlignment="1">
      <alignment horizontal="center" vertical="center"/>
    </xf>
    <xf numFmtId="0" fontId="4" fillId="0" borderId="5" xfId="2" applyFont="1" applyAlignment="1">
      <alignment horizontal="center" vertical="center"/>
    </xf>
    <xf numFmtId="0" fontId="10" fillId="4" borderId="12" xfId="2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</cellXfs>
  <cellStyles count="26">
    <cellStyle name="Normal" xfId="0" builtinId="0"/>
    <cellStyle name="Normal 10" xfId="25"/>
    <cellStyle name="Normal 2" xfId="1"/>
    <cellStyle name="Normal 2 2" xfId="7"/>
    <cellStyle name="Normal 2 3" xfId="17"/>
    <cellStyle name="Normal 2 4" xfId="22"/>
    <cellStyle name="Normal 2_Annual" xfId="10"/>
    <cellStyle name="Normal 3" xfId="2"/>
    <cellStyle name="Normal 4" xfId="3"/>
    <cellStyle name="Normal 4 2" xfId="6"/>
    <cellStyle name="Normal 4 3" xfId="16"/>
    <cellStyle name="Normal 4 4" xfId="21"/>
    <cellStyle name="Normal 4_Annual" xfId="11"/>
    <cellStyle name="Normal 5" xfId="4"/>
    <cellStyle name="Normal 5 2" xfId="8"/>
    <cellStyle name="Normal 5 3" xfId="18"/>
    <cellStyle name="Normal 5 4" xfId="23"/>
    <cellStyle name="Normal 5_Annual" xfId="12"/>
    <cellStyle name="Normal 6" xfId="5"/>
    <cellStyle name="Normal 6 2" xfId="9"/>
    <cellStyle name="Normal 6 3" xfId="19"/>
    <cellStyle name="Normal 6 4" xfId="24"/>
    <cellStyle name="Normal 6_Annual" xfId="13"/>
    <cellStyle name="Normal 7" xfId="14"/>
    <cellStyle name="Normal 8" xfId="15"/>
    <cellStyle name="Normal 9" xfId="20"/>
  </cellStyles>
  <dxfs count="3">
    <dxf>
      <fill>
        <patternFill patternType="solid">
          <fgColor rgb="FFF4B083"/>
          <bgColor rgb="FFF4B083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topLeftCell="O1" workbookViewId="0">
      <pane ySplit="1" topLeftCell="A2" activePane="bottomLeft" state="frozen"/>
      <selection pane="bottomLeft" activeCell="Y19" sqref="Y19"/>
    </sheetView>
  </sheetViews>
  <sheetFormatPr defaultColWidth="11.19921875" defaultRowHeight="15" customHeight="1" x14ac:dyDescent="0.3"/>
  <cols>
    <col min="1" max="1" width="6.5" customWidth="1"/>
    <col min="2" max="2" width="21.3984375" customWidth="1"/>
    <col min="3" max="3" width="20.3984375" customWidth="1"/>
    <col min="4" max="4" width="24.5" customWidth="1"/>
    <col min="5" max="5" width="16.3984375" customWidth="1"/>
    <col min="6" max="6" width="12.5" customWidth="1"/>
    <col min="7" max="9" width="14.5" customWidth="1"/>
    <col min="10" max="10" width="13.69921875" customWidth="1"/>
    <col min="11" max="15" width="14.5" customWidth="1"/>
    <col min="16" max="16" width="19.5" customWidth="1"/>
    <col min="17" max="18" width="14.5" customWidth="1"/>
    <col min="19" max="19" width="53.09765625" customWidth="1"/>
    <col min="20" max="20" width="11.19921875" hidden="1" customWidth="1"/>
    <col min="21" max="21" width="13.8984375" hidden="1" customWidth="1"/>
    <col min="22" max="22" width="5.19921875" hidden="1" customWidth="1"/>
    <col min="23" max="23" width="11.19921875" style="14" customWidth="1"/>
  </cols>
  <sheetData>
    <row r="1" spans="1:23" ht="16.2" thickBot="1" x14ac:dyDescent="0.35">
      <c r="A1" s="1" t="s">
        <v>0</v>
      </c>
      <c r="B1" s="2"/>
      <c r="C1" s="2"/>
      <c r="D1" s="2"/>
      <c r="E1" s="3"/>
      <c r="F1" s="2"/>
      <c r="G1" s="2"/>
      <c r="H1" s="2"/>
      <c r="I1" s="2"/>
      <c r="J1" s="4"/>
      <c r="K1" s="2"/>
      <c r="L1" s="2"/>
      <c r="M1" s="2"/>
      <c r="N1" s="2"/>
      <c r="O1" s="2"/>
      <c r="P1" s="2"/>
      <c r="Q1" s="2"/>
      <c r="R1" s="2"/>
      <c r="S1" s="4"/>
    </row>
    <row r="2" spans="1:23" ht="31.2" x14ac:dyDescent="0.3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6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6" t="s">
        <v>19</v>
      </c>
      <c r="T2" s="54" t="s">
        <v>111</v>
      </c>
      <c r="U2" s="56" t="s">
        <v>112</v>
      </c>
      <c r="V2" s="55" t="s">
        <v>113</v>
      </c>
      <c r="W2" s="57"/>
    </row>
    <row r="3" spans="1:23" ht="15" customHeight="1" x14ac:dyDescent="0.3">
      <c r="A3" s="9" t="s">
        <v>20</v>
      </c>
      <c r="B3" s="10" t="s">
        <v>21</v>
      </c>
      <c r="C3" s="10" t="s">
        <v>22</v>
      </c>
      <c r="D3" s="10" t="s">
        <v>23</v>
      </c>
      <c r="E3" s="11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2" t="s">
        <v>29</v>
      </c>
      <c r="K3" s="10" t="s">
        <v>30</v>
      </c>
      <c r="L3" s="10" t="s">
        <v>31</v>
      </c>
      <c r="M3" s="13" t="s">
        <v>32</v>
      </c>
      <c r="N3" s="13" t="s">
        <v>33</v>
      </c>
      <c r="O3" s="10" t="s">
        <v>34</v>
      </c>
      <c r="P3" s="10" t="s">
        <v>96</v>
      </c>
      <c r="Q3" s="10" t="s">
        <v>35</v>
      </c>
      <c r="R3" s="10" t="s">
        <v>36</v>
      </c>
      <c r="S3" s="10" t="s">
        <v>37</v>
      </c>
      <c r="T3" t="str">
        <f xml:space="preserve"> TEXT(E3, "MMMM")</f>
        <v>&lt;testDate&gt;</v>
      </c>
      <c r="U3" t="e">
        <f>CHOOSE(ROUNDUP(MONTH(E3)/3, 0), "1st Quarter", "2nd Quarter", "3rd Quarter", "4th Quarter")</f>
        <v>#VALUE!</v>
      </c>
      <c r="V3" t="e">
        <f>YEAR(E3)</f>
        <v>#VALUE!</v>
      </c>
    </row>
    <row r="4" spans="1:23" ht="15.6" x14ac:dyDescent="0.3">
      <c r="E4" s="3"/>
      <c r="J4" s="4"/>
    </row>
    <row r="5" spans="1:23" ht="15.6" x14ac:dyDescent="0.3">
      <c r="E5" s="3"/>
      <c r="J5" s="4"/>
    </row>
    <row r="6" spans="1:23" ht="15.6" x14ac:dyDescent="0.3">
      <c r="E6" s="3"/>
      <c r="J6" s="4"/>
    </row>
    <row r="7" spans="1:23" ht="15.6" x14ac:dyDescent="0.3">
      <c r="E7" s="3"/>
      <c r="J7" s="4"/>
    </row>
    <row r="8" spans="1:23" ht="15.6" x14ac:dyDescent="0.3">
      <c r="E8" s="3"/>
      <c r="J8" s="4"/>
    </row>
    <row r="9" spans="1:23" ht="15.6" x14ac:dyDescent="0.3">
      <c r="E9" s="3"/>
      <c r="J9" s="4"/>
    </row>
    <row r="10" spans="1:23" ht="15.6" x14ac:dyDescent="0.3">
      <c r="E10" s="3"/>
      <c r="J10" s="4"/>
    </row>
    <row r="11" spans="1:23" ht="15.6" x14ac:dyDescent="0.3">
      <c r="E11" s="3"/>
      <c r="J11" s="4"/>
    </row>
    <row r="12" spans="1:23" ht="15.6" x14ac:dyDescent="0.3">
      <c r="E12" s="3"/>
      <c r="J12" s="4"/>
    </row>
    <row r="13" spans="1:23" ht="15.6" x14ac:dyDescent="0.3">
      <c r="E13" s="3"/>
      <c r="J13" s="4"/>
    </row>
    <row r="14" spans="1:23" ht="15.6" x14ac:dyDescent="0.3">
      <c r="E14" s="3"/>
      <c r="J14" s="4"/>
    </row>
    <row r="15" spans="1:23" ht="15.6" x14ac:dyDescent="0.3">
      <c r="E15" s="3"/>
      <c r="J15" s="4"/>
    </row>
    <row r="16" spans="1:23" ht="15.6" x14ac:dyDescent="0.3">
      <c r="E16" s="3"/>
      <c r="J16" s="4"/>
    </row>
    <row r="17" spans="5:10" ht="15.6" x14ac:dyDescent="0.3">
      <c r="E17" s="3"/>
      <c r="J17" s="4"/>
    </row>
    <row r="18" spans="5:10" ht="15.6" x14ac:dyDescent="0.3">
      <c r="E18" s="3"/>
      <c r="J18" s="4"/>
    </row>
    <row r="19" spans="5:10" ht="15.6" x14ac:dyDescent="0.3">
      <c r="E19" s="3"/>
      <c r="J19" s="4"/>
    </row>
    <row r="20" spans="5:10" ht="15.6" x14ac:dyDescent="0.3">
      <c r="E20" s="3"/>
      <c r="J20" s="4"/>
    </row>
    <row r="21" spans="5:10" ht="15.75" customHeight="1" x14ac:dyDescent="0.3">
      <c r="E21" s="3"/>
      <c r="J21" s="4"/>
    </row>
    <row r="22" spans="5:10" ht="15.75" customHeight="1" x14ac:dyDescent="0.3">
      <c r="E22" s="3"/>
      <c r="J22" s="4"/>
    </row>
    <row r="23" spans="5:10" ht="15.75" customHeight="1" x14ac:dyDescent="0.3">
      <c r="E23" s="3"/>
      <c r="J23" s="4"/>
    </row>
    <row r="24" spans="5:10" ht="15.75" customHeight="1" x14ac:dyDescent="0.3">
      <c r="E24" s="3"/>
      <c r="J24" s="4"/>
    </row>
    <row r="25" spans="5:10" ht="15.75" customHeight="1" x14ac:dyDescent="0.3">
      <c r="E25" s="3"/>
      <c r="J25" s="4"/>
    </row>
    <row r="26" spans="5:10" ht="15.75" customHeight="1" x14ac:dyDescent="0.3">
      <c r="E26" s="3"/>
      <c r="J26" s="4"/>
    </row>
    <row r="27" spans="5:10" ht="15.75" customHeight="1" x14ac:dyDescent="0.3">
      <c r="E27" s="3"/>
      <c r="J27" s="4"/>
    </row>
    <row r="28" spans="5:10" ht="15.75" customHeight="1" x14ac:dyDescent="0.3">
      <c r="E28" s="3"/>
      <c r="J28" s="4"/>
    </row>
    <row r="29" spans="5:10" ht="15.75" customHeight="1" x14ac:dyDescent="0.3">
      <c r="E29" s="3"/>
      <c r="J29" s="4"/>
    </row>
    <row r="30" spans="5:10" ht="15.75" customHeight="1" x14ac:dyDescent="0.3">
      <c r="E30" s="3"/>
      <c r="J30" s="4"/>
    </row>
    <row r="31" spans="5:10" ht="15.75" customHeight="1" x14ac:dyDescent="0.3">
      <c r="E31" s="3"/>
      <c r="J31" s="4"/>
    </row>
    <row r="32" spans="5:10" ht="15.75" customHeight="1" x14ac:dyDescent="0.3">
      <c r="E32" s="3"/>
      <c r="J32" s="4"/>
    </row>
    <row r="33" spans="5:10" ht="15.75" customHeight="1" x14ac:dyDescent="0.3">
      <c r="E33" s="3"/>
      <c r="J33" s="4"/>
    </row>
    <row r="34" spans="5:10" ht="15.75" customHeight="1" x14ac:dyDescent="0.3">
      <c r="E34" s="3"/>
      <c r="J34" s="4"/>
    </row>
    <row r="35" spans="5:10" ht="15.75" customHeight="1" x14ac:dyDescent="0.3">
      <c r="E35" s="3"/>
      <c r="J35" s="4"/>
    </row>
    <row r="36" spans="5:10" ht="15.75" customHeight="1" x14ac:dyDescent="0.3">
      <c r="E36" s="3"/>
      <c r="J36" s="4"/>
    </row>
    <row r="37" spans="5:10" ht="15.75" customHeight="1" x14ac:dyDescent="0.3">
      <c r="E37" s="3"/>
      <c r="J37" s="4"/>
    </row>
    <row r="38" spans="5:10" ht="15.75" customHeight="1" x14ac:dyDescent="0.3">
      <c r="E38" s="3"/>
      <c r="J38" s="4"/>
    </row>
    <row r="39" spans="5:10" ht="15.75" customHeight="1" x14ac:dyDescent="0.3">
      <c r="E39" s="3"/>
      <c r="J39" s="4"/>
    </row>
    <row r="40" spans="5:10" ht="15.75" customHeight="1" x14ac:dyDescent="0.3">
      <c r="E40" s="3"/>
      <c r="J40" s="4"/>
    </row>
    <row r="41" spans="5:10" ht="15.75" customHeight="1" x14ac:dyDescent="0.3">
      <c r="E41" s="3"/>
      <c r="J41" s="4"/>
    </row>
    <row r="42" spans="5:10" ht="15.75" customHeight="1" x14ac:dyDescent="0.3">
      <c r="E42" s="3"/>
      <c r="J42" s="4"/>
    </row>
    <row r="43" spans="5:10" ht="15.75" customHeight="1" x14ac:dyDescent="0.3">
      <c r="E43" s="3"/>
      <c r="J43" s="4"/>
    </row>
    <row r="44" spans="5:10" ht="15.75" customHeight="1" x14ac:dyDescent="0.3">
      <c r="E44" s="3"/>
      <c r="J44" s="4"/>
    </row>
    <row r="45" spans="5:10" ht="15.75" customHeight="1" x14ac:dyDescent="0.3">
      <c r="E45" s="3"/>
      <c r="J45" s="4"/>
    </row>
    <row r="46" spans="5:10" ht="15.75" customHeight="1" x14ac:dyDescent="0.3">
      <c r="E46" s="3"/>
      <c r="J46" s="4"/>
    </row>
    <row r="47" spans="5:10" ht="15.75" customHeight="1" x14ac:dyDescent="0.3">
      <c r="E47" s="3"/>
      <c r="J47" s="4"/>
    </row>
    <row r="48" spans="5:10" ht="15.75" customHeight="1" x14ac:dyDescent="0.3">
      <c r="E48" s="3"/>
      <c r="J48" s="4"/>
    </row>
    <row r="49" spans="5:10" ht="15.75" customHeight="1" x14ac:dyDescent="0.3">
      <c r="E49" s="3"/>
      <c r="J49" s="4"/>
    </row>
    <row r="50" spans="5:10" ht="15.75" customHeight="1" x14ac:dyDescent="0.3">
      <c r="E50" s="3"/>
      <c r="J50" s="4"/>
    </row>
    <row r="51" spans="5:10" ht="15.75" customHeight="1" x14ac:dyDescent="0.3">
      <c r="E51" s="3"/>
      <c r="J51" s="4"/>
    </row>
    <row r="52" spans="5:10" ht="15.75" customHeight="1" x14ac:dyDescent="0.3">
      <c r="E52" s="3"/>
      <c r="J52" s="4"/>
    </row>
    <row r="53" spans="5:10" ht="15.75" customHeight="1" x14ac:dyDescent="0.3">
      <c r="E53" s="3"/>
      <c r="J53" s="4"/>
    </row>
    <row r="54" spans="5:10" ht="15.75" customHeight="1" x14ac:dyDescent="0.3">
      <c r="E54" s="3"/>
      <c r="J54" s="4"/>
    </row>
    <row r="55" spans="5:10" ht="15.75" customHeight="1" x14ac:dyDescent="0.3">
      <c r="E55" s="3"/>
      <c r="J55" s="4"/>
    </row>
    <row r="56" spans="5:10" ht="15.75" customHeight="1" x14ac:dyDescent="0.3">
      <c r="E56" s="3"/>
      <c r="J56" s="4"/>
    </row>
    <row r="57" spans="5:10" ht="15.75" customHeight="1" x14ac:dyDescent="0.3">
      <c r="E57" s="3"/>
      <c r="J57" s="4"/>
    </row>
    <row r="58" spans="5:10" ht="15.75" customHeight="1" x14ac:dyDescent="0.3">
      <c r="E58" s="3"/>
      <c r="J58" s="4"/>
    </row>
    <row r="59" spans="5:10" ht="15.75" customHeight="1" x14ac:dyDescent="0.3">
      <c r="E59" s="3"/>
      <c r="J59" s="4"/>
    </row>
    <row r="60" spans="5:10" ht="15.75" customHeight="1" x14ac:dyDescent="0.3">
      <c r="E60" s="3"/>
      <c r="J60" s="4"/>
    </row>
    <row r="61" spans="5:10" ht="15.75" customHeight="1" x14ac:dyDescent="0.3">
      <c r="E61" s="3"/>
      <c r="J61" s="4"/>
    </row>
    <row r="62" spans="5:10" ht="15.75" customHeight="1" x14ac:dyDescent="0.3">
      <c r="E62" s="3"/>
      <c r="J62" s="4"/>
    </row>
    <row r="63" spans="5:10" ht="15.75" customHeight="1" x14ac:dyDescent="0.3">
      <c r="E63" s="3"/>
      <c r="J63" s="4"/>
    </row>
    <row r="64" spans="5:10" ht="15.75" customHeight="1" x14ac:dyDescent="0.3">
      <c r="E64" s="3"/>
      <c r="J64" s="4"/>
    </row>
    <row r="65" spans="5:10" ht="15.75" customHeight="1" x14ac:dyDescent="0.3">
      <c r="E65" s="3"/>
      <c r="J65" s="4"/>
    </row>
    <row r="66" spans="5:10" ht="15.75" customHeight="1" x14ac:dyDescent="0.3">
      <c r="E66" s="3"/>
      <c r="J66" s="4"/>
    </row>
    <row r="67" spans="5:10" ht="15.75" customHeight="1" x14ac:dyDescent="0.3">
      <c r="E67" s="3"/>
      <c r="J67" s="4"/>
    </row>
    <row r="68" spans="5:10" ht="15.75" customHeight="1" x14ac:dyDescent="0.3">
      <c r="E68" s="3"/>
      <c r="J68" s="4"/>
    </row>
    <row r="69" spans="5:10" ht="15.75" customHeight="1" x14ac:dyDescent="0.3">
      <c r="E69" s="3"/>
      <c r="J69" s="4"/>
    </row>
    <row r="70" spans="5:10" ht="15.75" customHeight="1" x14ac:dyDescent="0.3">
      <c r="E70" s="3"/>
      <c r="J70" s="4"/>
    </row>
    <row r="71" spans="5:10" ht="15.75" customHeight="1" x14ac:dyDescent="0.3">
      <c r="E71" s="3"/>
      <c r="J71" s="4"/>
    </row>
    <row r="72" spans="5:10" ht="15.75" customHeight="1" x14ac:dyDescent="0.3">
      <c r="E72" s="3"/>
      <c r="J72" s="4"/>
    </row>
    <row r="73" spans="5:10" ht="15.75" customHeight="1" x14ac:dyDescent="0.3">
      <c r="E73" s="3"/>
      <c r="J73" s="4"/>
    </row>
    <row r="74" spans="5:10" ht="15.75" customHeight="1" x14ac:dyDescent="0.3">
      <c r="E74" s="3"/>
      <c r="J74" s="4"/>
    </row>
    <row r="75" spans="5:10" ht="15.75" customHeight="1" x14ac:dyDescent="0.3">
      <c r="E75" s="3"/>
      <c r="J75" s="4"/>
    </row>
    <row r="76" spans="5:10" ht="15.75" customHeight="1" x14ac:dyDescent="0.3">
      <c r="E76" s="3"/>
      <c r="J76" s="4"/>
    </row>
    <row r="77" spans="5:10" ht="15.75" customHeight="1" x14ac:dyDescent="0.3">
      <c r="E77" s="3"/>
      <c r="J77" s="4"/>
    </row>
    <row r="78" spans="5:10" ht="15.75" customHeight="1" x14ac:dyDescent="0.3">
      <c r="E78" s="3"/>
      <c r="J78" s="4"/>
    </row>
    <row r="79" spans="5:10" ht="15.75" customHeight="1" x14ac:dyDescent="0.3">
      <c r="E79" s="3"/>
      <c r="J79" s="4"/>
    </row>
    <row r="80" spans="5:10" ht="15.75" customHeight="1" x14ac:dyDescent="0.3">
      <c r="E80" s="3"/>
      <c r="J80" s="4"/>
    </row>
    <row r="81" spans="5:10" ht="15.75" customHeight="1" x14ac:dyDescent="0.3">
      <c r="E81" s="3"/>
      <c r="J81" s="4"/>
    </row>
    <row r="82" spans="5:10" ht="15.75" customHeight="1" x14ac:dyDescent="0.3">
      <c r="E82" s="3"/>
      <c r="J82" s="4"/>
    </row>
    <row r="83" spans="5:10" ht="15.75" customHeight="1" x14ac:dyDescent="0.3">
      <c r="E83" s="3"/>
      <c r="J83" s="4"/>
    </row>
    <row r="84" spans="5:10" ht="15.75" customHeight="1" x14ac:dyDescent="0.3">
      <c r="E84" s="3"/>
      <c r="J84" s="4"/>
    </row>
    <row r="85" spans="5:10" ht="15.75" customHeight="1" x14ac:dyDescent="0.3">
      <c r="E85" s="3"/>
      <c r="J85" s="4"/>
    </row>
    <row r="86" spans="5:10" ht="15.75" customHeight="1" x14ac:dyDescent="0.3">
      <c r="E86" s="3"/>
      <c r="J86" s="4"/>
    </row>
    <row r="87" spans="5:10" ht="15.75" customHeight="1" x14ac:dyDescent="0.3">
      <c r="E87" s="3"/>
      <c r="J87" s="4"/>
    </row>
    <row r="88" spans="5:10" ht="15.75" customHeight="1" x14ac:dyDescent="0.3">
      <c r="E88" s="3"/>
      <c r="J88" s="4"/>
    </row>
    <row r="89" spans="5:10" ht="15.75" customHeight="1" x14ac:dyDescent="0.3">
      <c r="E89" s="3"/>
      <c r="J89" s="4"/>
    </row>
    <row r="90" spans="5:10" ht="15.75" customHeight="1" x14ac:dyDescent="0.3">
      <c r="E90" s="3"/>
      <c r="J90" s="4"/>
    </row>
    <row r="91" spans="5:10" ht="15.75" customHeight="1" x14ac:dyDescent="0.3">
      <c r="E91" s="3"/>
      <c r="J91" s="4"/>
    </row>
    <row r="92" spans="5:10" ht="15.75" customHeight="1" x14ac:dyDescent="0.3">
      <c r="E92" s="3"/>
      <c r="J92" s="4"/>
    </row>
    <row r="93" spans="5:10" ht="15.75" customHeight="1" x14ac:dyDescent="0.3">
      <c r="E93" s="3"/>
      <c r="J93" s="4"/>
    </row>
    <row r="94" spans="5:10" ht="15.75" customHeight="1" x14ac:dyDescent="0.3">
      <c r="E94" s="3"/>
      <c r="J94" s="4"/>
    </row>
    <row r="95" spans="5:10" ht="15.75" customHeight="1" x14ac:dyDescent="0.3">
      <c r="E95" s="3"/>
      <c r="J95" s="4"/>
    </row>
    <row r="96" spans="5:10" ht="15.75" customHeight="1" x14ac:dyDescent="0.3">
      <c r="E96" s="3"/>
      <c r="J96" s="4"/>
    </row>
    <row r="97" spans="5:10" ht="15.75" customHeight="1" x14ac:dyDescent="0.3">
      <c r="E97" s="3"/>
      <c r="J97" s="4"/>
    </row>
    <row r="98" spans="5:10" ht="15.75" customHeight="1" x14ac:dyDescent="0.3">
      <c r="E98" s="3"/>
      <c r="J98" s="4"/>
    </row>
    <row r="99" spans="5:10" ht="15.75" customHeight="1" x14ac:dyDescent="0.3">
      <c r="E99" s="3"/>
      <c r="J99" s="4"/>
    </row>
    <row r="100" spans="5:10" ht="15.75" customHeight="1" x14ac:dyDescent="0.3">
      <c r="E100" s="3"/>
      <c r="J100" s="4"/>
    </row>
    <row r="101" spans="5:10" ht="15.75" customHeight="1" x14ac:dyDescent="0.3">
      <c r="E101" s="3"/>
      <c r="J101" s="4"/>
    </row>
    <row r="102" spans="5:10" ht="15.75" customHeight="1" x14ac:dyDescent="0.3">
      <c r="E102" s="3"/>
      <c r="J102" s="4"/>
    </row>
    <row r="103" spans="5:10" ht="15.75" customHeight="1" x14ac:dyDescent="0.3">
      <c r="E103" s="3"/>
      <c r="J103" s="4"/>
    </row>
    <row r="104" spans="5:10" ht="15.75" customHeight="1" x14ac:dyDescent="0.3">
      <c r="E104" s="3"/>
      <c r="J104" s="4"/>
    </row>
    <row r="105" spans="5:10" ht="15.75" customHeight="1" x14ac:dyDescent="0.3">
      <c r="E105" s="3"/>
      <c r="J105" s="4"/>
    </row>
    <row r="106" spans="5:10" ht="15.75" customHeight="1" x14ac:dyDescent="0.3">
      <c r="E106" s="3"/>
      <c r="J106" s="4"/>
    </row>
    <row r="107" spans="5:10" ht="15.75" customHeight="1" x14ac:dyDescent="0.3">
      <c r="E107" s="3"/>
      <c r="J107" s="4"/>
    </row>
    <row r="108" spans="5:10" ht="15.75" customHeight="1" x14ac:dyDescent="0.3">
      <c r="E108" s="3"/>
      <c r="J108" s="4"/>
    </row>
    <row r="109" spans="5:10" ht="15.75" customHeight="1" x14ac:dyDescent="0.3">
      <c r="E109" s="3"/>
      <c r="J109" s="4"/>
    </row>
    <row r="110" spans="5:10" ht="15.75" customHeight="1" x14ac:dyDescent="0.3">
      <c r="E110" s="3"/>
      <c r="J110" s="4"/>
    </row>
    <row r="111" spans="5:10" ht="15.75" customHeight="1" x14ac:dyDescent="0.3">
      <c r="E111" s="3"/>
      <c r="J111" s="4"/>
    </row>
    <row r="112" spans="5:10" ht="15.75" customHeight="1" x14ac:dyDescent="0.3">
      <c r="E112" s="3"/>
      <c r="J112" s="4"/>
    </row>
    <row r="113" spans="5:10" ht="15.75" customHeight="1" x14ac:dyDescent="0.3">
      <c r="E113" s="3"/>
      <c r="J113" s="4"/>
    </row>
    <row r="114" spans="5:10" ht="15.75" customHeight="1" x14ac:dyDescent="0.3">
      <c r="E114" s="3"/>
      <c r="J114" s="4"/>
    </row>
    <row r="115" spans="5:10" ht="15.75" customHeight="1" x14ac:dyDescent="0.3">
      <c r="E115" s="3"/>
      <c r="J115" s="4"/>
    </row>
    <row r="116" spans="5:10" ht="15.75" customHeight="1" x14ac:dyDescent="0.3">
      <c r="E116" s="3"/>
      <c r="J116" s="4"/>
    </row>
    <row r="117" spans="5:10" ht="15.75" customHeight="1" x14ac:dyDescent="0.3">
      <c r="E117" s="3"/>
      <c r="J117" s="4"/>
    </row>
    <row r="118" spans="5:10" ht="15.75" customHeight="1" x14ac:dyDescent="0.3">
      <c r="E118" s="3"/>
      <c r="J118" s="4"/>
    </row>
    <row r="119" spans="5:10" ht="15.75" customHeight="1" x14ac:dyDescent="0.3">
      <c r="E119" s="3"/>
      <c r="J119" s="4"/>
    </row>
    <row r="120" spans="5:10" ht="15.75" customHeight="1" x14ac:dyDescent="0.3">
      <c r="E120" s="3"/>
      <c r="J120" s="4"/>
    </row>
    <row r="121" spans="5:10" ht="15.75" customHeight="1" x14ac:dyDescent="0.3">
      <c r="E121" s="3"/>
      <c r="J121" s="4"/>
    </row>
    <row r="122" spans="5:10" ht="15.75" customHeight="1" x14ac:dyDescent="0.3">
      <c r="E122" s="3"/>
      <c r="J122" s="4"/>
    </row>
    <row r="123" spans="5:10" ht="15.75" customHeight="1" x14ac:dyDescent="0.3">
      <c r="E123" s="3"/>
      <c r="J123" s="4"/>
    </row>
    <row r="124" spans="5:10" ht="15.75" customHeight="1" x14ac:dyDescent="0.3">
      <c r="E124" s="3"/>
      <c r="J124" s="4"/>
    </row>
    <row r="125" spans="5:10" ht="15.75" customHeight="1" x14ac:dyDescent="0.3">
      <c r="E125" s="3"/>
      <c r="J125" s="4"/>
    </row>
    <row r="126" spans="5:10" ht="15.75" customHeight="1" x14ac:dyDescent="0.3">
      <c r="E126" s="3"/>
      <c r="J126" s="4"/>
    </row>
    <row r="127" spans="5:10" ht="15.75" customHeight="1" x14ac:dyDescent="0.3">
      <c r="E127" s="3"/>
      <c r="J127" s="4"/>
    </row>
    <row r="128" spans="5:10" ht="15.75" customHeight="1" x14ac:dyDescent="0.3">
      <c r="E128" s="3"/>
      <c r="J128" s="4"/>
    </row>
    <row r="129" spans="5:10" ht="15.75" customHeight="1" x14ac:dyDescent="0.3">
      <c r="E129" s="3"/>
      <c r="J129" s="4"/>
    </row>
    <row r="130" spans="5:10" ht="15.75" customHeight="1" x14ac:dyDescent="0.3">
      <c r="E130" s="3"/>
      <c r="J130" s="4"/>
    </row>
    <row r="131" spans="5:10" ht="15.75" customHeight="1" x14ac:dyDescent="0.3">
      <c r="E131" s="3"/>
      <c r="J131" s="4"/>
    </row>
    <row r="132" spans="5:10" ht="15.75" customHeight="1" x14ac:dyDescent="0.3">
      <c r="E132" s="3"/>
      <c r="J132" s="4"/>
    </row>
    <row r="133" spans="5:10" ht="15.75" customHeight="1" x14ac:dyDescent="0.3">
      <c r="E133" s="3"/>
      <c r="J133" s="4"/>
    </row>
    <row r="134" spans="5:10" ht="15.75" customHeight="1" x14ac:dyDescent="0.3">
      <c r="E134" s="3"/>
      <c r="J134" s="4"/>
    </row>
    <row r="135" spans="5:10" ht="15.75" customHeight="1" x14ac:dyDescent="0.3">
      <c r="E135" s="3"/>
      <c r="J135" s="4"/>
    </row>
    <row r="136" spans="5:10" ht="15.75" customHeight="1" x14ac:dyDescent="0.3">
      <c r="E136" s="3"/>
      <c r="J136" s="4"/>
    </row>
    <row r="137" spans="5:10" ht="15.75" customHeight="1" x14ac:dyDescent="0.3">
      <c r="E137" s="3"/>
      <c r="J137" s="4"/>
    </row>
    <row r="138" spans="5:10" ht="15.75" customHeight="1" x14ac:dyDescent="0.3">
      <c r="E138" s="3"/>
      <c r="J138" s="4"/>
    </row>
    <row r="139" spans="5:10" ht="15.75" customHeight="1" x14ac:dyDescent="0.3">
      <c r="E139" s="3"/>
      <c r="J139" s="4"/>
    </row>
    <row r="140" spans="5:10" ht="15.75" customHeight="1" x14ac:dyDescent="0.3">
      <c r="E140" s="3"/>
      <c r="J140" s="4"/>
    </row>
    <row r="141" spans="5:10" ht="15.75" customHeight="1" x14ac:dyDescent="0.3">
      <c r="E141" s="3"/>
      <c r="J141" s="4"/>
    </row>
    <row r="142" spans="5:10" ht="15.75" customHeight="1" x14ac:dyDescent="0.3">
      <c r="E142" s="3"/>
      <c r="J142" s="4"/>
    </row>
    <row r="143" spans="5:10" ht="15.75" customHeight="1" x14ac:dyDescent="0.3">
      <c r="E143" s="3"/>
      <c r="J143" s="4"/>
    </row>
    <row r="144" spans="5:10" ht="15.75" customHeight="1" x14ac:dyDescent="0.3">
      <c r="E144" s="3"/>
      <c r="J144" s="4"/>
    </row>
    <row r="145" spans="5:10" ht="15.75" customHeight="1" x14ac:dyDescent="0.3">
      <c r="E145" s="3"/>
      <c r="J145" s="4"/>
    </row>
    <row r="146" spans="5:10" ht="15.75" customHeight="1" x14ac:dyDescent="0.3">
      <c r="E146" s="3"/>
      <c r="J146" s="4"/>
    </row>
    <row r="147" spans="5:10" ht="15.75" customHeight="1" x14ac:dyDescent="0.3">
      <c r="E147" s="3"/>
      <c r="J147" s="4"/>
    </row>
    <row r="148" spans="5:10" ht="15.75" customHeight="1" x14ac:dyDescent="0.3">
      <c r="E148" s="3"/>
      <c r="J148" s="4"/>
    </row>
    <row r="149" spans="5:10" ht="15.75" customHeight="1" x14ac:dyDescent="0.3">
      <c r="E149" s="3"/>
      <c r="J149" s="4"/>
    </row>
    <row r="150" spans="5:10" ht="15.75" customHeight="1" x14ac:dyDescent="0.3">
      <c r="E150" s="3"/>
      <c r="J150" s="4"/>
    </row>
    <row r="151" spans="5:10" ht="15.75" customHeight="1" x14ac:dyDescent="0.3">
      <c r="E151" s="3"/>
      <c r="J151" s="4"/>
    </row>
    <row r="152" spans="5:10" ht="15.75" customHeight="1" x14ac:dyDescent="0.3">
      <c r="E152" s="3"/>
      <c r="J152" s="4"/>
    </row>
    <row r="153" spans="5:10" ht="15.75" customHeight="1" x14ac:dyDescent="0.3">
      <c r="E153" s="3"/>
      <c r="J153" s="4"/>
    </row>
    <row r="154" spans="5:10" ht="15.75" customHeight="1" x14ac:dyDescent="0.3">
      <c r="E154" s="3"/>
      <c r="J154" s="4"/>
    </row>
    <row r="155" spans="5:10" ht="15.75" customHeight="1" x14ac:dyDescent="0.3">
      <c r="E155" s="3"/>
      <c r="J155" s="4"/>
    </row>
    <row r="156" spans="5:10" ht="15.75" customHeight="1" x14ac:dyDescent="0.3">
      <c r="E156" s="3"/>
      <c r="J156" s="4"/>
    </row>
    <row r="157" spans="5:10" ht="15.75" customHeight="1" x14ac:dyDescent="0.3">
      <c r="E157" s="3"/>
      <c r="J157" s="4"/>
    </row>
    <row r="158" spans="5:10" ht="15.75" customHeight="1" x14ac:dyDescent="0.3">
      <c r="E158" s="3"/>
      <c r="J158" s="4"/>
    </row>
    <row r="159" spans="5:10" ht="15.75" customHeight="1" x14ac:dyDescent="0.3">
      <c r="E159" s="3"/>
      <c r="J159" s="4"/>
    </row>
    <row r="160" spans="5:10" ht="15.75" customHeight="1" x14ac:dyDescent="0.3">
      <c r="E160" s="3"/>
      <c r="J160" s="4"/>
    </row>
    <row r="161" spans="5:10" ht="15.75" customHeight="1" x14ac:dyDescent="0.3">
      <c r="E161" s="3"/>
      <c r="J161" s="4"/>
    </row>
    <row r="162" spans="5:10" ht="15.75" customHeight="1" x14ac:dyDescent="0.3">
      <c r="E162" s="3"/>
      <c r="J162" s="4"/>
    </row>
    <row r="163" spans="5:10" ht="15.75" customHeight="1" x14ac:dyDescent="0.3">
      <c r="E163" s="3"/>
      <c r="J163" s="4"/>
    </row>
    <row r="164" spans="5:10" ht="15.75" customHeight="1" x14ac:dyDescent="0.3">
      <c r="E164" s="3"/>
      <c r="J164" s="4"/>
    </row>
    <row r="165" spans="5:10" ht="15.75" customHeight="1" x14ac:dyDescent="0.3">
      <c r="E165" s="3"/>
      <c r="J165" s="4"/>
    </row>
    <row r="166" spans="5:10" ht="15.75" customHeight="1" x14ac:dyDescent="0.3">
      <c r="E166" s="3"/>
      <c r="J166" s="4"/>
    </row>
    <row r="167" spans="5:10" ht="15.75" customHeight="1" x14ac:dyDescent="0.3">
      <c r="E167" s="3"/>
      <c r="J167" s="4"/>
    </row>
    <row r="168" spans="5:10" ht="15.75" customHeight="1" x14ac:dyDescent="0.3">
      <c r="E168" s="3"/>
      <c r="J168" s="4"/>
    </row>
    <row r="169" spans="5:10" ht="15.75" customHeight="1" x14ac:dyDescent="0.3">
      <c r="E169" s="3"/>
      <c r="J169" s="4"/>
    </row>
    <row r="170" spans="5:10" ht="15.75" customHeight="1" x14ac:dyDescent="0.3">
      <c r="E170" s="3"/>
      <c r="J170" s="4"/>
    </row>
    <row r="171" spans="5:10" ht="15.75" customHeight="1" x14ac:dyDescent="0.3">
      <c r="E171" s="3"/>
      <c r="J171" s="4"/>
    </row>
    <row r="172" spans="5:10" ht="15.75" customHeight="1" x14ac:dyDescent="0.3">
      <c r="E172" s="3"/>
      <c r="J172" s="4"/>
    </row>
    <row r="173" spans="5:10" ht="15.75" customHeight="1" x14ac:dyDescent="0.3">
      <c r="E173" s="3"/>
      <c r="J173" s="4"/>
    </row>
    <row r="174" spans="5:10" ht="15.75" customHeight="1" x14ac:dyDescent="0.3">
      <c r="E174" s="3"/>
      <c r="J174" s="4"/>
    </row>
    <row r="175" spans="5:10" ht="15.75" customHeight="1" x14ac:dyDescent="0.3">
      <c r="E175" s="3"/>
      <c r="J175" s="4"/>
    </row>
    <row r="176" spans="5:10" ht="15.75" customHeight="1" x14ac:dyDescent="0.3">
      <c r="E176" s="3"/>
      <c r="J176" s="4"/>
    </row>
    <row r="177" spans="5:10" ht="15.75" customHeight="1" x14ac:dyDescent="0.3">
      <c r="E177" s="3"/>
      <c r="J177" s="4"/>
    </row>
    <row r="178" spans="5:10" ht="15.75" customHeight="1" x14ac:dyDescent="0.3">
      <c r="E178" s="3"/>
      <c r="J178" s="4"/>
    </row>
    <row r="179" spans="5:10" ht="15.75" customHeight="1" x14ac:dyDescent="0.3">
      <c r="E179" s="3"/>
      <c r="J179" s="4"/>
    </row>
    <row r="180" spans="5:10" ht="15.75" customHeight="1" x14ac:dyDescent="0.3">
      <c r="E180" s="3"/>
      <c r="J180" s="4"/>
    </row>
    <row r="181" spans="5:10" ht="15.75" customHeight="1" x14ac:dyDescent="0.3">
      <c r="E181" s="3"/>
      <c r="J181" s="4"/>
    </row>
    <row r="182" spans="5:10" ht="15.75" customHeight="1" x14ac:dyDescent="0.3">
      <c r="E182" s="3"/>
      <c r="J182" s="4"/>
    </row>
    <row r="183" spans="5:10" ht="15.75" customHeight="1" x14ac:dyDescent="0.3">
      <c r="E183" s="3"/>
      <c r="J183" s="4"/>
    </row>
    <row r="184" spans="5:10" ht="15.75" customHeight="1" x14ac:dyDescent="0.3">
      <c r="E184" s="3"/>
      <c r="J184" s="4"/>
    </row>
    <row r="185" spans="5:10" ht="15.75" customHeight="1" x14ac:dyDescent="0.3">
      <c r="E185" s="3"/>
      <c r="J185" s="4"/>
    </row>
    <row r="186" spans="5:10" ht="15.75" customHeight="1" x14ac:dyDescent="0.3">
      <c r="E186" s="3"/>
      <c r="J186" s="4"/>
    </row>
    <row r="187" spans="5:10" ht="15.75" customHeight="1" x14ac:dyDescent="0.3">
      <c r="E187" s="3"/>
      <c r="J187" s="4"/>
    </row>
    <row r="188" spans="5:10" ht="15.75" customHeight="1" x14ac:dyDescent="0.3">
      <c r="E188" s="3"/>
      <c r="J188" s="4"/>
    </row>
    <row r="189" spans="5:10" ht="15.75" customHeight="1" x14ac:dyDescent="0.3">
      <c r="E189" s="3"/>
      <c r="J189" s="4"/>
    </row>
    <row r="190" spans="5:10" ht="15.75" customHeight="1" x14ac:dyDescent="0.3">
      <c r="E190" s="3"/>
      <c r="J190" s="4"/>
    </row>
    <row r="191" spans="5:10" ht="15.75" customHeight="1" x14ac:dyDescent="0.3">
      <c r="E191" s="3"/>
      <c r="J191" s="4"/>
    </row>
    <row r="192" spans="5:10" ht="15.75" customHeight="1" x14ac:dyDescent="0.3">
      <c r="E192" s="3"/>
      <c r="J192" s="4"/>
    </row>
    <row r="193" spans="5:10" ht="15.75" customHeight="1" x14ac:dyDescent="0.3">
      <c r="E193" s="3"/>
      <c r="J193" s="4"/>
    </row>
    <row r="194" spans="5:10" ht="15.75" customHeight="1" x14ac:dyDescent="0.3">
      <c r="E194" s="3"/>
      <c r="J194" s="4"/>
    </row>
    <row r="195" spans="5:10" ht="15.75" customHeight="1" x14ac:dyDescent="0.3">
      <c r="E195" s="3"/>
      <c r="J195" s="4"/>
    </row>
    <row r="196" spans="5:10" ht="15.75" customHeight="1" x14ac:dyDescent="0.3">
      <c r="E196" s="3"/>
      <c r="J196" s="4"/>
    </row>
    <row r="197" spans="5:10" ht="15.75" customHeight="1" x14ac:dyDescent="0.3">
      <c r="E197" s="3"/>
      <c r="J197" s="4"/>
    </row>
    <row r="198" spans="5:10" ht="15.75" customHeight="1" x14ac:dyDescent="0.3">
      <c r="E198" s="3"/>
      <c r="J198" s="4"/>
    </row>
    <row r="199" spans="5:10" ht="15.75" customHeight="1" x14ac:dyDescent="0.3">
      <c r="E199" s="3"/>
      <c r="J199" s="4"/>
    </row>
    <row r="200" spans="5:10" ht="15.75" customHeight="1" x14ac:dyDescent="0.3">
      <c r="E200" s="3"/>
      <c r="J200" s="4"/>
    </row>
    <row r="201" spans="5:10" ht="15.75" customHeight="1" x14ac:dyDescent="0.3">
      <c r="E201" s="3"/>
      <c r="J201" s="4"/>
    </row>
    <row r="202" spans="5:10" ht="15.75" customHeight="1" x14ac:dyDescent="0.3">
      <c r="E202" s="3"/>
      <c r="J202" s="4"/>
    </row>
    <row r="203" spans="5:10" ht="15.75" customHeight="1" x14ac:dyDescent="0.3">
      <c r="E203" s="3"/>
      <c r="J203" s="4"/>
    </row>
    <row r="204" spans="5:10" ht="15.75" customHeight="1" x14ac:dyDescent="0.3">
      <c r="E204" s="3"/>
      <c r="J204" s="4"/>
    </row>
    <row r="205" spans="5:10" ht="15.75" customHeight="1" x14ac:dyDescent="0.3">
      <c r="E205" s="3"/>
      <c r="J205" s="4"/>
    </row>
    <row r="206" spans="5:10" ht="15.75" customHeight="1" x14ac:dyDescent="0.3">
      <c r="E206" s="3"/>
      <c r="J206" s="4"/>
    </row>
    <row r="207" spans="5:10" ht="15.75" customHeight="1" x14ac:dyDescent="0.3">
      <c r="E207" s="3"/>
      <c r="J207" s="4"/>
    </row>
    <row r="208" spans="5:10" ht="15.75" customHeight="1" x14ac:dyDescent="0.3">
      <c r="E208" s="3"/>
      <c r="J208" s="4"/>
    </row>
    <row r="209" spans="5:10" ht="15.75" customHeight="1" x14ac:dyDescent="0.3">
      <c r="E209" s="3"/>
      <c r="J209" s="4"/>
    </row>
    <row r="210" spans="5:10" ht="15.75" customHeight="1" x14ac:dyDescent="0.3">
      <c r="E210" s="3"/>
      <c r="J210" s="4"/>
    </row>
    <row r="211" spans="5:10" ht="15.75" customHeight="1" x14ac:dyDescent="0.3">
      <c r="E211" s="3"/>
      <c r="J211" s="4"/>
    </row>
    <row r="212" spans="5:10" ht="15.75" customHeight="1" x14ac:dyDescent="0.3">
      <c r="E212" s="3"/>
      <c r="J212" s="4"/>
    </row>
    <row r="213" spans="5:10" ht="15.75" customHeight="1" x14ac:dyDescent="0.3">
      <c r="E213" s="3"/>
      <c r="J213" s="4"/>
    </row>
    <row r="214" spans="5:10" ht="15.75" customHeight="1" x14ac:dyDescent="0.3">
      <c r="E214" s="3"/>
      <c r="J214" s="4"/>
    </row>
    <row r="215" spans="5:10" ht="15.75" customHeight="1" x14ac:dyDescent="0.3">
      <c r="E215" s="3"/>
      <c r="J215" s="4"/>
    </row>
    <row r="216" spans="5:10" ht="15.75" customHeight="1" x14ac:dyDescent="0.3">
      <c r="E216" s="3"/>
      <c r="J216" s="4"/>
    </row>
    <row r="217" spans="5:10" ht="15.75" customHeight="1" x14ac:dyDescent="0.3">
      <c r="E217" s="3"/>
      <c r="J217" s="4"/>
    </row>
    <row r="218" spans="5:10" ht="15.75" customHeight="1" x14ac:dyDescent="0.3">
      <c r="E218" s="3"/>
      <c r="J218" s="4"/>
    </row>
    <row r="219" spans="5:10" ht="15.75" customHeight="1" x14ac:dyDescent="0.3">
      <c r="E219" s="3"/>
      <c r="J219" s="4"/>
    </row>
    <row r="220" spans="5:10" ht="15.75" customHeight="1" x14ac:dyDescent="0.3">
      <c r="E220" s="3"/>
      <c r="J220" s="4"/>
    </row>
    <row r="221" spans="5:10" ht="15.75" customHeight="1" x14ac:dyDescent="0.3"/>
    <row r="222" spans="5:10" ht="15.75" customHeight="1" x14ac:dyDescent="0.3"/>
    <row r="223" spans="5:10" ht="15.75" customHeight="1" x14ac:dyDescent="0.3"/>
    <row r="224" spans="5:10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5" top="0.5" bottom="0.5" header="0" footer="0"/>
  <pageSetup orientation="portrait" r:id="rId1"/>
  <ignoredErrors>
    <ignoredError sqref="V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83</v>
      </c>
      <c r="D3" s="86" t="s">
        <v>39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47:D47"/>
    <mergeCell ref="E47:F47"/>
    <mergeCell ref="A1:F1"/>
    <mergeCell ref="C53:D53"/>
    <mergeCell ref="E53:F53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83</v>
      </c>
      <c r="D3" s="86" t="s">
        <v>81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83</v>
      </c>
      <c r="D3" s="86" t="s">
        <v>82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C4" sqref="C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83</v>
      </c>
      <c r="D3" s="86"/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87</v>
      </c>
      <c r="D3" s="86" t="s">
        <v>84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87</v>
      </c>
      <c r="D3" s="86" t="s">
        <v>85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E9" sqref="E9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87</v>
      </c>
      <c r="D3" s="86" t="s">
        <v>86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C4" sqref="C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87</v>
      </c>
      <c r="D3" s="86"/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91</v>
      </c>
      <c r="D3" s="86" t="s">
        <v>88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91</v>
      </c>
      <c r="D3" s="86" t="s">
        <v>89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91</v>
      </c>
      <c r="D3" s="86" t="s">
        <v>90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C4" sqref="C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91</v>
      </c>
      <c r="D3" s="86"/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95</v>
      </c>
      <c r="D3" s="86" t="s">
        <v>92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4" sqref="D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95</v>
      </c>
      <c r="D3" s="86" t="s">
        <v>93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D3" sqref="D3:E3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95</v>
      </c>
      <c r="D3" s="86" t="s">
        <v>94</v>
      </c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pageMargins left="0.7" right="0.7" top="0.75" bottom="0.75" header="0" footer="0"/>
  <pageSetup orientation="portrait"/>
  <ignoredErrors>
    <ignoredError sqref="F3" evalError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C4" sqref="C4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61" t="s">
        <v>100</v>
      </c>
      <c r="D2" s="85" t="s">
        <v>101</v>
      </c>
      <c r="E2" s="85"/>
      <c r="F2" s="61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 t="s">
        <v>95</v>
      </c>
      <c r="D3" s="86"/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58" t="s">
        <v>46</v>
      </c>
      <c r="C8" s="58" t="s">
        <v>47</v>
      </c>
      <c r="D8" s="58" t="s">
        <v>46</v>
      </c>
      <c r="E8" s="58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58" t="s">
        <v>46</v>
      </c>
      <c r="C13" s="58" t="s">
        <v>47</v>
      </c>
      <c r="D13" s="58" t="s">
        <v>46</v>
      </c>
      <c r="E13" s="58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58" t="s">
        <v>48</v>
      </c>
      <c r="D17" s="58" t="s">
        <v>49</v>
      </c>
      <c r="E17" s="58" t="s">
        <v>50</v>
      </c>
      <c r="F17" s="58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61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58" t="s">
        <v>50</v>
      </c>
      <c r="F26" s="58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59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60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58" t="s">
        <v>99</v>
      </c>
      <c r="H47" s="58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61"/>
      <c r="D55" s="61"/>
      <c r="E55" s="61"/>
      <c r="F55" s="61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7:A8"/>
    <mergeCell ref="B7:C7"/>
    <mergeCell ref="D7:E7"/>
    <mergeCell ref="F7:F8"/>
    <mergeCell ref="C53:D53"/>
    <mergeCell ref="E53:F53"/>
    <mergeCell ref="A1:F1"/>
    <mergeCell ref="C47:D47"/>
    <mergeCell ref="E47:F47"/>
    <mergeCell ref="D2:E2"/>
    <mergeCell ref="D3:E3"/>
    <mergeCell ref="A12:A13"/>
    <mergeCell ref="B12:C12"/>
    <mergeCell ref="D12:E12"/>
    <mergeCell ref="F12:F13"/>
    <mergeCell ref="A18:A22"/>
    <mergeCell ref="A23:B23"/>
    <mergeCell ref="A27:A31"/>
    <mergeCell ref="A32:B32"/>
    <mergeCell ref="A36:A40"/>
    <mergeCell ref="A41:B41"/>
    <mergeCell ref="C43:D43"/>
    <mergeCell ref="E43:F43"/>
    <mergeCell ref="C44:D44"/>
    <mergeCell ref="E44:F44"/>
    <mergeCell ref="C48:D48"/>
    <mergeCell ref="E48:F48"/>
    <mergeCell ref="J48:K48"/>
    <mergeCell ref="C49:D49"/>
    <mergeCell ref="E49:F49"/>
    <mergeCell ref="C50:D50"/>
    <mergeCell ref="E50:F50"/>
    <mergeCell ref="A51:B51"/>
    <mergeCell ref="C51:D51"/>
    <mergeCell ref="E51:F51"/>
    <mergeCell ref="C54:D54"/>
    <mergeCell ref="E54:F54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</mergeCells>
  <conditionalFormatting sqref="G9:G10 I18:I22 I27:I31">
    <cfRule type="notContainsBlanks" dxfId="2" priority="1">
      <formula>LEN(TRIM(G9))&gt;0</formula>
    </cfRule>
  </conditionalFormatting>
  <conditionalFormatting sqref="G18">
    <cfRule type="notContainsBlanks" dxfId="1" priority="2">
      <formula>LEN(TRIM(G18))&gt;0</formula>
    </cfRule>
  </conditionalFormatting>
  <conditionalFormatting sqref="G27">
    <cfRule type="notContainsBlanks" dxfId="0" priority="3">
      <formula>LEN(TRIM(G27))&gt;0</formula>
    </cfRule>
  </conditionalFormatting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zoomScaleNormal="100" workbookViewId="0">
      <selection sqref="A1:XFD1048576"/>
    </sheetView>
  </sheetViews>
  <sheetFormatPr defaultColWidth="11.19921875" defaultRowHeight="15" customHeight="1" x14ac:dyDescent="0.3"/>
  <cols>
    <col min="1" max="16384" width="11.19921875" style="14"/>
  </cols>
  <sheetData>
    <row r="1" spans="1:10" ht="15" customHeight="1" x14ac:dyDescent="0.3">
      <c r="A1" s="82" t="s">
        <v>38</v>
      </c>
      <c r="B1" s="82"/>
      <c r="C1" s="82"/>
      <c r="D1" s="82"/>
      <c r="E1" s="82"/>
      <c r="F1" s="82"/>
      <c r="G1" s="21"/>
      <c r="H1" s="22"/>
      <c r="I1" s="23"/>
      <c r="J1" s="15"/>
    </row>
    <row r="2" spans="1:10" ht="15" customHeight="1" x14ac:dyDescent="0.3">
      <c r="A2" s="21"/>
      <c r="B2" s="21"/>
      <c r="C2" s="16" t="s">
        <v>100</v>
      </c>
      <c r="D2" s="85" t="s">
        <v>101</v>
      </c>
      <c r="E2" s="85"/>
      <c r="F2" s="16" t="s">
        <v>40</v>
      </c>
      <c r="G2" s="21"/>
      <c r="H2" s="24"/>
      <c r="I2" s="25"/>
      <c r="J2" s="15"/>
    </row>
    <row r="3" spans="1:10" ht="15" customHeight="1" x14ac:dyDescent="0.3">
      <c r="A3" s="21" t="s">
        <v>102</v>
      </c>
      <c r="B3" s="21"/>
      <c r="C3" s="26"/>
      <c r="D3" s="86"/>
      <c r="E3" s="86"/>
      <c r="F3" s="26" t="e">
        <f>YEAR(Results!E3)</f>
        <v>#VALUE!</v>
      </c>
      <c r="G3" s="21"/>
      <c r="H3" s="24"/>
      <c r="I3" s="25"/>
      <c r="J3" s="15"/>
    </row>
    <row r="4" spans="1:10" ht="15" customHeight="1" x14ac:dyDescent="0.3">
      <c r="A4" s="21" t="s">
        <v>41</v>
      </c>
      <c r="B4" s="21"/>
      <c r="C4" s="26"/>
      <c r="D4" s="21"/>
      <c r="E4" s="21"/>
      <c r="F4" s="21"/>
      <c r="G4" s="21"/>
      <c r="H4" s="21"/>
      <c r="I4" s="21"/>
      <c r="J4" s="15"/>
    </row>
    <row r="5" spans="1:10" ht="15" customHeight="1" x14ac:dyDescent="0.3">
      <c r="A5" s="21"/>
      <c r="B5" s="21"/>
      <c r="C5" s="21"/>
      <c r="D5" s="21"/>
      <c r="E5" s="21"/>
      <c r="F5" s="21"/>
      <c r="G5" s="21"/>
      <c r="H5" s="87" t="s">
        <v>97</v>
      </c>
      <c r="I5" s="87"/>
      <c r="J5" s="87"/>
    </row>
    <row r="6" spans="1:10" ht="15" customHeight="1" x14ac:dyDescent="0.3">
      <c r="A6" s="47" t="s">
        <v>42</v>
      </c>
      <c r="B6" s="27"/>
      <c r="C6" s="27"/>
      <c r="D6" s="27"/>
      <c r="E6" s="27"/>
      <c r="F6" s="27"/>
      <c r="G6" s="21"/>
      <c r="H6" s="87"/>
      <c r="I6" s="87"/>
      <c r="J6" s="87"/>
    </row>
    <row r="7" spans="1:10" ht="15" customHeight="1" x14ac:dyDescent="0.3">
      <c r="A7" s="79"/>
      <c r="B7" s="77" t="s">
        <v>43</v>
      </c>
      <c r="C7" s="78"/>
      <c r="D7" s="77" t="s">
        <v>44</v>
      </c>
      <c r="E7" s="78"/>
      <c r="F7" s="79" t="s">
        <v>45</v>
      </c>
      <c r="G7" s="21"/>
      <c r="H7" s="21"/>
      <c r="I7" s="21"/>
      <c r="J7" s="15"/>
    </row>
    <row r="8" spans="1:10" ht="15" customHeight="1" x14ac:dyDescent="0.3">
      <c r="A8" s="80"/>
      <c r="B8" s="17" t="s">
        <v>46</v>
      </c>
      <c r="C8" s="17" t="s">
        <v>47</v>
      </c>
      <c r="D8" s="17" t="s">
        <v>46</v>
      </c>
      <c r="E8" s="17" t="s">
        <v>47</v>
      </c>
      <c r="F8" s="80"/>
      <c r="G8" s="21"/>
      <c r="H8" s="21"/>
      <c r="I8" s="21"/>
      <c r="J8" s="15"/>
    </row>
    <row r="9" spans="1:10" ht="15" customHeight="1" x14ac:dyDescent="0.3">
      <c r="A9" s="28"/>
      <c r="B9" s="29">
        <f>COUNTIFS(Results!$D:$D,IF($C$4&lt;&gt;"",$C$4,"*"),Results!$U:$U,IF($C$3&lt;&gt;"",$C$3,"*"),Results!$T:$T,IF($D$3&lt;&gt;"",$D$3,"*"),Results!$V:$V,IF($F$3&lt;&gt;"",$F$3,"*"),Results!$I:$I,"=Male",Results!$J:$J,"&lt;15")+COUNTIFS(Results!$D:$D,IF($C$4&lt;&gt;"",$C$4,"*"),Results!$U:$U,IF($C$3&lt;&gt;"",$C$3,"*"),Results!$T:$T,IF($D$3&lt;&gt;"",$D$3,"*"),Results!$V:$V,IF($F$3&lt;&gt;"",$F$3,"*"),Results!$I:$I,"=M",Results!$J:$J,"&lt;15")</f>
        <v>0</v>
      </c>
      <c r="C9" s="29">
        <f>COUNTIFS(Results!$D:$D,IF($C$4&lt;&gt;"",$C$4,"*"),Results!$U:$U,IF($C$3&lt;&gt;"",$C$3,"*"),Results!$T:$T,IF($D$3&lt;&gt;"",$D$3,"*"),Results!$V:$V,IF($F$3&lt;&gt;"",$F$3,"*"),Results!$I:$I,"=Male",Results!$J:$J,"&gt;=15")+COUNTIFS(Results!$D:$D,IF($C$4&lt;&gt;"",$C$4,"*"),Results!$U:$U,IF($C$3&lt;&gt;"",$C$3,"*"),Results!$T:$T,IF($D$3&lt;&gt;"",$D$3,"*"),Results!$V:$V,IF($F$3&lt;&gt;"",$F$3,"*"),Results!$I:$I,"=M",Results!$J:$J,"&gt;=15")</f>
        <v>0</v>
      </c>
      <c r="D9" s="29">
        <f>COUNTIFS(Results!$D:$D,IF($C$4&lt;&gt;"",$C$4,"*"),Results!$U:$U,IF($C$3&lt;&gt;"",$C$3,"*"),Results!$T:$T,IF($D$3&lt;&gt;"",$D$3,"*"),Results!$V:$V,IF($F$3&lt;&gt;"",$F$3,"*"),Results!$I:$I,"=Female",Results!$J:$J,"&lt;15")+COUNTIFS(Results!$D:$D,IF($C$4&lt;&gt;"",$C$4,"*"),Results!$U:$U,IF($C$3&lt;&gt;"",$C$3,"*"),Results!$T:$T,IF($D$3&lt;&gt;"",$D$3,"*"),Results!$V:$V,IF($F$3&lt;&gt;"",$F$3,"*"),Results!$I:$I,"=F",Results!$J:$J,"&lt;15")</f>
        <v>0</v>
      </c>
      <c r="E9" s="29">
        <f>COUNTIFS(Results!$D:$D,IF($C$4&lt;&gt;"",$C$4,"*"),Results!$U:$U,IF($C$3&lt;&gt;"",$C$3,"*"),Results!$T:$T,IF($D$3&lt;&gt;"",$D$3,"*"),Results!$V:$V,IF($F$3&lt;&gt;"",$F$3,"*"),Results!$I:$I,"=Female",Results!$J:$J,"&gt;=15")+COUNTIFS(Results!$D:$D,IF($C$4&lt;&gt;"",$C$4,"*"),Results!$U:$U,IF($C$3&lt;&gt;"",$C$3,"*"),Results!$T:$T,IF($D$3&lt;&gt;"",$D$3,"*"),Results!$V:$V,IF($F$3&lt;&gt;"",$F$3,"*"),Results!$I:$I,"=F",Results!$J:$J,"&gt;=15")</f>
        <v>0</v>
      </c>
      <c r="F9" s="28">
        <f>B9+C9+D9+E9</f>
        <v>0</v>
      </c>
      <c r="G9" s="30"/>
      <c r="H9" s="21"/>
      <c r="I9" s="21"/>
      <c r="J9" s="31"/>
    </row>
    <row r="10" spans="1:10" ht="15" customHeight="1" x14ac:dyDescent="0.3">
      <c r="A10" s="21"/>
      <c r="B10" s="32"/>
      <c r="C10" s="32"/>
      <c r="D10" s="32"/>
      <c r="E10" s="32"/>
      <c r="F10" s="21"/>
      <c r="G10" s="21"/>
      <c r="H10" s="21"/>
      <c r="I10" s="21"/>
      <c r="J10" s="15"/>
    </row>
    <row r="11" spans="1:10" ht="15" customHeight="1" x14ac:dyDescent="0.3">
      <c r="A11" s="47" t="s">
        <v>98</v>
      </c>
      <c r="B11" s="27"/>
      <c r="C11" s="27"/>
      <c r="D11" s="27"/>
      <c r="E11" s="27"/>
      <c r="F11" s="27"/>
      <c r="G11" s="21"/>
      <c r="H11" s="21"/>
      <c r="I11" s="21"/>
      <c r="J11" s="15"/>
    </row>
    <row r="12" spans="1:10" ht="15" customHeight="1" x14ac:dyDescent="0.3">
      <c r="A12" s="79"/>
      <c r="B12" s="77" t="s">
        <v>43</v>
      </c>
      <c r="C12" s="78"/>
      <c r="D12" s="77" t="s">
        <v>44</v>
      </c>
      <c r="E12" s="78"/>
      <c r="F12" s="79" t="s">
        <v>45</v>
      </c>
      <c r="G12" s="21"/>
      <c r="H12" s="21"/>
      <c r="I12" s="21"/>
      <c r="J12" s="15"/>
    </row>
    <row r="13" spans="1:10" ht="15" customHeight="1" x14ac:dyDescent="0.3">
      <c r="A13" s="80"/>
      <c r="B13" s="17" t="s">
        <v>46</v>
      </c>
      <c r="C13" s="17" t="s">
        <v>47</v>
      </c>
      <c r="D13" s="17" t="s">
        <v>46</v>
      </c>
      <c r="E13" s="17" t="s">
        <v>47</v>
      </c>
      <c r="F13" s="80"/>
      <c r="G13" s="21"/>
      <c r="H13" s="21"/>
      <c r="I13" s="21"/>
      <c r="J13" s="15"/>
    </row>
    <row r="14" spans="1:10" ht="15" customHeight="1" x14ac:dyDescent="0.3">
      <c r="A14" s="28"/>
      <c r="B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result",Results!$I:$I,"=M",Results!$J:$J,"&lt;15")</f>
        <v>0</v>
      </c>
      <c r="C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result",Results!$I:$I,"=M",Results!$J:$J,"&gt;=15")</f>
        <v>0</v>
      </c>
      <c r="D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lt;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result",Results!$I:$I,"=F",Results!$J:$J,"&lt;15")</f>
        <v>0</v>
      </c>
      <c r="E14" s="29">
        <f>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emale",Results!$J:$J,"&gt;=15")+COUNTIFS(Results!$D:$D,IF($C$4&lt;&gt;"",$C$4,"*"),Results!$U:$U,IF($C$3&lt;&gt;"",$C$3,"*"),Results!$T:$T,IF($D$3&lt;&gt;"",$D$3,"*"),Results!$V:$V,IF($F$3&lt;&gt;"",$F$3,"*"),Results!$F:$F,"&lt;&gt;Error",Results!$F:$F,"&lt;&gt;Invalid",Results!$F:$F,"&lt;&gt;No result",Results!$I:$I,"=F",Results!$J:$J,"&gt;=15")</f>
        <v>0</v>
      </c>
      <c r="F14" s="28">
        <f>B14+C14+D14+E14</f>
        <v>0</v>
      </c>
      <c r="G14" s="21"/>
      <c r="H14" s="21"/>
      <c r="I14" s="21"/>
      <c r="J14" s="15"/>
    </row>
    <row r="15" spans="1:10" ht="15" customHeight="1" x14ac:dyDescent="0.3">
      <c r="A15" s="33"/>
      <c r="B15" s="22"/>
      <c r="C15" s="22"/>
      <c r="D15" s="22"/>
      <c r="E15" s="22"/>
      <c r="F15" s="33"/>
      <c r="G15" s="21"/>
      <c r="H15" s="21"/>
      <c r="I15" s="21"/>
      <c r="J15" s="15"/>
    </row>
    <row r="16" spans="1:10" ht="15" customHeight="1" x14ac:dyDescent="0.3">
      <c r="A16" s="27" t="s">
        <v>103</v>
      </c>
      <c r="B16" s="27"/>
      <c r="C16" s="27"/>
      <c r="D16" s="27"/>
      <c r="E16" s="27"/>
      <c r="F16" s="27"/>
      <c r="G16" s="21"/>
      <c r="H16" s="21"/>
      <c r="I16" s="21"/>
      <c r="J16" s="15"/>
    </row>
    <row r="17" spans="1:10" ht="15" customHeight="1" x14ac:dyDescent="0.3">
      <c r="A17" s="34"/>
      <c r="B17" s="34"/>
      <c r="C17" s="17" t="s">
        <v>48</v>
      </c>
      <c r="D17" s="17" t="s">
        <v>49</v>
      </c>
      <c r="E17" s="17" t="s">
        <v>50</v>
      </c>
      <c r="F17" s="17" t="s">
        <v>45</v>
      </c>
      <c r="G17" s="21"/>
      <c r="H17" s="21"/>
      <c r="I17" s="21"/>
      <c r="J17" s="15"/>
    </row>
    <row r="18" spans="1:10" ht="15" customHeight="1" x14ac:dyDescent="0.3">
      <c r="A18" s="81" t="s">
        <v>51</v>
      </c>
      <c r="B18" s="28" t="s">
        <v>52</v>
      </c>
      <c r="C18" s="28">
        <f>COUNTIFS(Results!$D:$D,IF($C$4&lt;&gt;"",$C$4,"*"),Results!$U:$U,IF($C$3&lt;&gt;"",$C$3,"*"),Results!$T:$T,IF($D$3&lt;&gt;"",$D$3,"*"),Results!$V:$V,IF($F$3&lt;&gt;"",$F$3,"*"),Results!$F:$F,"Negative",Results!$K:$K,"No")</f>
        <v>0</v>
      </c>
      <c r="D18" s="28">
        <f>COUNTIFS(Results!$D:$D,IF($C$4&lt;&gt;"",$C$4,"*"),Results!$U:$U,IF($C$3&lt;&gt;"",$C$3,"*"),Results!$T:$T,IF($D$3&lt;&gt;"",$D$3,"*"),Results!$V:$V,IF($F$3&lt;&gt;"",$F$3,"*"),Results!$F:$F,"Negative",Results!$K:$K,"Yes")</f>
        <v>0</v>
      </c>
      <c r="E18" s="28">
        <f>COUNTIFS(Results!$D:$D,IF($C$4&lt;&gt;"",$C$4,"*"),Results!$U:$U,IF($C$3&lt;&gt;"",$C$3,"*"),Results!$T:$T,IF($D$3&lt;&gt;"",$D$3,"*"),Results!$V:$V,IF($F$3&lt;&gt;"",$F$3,"*"),Results!$F:$F,"=Negative",Results!$K:$K,"Unknown")+COUNTIFS(Results!$D:$D,IF($C$4&lt;&gt;"",$C$4,"*"),Results!$U:$U,IF($C$3&lt;&gt;"",$C$3,"*"),Results!$T:$T,IF($D$3&lt;&gt;"",$D$3,"*"),Results!$V:$V,IF($F$3&lt;&gt;"",$F$3,"*"),Results!$F:$F,"=Negative",Results!$K:$K,"N/A")+COUNTIFS(Results!$D:$D,IF($C$4&lt;&gt;"",$C$4,"*"),Results!$U:$U,IF($C$3&lt;&gt;"",$C$3,"*"),Results!$T:$T,IF($D$3&lt;&gt;"",$D$3,"*"),Results!$V:$V,IF($F$3&lt;&gt;"",$F$3,"*"),Results!$F:$F,"=Negative",Results!$K:$K,"")</f>
        <v>0</v>
      </c>
      <c r="F18" s="28">
        <f>C18+D18+E18</f>
        <v>0</v>
      </c>
      <c r="G18" s="19"/>
      <c r="H18" s="20"/>
      <c r="I18" s="30"/>
      <c r="J18" s="15"/>
    </row>
    <row r="19" spans="1:10" ht="15" customHeight="1" x14ac:dyDescent="0.3">
      <c r="A19" s="81"/>
      <c r="B19" s="28" t="s">
        <v>104</v>
      </c>
      <c r="C19" s="28">
        <f>COUNTIFS(Results!$D:$D,IF($C$4&lt;&gt;"",$C$4,"*"),Results!$U:$U,IF($C$3&lt;&gt;"",$C$3,"*"),Results!$T:$T,IF($D$3&lt;&gt;"",$D$3,"*"),Results!$V:$V,IF($F$3&lt;&gt;"",$F$3,"*"),Results!$F:$F,"Positive",Results!$G:$G,"Negative",Results!$K:$K,"No")</f>
        <v>0</v>
      </c>
      <c r="D19" s="28">
        <f>COUNTIFS(Results!$D:$D,IF($C$4&lt;&gt;"",$C$4,"*"),Results!$U:$U,IF($C$3&lt;&gt;"",$C$3,"*"),Results!$T:$T,IF($D$3&lt;&gt;"",$D$3,"*"),Results!$V:$V,IF($F$3&lt;&gt;"",$F$3,"*"),Results!$F:$F,"Positive",Results!$G:$G,"Negative",Results!$K:$K,"Yes")</f>
        <v>0</v>
      </c>
      <c r="E19" s="28">
        <f>COUNTIFS(Results!$D:$D,IF($C$4&lt;&gt;"",$C$4,"*"),Results!$U:$U,IF($C$3&lt;&gt;"",$C$3,"*"),Results!$T:$T,IF($D$3&lt;&gt;"",$D$3,"*"),Results!$V:$V,IF($F$3&lt;&gt;"",$F$3,"*"),Results!$F:$F,"Positive",Results!$G:$G,"=Negative",Results!$K:$K,"Unknown")+COUNTIFS(Results!$D:$D,IF($C$4&lt;&gt;"",$C$4,"*"),Results!$U:$U,IF($C$3&lt;&gt;"",$C$3,"*"),Results!$T:$T,IF($D$3&lt;&gt;"",$D$3,"*"),Results!$V:$V,IF($F$3&lt;&gt;"",$F$3,"*"),Results!$F:$F,"Positive",Results!$G:$G,"=Negative",Results!$K:$K,"N/A")+COUNTIFS(Results!$D:$D,IF($C$4&lt;&gt;"",$C$4,"*"),Results!$U:$U,IF($C$3&lt;&gt;"",$C$3,"*"),Results!$T:$T,IF($D$3&lt;&gt;"",$D$3,"*"),Results!$V:$V,IF($F$3&lt;&gt;"",$F$3,"*"),Results!$F:$F,"Positive",Results!$G:$G,"=Negative",Results!$K:$K,"")</f>
        <v>0</v>
      </c>
      <c r="F19" s="28">
        <f>C19+D19+E19</f>
        <v>0</v>
      </c>
      <c r="G19" s="19"/>
      <c r="H19" s="20"/>
      <c r="I19" s="30"/>
      <c r="J19" s="15"/>
    </row>
    <row r="20" spans="1:10" ht="15" customHeight="1" x14ac:dyDescent="0.3">
      <c r="A20" s="81"/>
      <c r="B20" s="28" t="s">
        <v>54</v>
      </c>
      <c r="C20" s="28">
        <f>COUNTIFS(Results!$D:$D,IF($C$4&lt;&gt;"",$C$4,"*"),Results!$U:$U,IF($C$3&lt;&gt;"",$C$3,"*"),Results!$T:$T,IF($D$3&lt;&gt;"",$D$3,"*"),Results!$V:$V,IF($F$3&lt;&gt;"",$F$3,"*"),Results!$F:$F,"Positive",Results!$G:$G,"Positive",Results!$K:$K,"No")</f>
        <v>0</v>
      </c>
      <c r="D20" s="28">
        <f>COUNTIFS(Results!$D:$D,IF($C$4&lt;&gt;"",$C$4,"*"),Results!$U:$U,IF($C$3&lt;&gt;"",$C$3,"*"),Results!$T:$T,IF($D$3&lt;&gt;"",$D$3,"*"),Results!$V:$V,IF($F$3&lt;&gt;"",$F$3,"*"),Results!$F:$F,"Positive",Results!$G:$G,"Positive",Results!$K:$K,"Yes")</f>
        <v>0</v>
      </c>
      <c r="E20" s="28">
        <f>COUNTIFS(Results!$D:$D,IF($C$4&lt;&gt;"",$C$4,"*"),Results!$U:$U,IF($C$3&lt;&gt;"",$C$3,"*"),Results!$T:$T,IF($D$3&lt;&gt;"",$D$3,"*"),Results!$V:$V,IF($F$3&lt;&gt;"",$F$3,"*"),Results!$F:$F,"Positive",Results!$G:$G,"=Positive",Results!$K:$K,"Unknown")+COUNTIFS(Results!$D:$D,IF($C$4&lt;&gt;"",$C$4,"*"),Results!$U:$U,IF($C$3&lt;&gt;"",$C$3,"*"),Results!$T:$T,IF($D$3&lt;&gt;"",$D$3,"*"),Results!$V:$V,IF($F$3&lt;&gt;"",$F$3,"*"),Results!$F:$F,"Positive",Results!$G:$G,"=Positive",Results!$K:$K,"N/A")+COUNTIFS(Results!$D:$D,IF($C$4&lt;&gt;"",$C$4,"*"),Results!$U:$U,IF($C$3&lt;&gt;"",$C$3,"*"),Results!$T:$T,IF($D$3&lt;&gt;"",$D$3,"*"),Results!$V:$V,IF($F$3&lt;&gt;"",$F$3,"*"),Results!$F:$F,"Positive",Results!$G:$G,"=Positive",Results!$K:$K,"")</f>
        <v>0</v>
      </c>
      <c r="F20" s="28">
        <f>C20+D20+E20</f>
        <v>0</v>
      </c>
      <c r="G20" s="19"/>
      <c r="H20" s="20"/>
      <c r="I20" s="30"/>
      <c r="J20" s="15"/>
    </row>
    <row r="21" spans="1:10" ht="15" customHeight="1" x14ac:dyDescent="0.3">
      <c r="A21" s="81"/>
      <c r="B21" s="28" t="s">
        <v>55</v>
      </c>
      <c r="C21" s="28">
        <f>COUNTIFS(Results!$D:$D,IF($C$4&lt;&gt;"",$C$4,"*"),Results!$U:$U,IF($C$3&lt;&gt;"",$C$3,"*"),Results!$T:$T,IF($D$3&lt;&gt;"",$D$3,"*"),Results!$V:$V,IF($F$3&lt;&gt;"",$F$3,"*"),Results!$F:$F,"Positive",Results!$G:$G,"Indeterminate",Results!$K:$K,"No")</f>
        <v>0</v>
      </c>
      <c r="D21" s="28">
        <f>COUNTIFS(Results!$D:$D,IF($C$4&lt;&gt;"",$C$4,"*"),Results!$U:$U,IF($C$3&lt;&gt;"",$C$3,"*"),Results!$T:$T,IF($D$3&lt;&gt;"",$D$3,"*"),Results!$V:$V,IF($F$3&lt;&gt;"",$F$3,"*"),Results!$F:$F,"Positive",Results!$G:$G,"Indeterminate",Results!$K:$K,"Yes")</f>
        <v>0</v>
      </c>
      <c r="E21" s="28">
        <f>COUNTIFS(Results!$D:$D,IF($C$4&lt;&gt;"",$C$4,"*"),Results!$U:$U,IF($C$3&lt;&gt;"",$C$3,"*"),Results!$T:$T,IF($D$3&lt;&gt;"",$D$3,"*"),Results!$V:$V,IF($F$3&lt;&gt;"",$F$3,"*"),Results!$F:$F,"Positive",Results!$G:$G,"=Indeterminate",Results!$K:$K,"Unknown")+COUNTIFS(Results!$D:$D,IF($C$4&lt;&gt;"",$C$4,"*"),Results!$U:$U,IF($C$3&lt;&gt;"",$C$3,"*"),Results!$T:$T,IF($D$3&lt;&gt;"",$D$3,"*"),Results!$V:$V,IF($F$3&lt;&gt;"",$F$3,"*"),Results!$F:$F,"Positive",Results!$G:$G,"=Indeterminate",Results!$K:$K,"N/A")+COUNTIFS(Results!$D:$D,IF($C$4&lt;&gt;"",$C$4,"*"),Results!$U:$U,IF($C$3&lt;&gt;"",$C$3,"*"),Results!$T:$T,IF($D$3&lt;&gt;"",$D$3,"*"),Results!$V:$V,IF($F$3&lt;&gt;"",$F$3,"*"),Results!$F:$F,"Positive",Results!$G:$G,"=Indeterminate",Results!$K:$K,"")</f>
        <v>0</v>
      </c>
      <c r="F21" s="28">
        <f>C21+D21+E21</f>
        <v>0</v>
      </c>
      <c r="G21" s="19"/>
      <c r="H21" s="20"/>
      <c r="I21" s="30"/>
      <c r="J21" s="15"/>
    </row>
    <row r="22" spans="1:10" ht="15" customHeight="1" x14ac:dyDescent="0.3">
      <c r="A22" s="81"/>
      <c r="B22" s="29" t="s">
        <v>63</v>
      </c>
      <c r="C22" s="28">
        <f>COUNTIFS(Results!$D:$D,IF($C$4&lt;&gt;"",$C$4,"*"),Results!$U:$U,IF($C$3&lt;&gt;"",$C$3,"*"),Results!$T:$T,IF($D$3&lt;&gt;"",$D$3,"*"),Results!$V:$V,IF($F$3&lt;&gt;"",$F$3,"*"),Results!$F:$F,"Trace",Results!$G:$G,"Indeterminate",Results!$K:$K,"No")</f>
        <v>0</v>
      </c>
      <c r="D22" s="28">
        <f>COUNTIFS(Results!$D:$D,IF($C$4&lt;&gt;"",$C$4,"*"),Results!$U:$U,IF($C$3&lt;&gt;"",$C$3,"*"),Results!$T:$T,IF($D$3&lt;&gt;"",$D$3,"*"),Results!$V:$V,IF($F$3&lt;&gt;"",$F$3,"*"),Results!$F:$F,"Trace",Results!$G:$G,"Indeterminate",Results!$K:$K,"Yes")</f>
        <v>0</v>
      </c>
      <c r="E22" s="28">
        <f>COUNTIFS(Results!$D:$D,IF($C$4&lt;&gt;"",$C$4,"*"),Results!$U:$U,IF($C$3&lt;&gt;"",$C$3,"*"),Results!$T:$T,IF($D$3&lt;&gt;"",$D$3,"*"),Results!$V:$V,IF($F$3&lt;&gt;"",$F$3,"*"),Results!$F:$F,"Trace",Results!$G:$G,"=Indeterminate",Results!$K:$K,"Unknown")+COUNTIFS(Results!$D:$D,IF($C$4&lt;&gt;"",$C$4,"*"),Results!$U:$U,IF($C$3&lt;&gt;"",$C$3,"*"),Results!$T:$T,IF($D$3&lt;&gt;"",$D$3,"*"),Results!$V:$V,IF($F$3&lt;&gt;"",$F$3,"*"),Results!$F:$F,"Trace",Results!$G:$G,"=Indeterminate",Results!$K:$K,"N/A")+COUNTIFS(Results!$D:$D,IF($C$4&lt;&gt;"",$C$4,"*"),Results!$U:$U,IF($C$3&lt;&gt;"",$C$3,"*"),Results!$T:$T,IF($D$3&lt;&gt;"",$D$3,"*"),Results!$V:$V,IF($F$3&lt;&gt;"",$F$3,"*"),Results!$F:$F,"Trace",Results!$G:$G,"=Indeterminate",Results!$K:$K,"")</f>
        <v>0</v>
      </c>
      <c r="F22" s="28">
        <f>C22+D22+E22</f>
        <v>0</v>
      </c>
      <c r="G22" s="21"/>
      <c r="H22" s="21"/>
      <c r="I22" s="21"/>
      <c r="J22" s="31"/>
    </row>
    <row r="23" spans="1:10" ht="15" customHeight="1" x14ac:dyDescent="0.3">
      <c r="A23" s="72" t="s">
        <v>45</v>
      </c>
      <c r="B23" s="72"/>
      <c r="C23" s="28">
        <f>SUM(C18:C22)</f>
        <v>0</v>
      </c>
      <c r="D23" s="28">
        <f>SUM(D18:D22)</f>
        <v>0</v>
      </c>
      <c r="E23" s="28">
        <f>SUM(E18:E22)</f>
        <v>0</v>
      </c>
      <c r="F23" s="28">
        <f>SUM(F18:F22)</f>
        <v>0</v>
      </c>
      <c r="G23" s="21"/>
      <c r="H23" s="21"/>
      <c r="I23" s="21"/>
      <c r="J23" s="31"/>
    </row>
    <row r="24" spans="1:10" ht="15" customHeight="1" x14ac:dyDescent="0.3">
      <c r="A24" s="16"/>
      <c r="B24" s="21"/>
      <c r="C24" s="21"/>
      <c r="D24" s="21"/>
      <c r="E24" s="21"/>
      <c r="F24" s="21"/>
      <c r="G24" s="21"/>
      <c r="H24" s="21"/>
      <c r="I24" s="21"/>
      <c r="J24" s="15"/>
    </row>
    <row r="25" spans="1:10" ht="15" customHeight="1" x14ac:dyDescent="0.3">
      <c r="A25" s="27" t="s">
        <v>105</v>
      </c>
      <c r="B25" s="27"/>
      <c r="C25" s="27"/>
      <c r="D25" s="27"/>
      <c r="E25" s="27"/>
      <c r="F25" s="27"/>
      <c r="G25" s="21"/>
      <c r="H25" s="21"/>
      <c r="I25" s="21"/>
      <c r="J25" s="15"/>
    </row>
    <row r="26" spans="1:10" ht="15" customHeight="1" x14ac:dyDescent="0.3">
      <c r="A26" s="34"/>
      <c r="B26" s="34"/>
      <c r="C26" s="51" t="s">
        <v>56</v>
      </c>
      <c r="D26" s="51" t="s">
        <v>57</v>
      </c>
      <c r="E26" s="17" t="s">
        <v>50</v>
      </c>
      <c r="F26" s="17" t="s">
        <v>45</v>
      </c>
      <c r="G26" s="21"/>
      <c r="H26" s="21"/>
      <c r="I26" s="21"/>
      <c r="J26" s="15"/>
    </row>
    <row r="27" spans="1:10" ht="15" customHeight="1" x14ac:dyDescent="0.3">
      <c r="A27" s="81" t="s">
        <v>51</v>
      </c>
      <c r="B27" s="28" t="s">
        <v>52</v>
      </c>
      <c r="C27" s="28">
        <f>COUNTIFS(Results!$D:$D,IF($C$4&lt;&gt;"",$C$4,"*"),Results!$U:$U,IF($C$3&lt;&gt;"",$C$3,"*"),Results!$T:$T,IF($D$3&lt;&gt;"",$D$3,"*"),Results!$V:$V,IF($F$3&lt;&gt;"",$F$3,"*"),Results!$F:$F,"Negative",Results!$H:$H,"Positive")</f>
        <v>0</v>
      </c>
      <c r="D27" s="28">
        <f>COUNTIFS(Results!$D:$D,IF($C$4&lt;&gt;"",$C$4,"*"),Results!$U:$U,IF($C$3&lt;&gt;"",$C$3,"*"),Results!$T:$T,IF($D$3&lt;&gt;"",$D$3,"*"),Results!$V:$V,IF($F$3&lt;&gt;"",$F$3,"*"),Results!$F:$F,"Negative",Results!$H:$H,"Negative")</f>
        <v>0</v>
      </c>
      <c r="E27" s="28">
        <f>COUNTIFS(Results!$D:$D,IF($C$4&lt;&gt;"",$C$4,"*"),Results!$U:$U,IF($C$3&lt;&gt;"",$C$3,"*"),Results!$T:$T,IF($D$3&lt;&gt;"",$D$3,"*"),Results!$V:$V,IF($F$3&lt;&gt;"",$F$3,"*"),Results!$F:$F,"=Negative",Results!$H:$H,"Unknown")+COUNTIFS(Results!$D:$D,IF($C$4&lt;&gt;"",$C$4,"*"),Results!$U:$U,IF($C$3&lt;&gt;"",$C$3,"*"),Results!$T:$T,IF($D$3&lt;&gt;"",$D$3,"*"),Results!$V:$V,IF($F$3&lt;&gt;"",$F$3,"*"),Results!$F:$F,"=Negative",Results!$H:$H,"=Not On Form")+COUNTIFS(Results!$D:$D,IF($C$4&lt;&gt;"",$C$4,"*"),Results!$U:$U,IF($C$3&lt;&gt;"",$C$3,"*"),Results!$T:$T,IF($D$3&lt;&gt;"",$D$3,"*"),Results!$V:$V,IF($F$3&lt;&gt;"",$F$3,"*"),Results!$F:$F,"=Negative",Results!$H:$H,"")</f>
        <v>0</v>
      </c>
      <c r="F27" s="28">
        <f>C27+D27+E27</f>
        <v>0</v>
      </c>
      <c r="G27" s="19"/>
      <c r="H27" s="20"/>
      <c r="I27" s="30"/>
      <c r="J27" s="15"/>
    </row>
    <row r="28" spans="1:10" ht="15" customHeight="1" x14ac:dyDescent="0.3">
      <c r="A28" s="81"/>
      <c r="B28" s="28" t="s">
        <v>53</v>
      </c>
      <c r="C28" s="28">
        <f>COUNTIFS(Results!$D:$D,IF($C$4&lt;&gt;"",$C$4,"*"),Results!$U:$U,IF($C$3&lt;&gt;"",$C$3,"*"),Results!$T:$T,IF($D$3&lt;&gt;"",$D$3,"*"),Results!$V:$V,IF($F$3&lt;&gt;"",$F$3,"*"),Results!$F:$F,"Positive",Results!$G:$G,"Negative",Results!$H:$H,"Positive")</f>
        <v>0</v>
      </c>
      <c r="D28" s="28">
        <f>COUNTIFS(Results!$D:$D,IF($C$4&lt;&gt;"",$C$4,"*"),Results!$U:$U,IF($C$3&lt;&gt;"",$C$3,"*"),Results!$T:$T,IF($D$3&lt;&gt;"",$D$3,"*"),Results!$V:$V,IF($F$3&lt;&gt;"",$F$3,"*"),Results!$F:$F,"Positive",Results!$G:$G,"Negative",Results!$H:$H,"Negative")</f>
        <v>0</v>
      </c>
      <c r="E28" s="28">
        <f>COUNTIFS(Results!$D:$D,IF($C$4&lt;&gt;"",$C$4,"*"),Results!$U:$U,IF($C$3&lt;&gt;"",$C$3,"*"),Results!$T:$T,IF($D$3&lt;&gt;"",$D$3,"*"),Results!$V:$V,IF($F$3&lt;&gt;"",$F$3,"*"),Results!$F:$F,"Positive",Results!$G:$G,"=Negative",Results!$H:$H,"Unknown")+COUNTIFS(Results!$D:$D,IF($C$4&lt;&gt;"",$C$4,"*"),Results!$U:$U,IF($C$3&lt;&gt;"",$C$3,"*"),Results!$T:$T,IF($D$3&lt;&gt;"",$D$3,"*"),Results!$V:$V,IF($F$3&lt;&gt;"",$F$3,"*"),Results!$F:$F,"Positive",Results!$G:$G,"=Negative",Results!$H:$H,"=Not On Form")+COUNTIFS(Results!$D:$D,IF($C$4&lt;&gt;"",$C$4,"*"),Results!$U:$U,IF($C$3&lt;&gt;"",$C$3,"*"),Results!$T:$T,IF($D$3&lt;&gt;"",$D$3,"*"),Results!$V:$V,IF($F$3&lt;&gt;"",$F$3,"*"),Results!$F:$F,"Positive",Results!$G:$G,"=Negative",Results!$H:$H,"")</f>
        <v>0</v>
      </c>
      <c r="F28" s="28">
        <f>C28+D28+E28</f>
        <v>0</v>
      </c>
      <c r="G28" s="19"/>
      <c r="H28" s="20"/>
      <c r="I28" s="30"/>
      <c r="J28" s="15"/>
    </row>
    <row r="29" spans="1:10" ht="15" customHeight="1" x14ac:dyDescent="0.3">
      <c r="A29" s="81"/>
      <c r="B29" s="28" t="s">
        <v>54</v>
      </c>
      <c r="C29" s="28">
        <f>COUNTIFS(Results!$D:$D,IF($C$4&lt;&gt;"",$C$4,"*"),Results!$U:$U,IF($C$3&lt;&gt;"",$C$3,"*"),Results!$T:$T,IF($D$3&lt;&gt;"",$D$3,"*"),Results!$V:$V,IF($F$3&lt;&gt;"",$F$3,"*"),Results!$F:$F,"Positive",Results!$G:$G,"Positive",Results!$H:$H,"Positive")</f>
        <v>0</v>
      </c>
      <c r="D29" s="28">
        <f>COUNTIFS(Results!$D:$D,IF($C$4&lt;&gt;"",$C$4,"*"),Results!$U:$U,IF($C$3&lt;&gt;"",$C$3,"*"),Results!$T:$T,IF($D$3&lt;&gt;"",$D$3,"*"),Results!$V:$V,IF($F$3&lt;&gt;"",$F$3,"*"),Results!$F:$F,"Positive",Results!$G:$G,"Positive",Results!$H:$H,"Negative")</f>
        <v>0</v>
      </c>
      <c r="E29" s="28">
        <f>COUNTIFS(Results!$D:$D,IF($C$4&lt;&gt;"",$C$4,"*"),Results!$U:$U,IF($C$3&lt;&gt;"",$C$3,"*"),Results!$T:$T,IF($D$3&lt;&gt;"",$D$3,"*"),Results!$V:$V,IF($F$3&lt;&gt;"",$F$3,"*"),Results!$F:$F,"Positive",Results!$G:$G,"=Positive",Results!$H:$H,"Unknown")+COUNTIFS(Results!$D:$D,IF($C$4&lt;&gt;"",$C$4,"*"),Results!$U:$U,IF($C$3&lt;&gt;"",$C$3,"*"),Results!$T:$T,IF($D$3&lt;&gt;"",$D$3,"*"),Results!$V:$V,IF($F$3&lt;&gt;"",$F$3,"*"),Results!$F:$F,"Positive",Results!$G:$G,"=Positive",Results!$H:$H,"=Not On Form")+COUNTIFS(Results!$D:$D,IF($C$4&lt;&gt;"",$C$4,"*"),Results!$U:$U,IF($C$3&lt;&gt;"",$C$3,"*"),Results!$T:$T,IF($D$3&lt;&gt;"",$D$3,"*"),Results!$V:$V,IF($F$3&lt;&gt;"",$F$3,"*"),Results!$F:$F,"Positive",Results!$G:$G,"=Positive",Results!$H:$H,"")</f>
        <v>0</v>
      </c>
      <c r="F29" s="28">
        <f>C29+D29+E29</f>
        <v>0</v>
      </c>
      <c r="G29" s="19"/>
      <c r="H29" s="20"/>
      <c r="I29" s="30"/>
      <c r="J29" s="15"/>
    </row>
    <row r="30" spans="1:10" ht="15" customHeight="1" x14ac:dyDescent="0.3">
      <c r="A30" s="81"/>
      <c r="B30" s="28" t="s">
        <v>55</v>
      </c>
      <c r="C30" s="28">
        <f>COUNTIFS(Results!$D:$D,IF($C$4&lt;&gt;"",$C$4,"*"),Results!$U:$U,IF($C$3&lt;&gt;"",$C$3,"*"),Results!$T:$T,IF($D$3&lt;&gt;"",$D$3,"*"),Results!$V:$V,IF($F$3&lt;&gt;"",$F$3,"*"),Results!$F:$F,"Positive",Results!$G:$G,"Indeterminate",Results!$H:$H,"Positive")</f>
        <v>0</v>
      </c>
      <c r="D30" s="28">
        <f>COUNTIFS(Results!$D:$D,IF($C$4&lt;&gt;"",$C$4,"*"),Results!$U:$U,IF($C$3&lt;&gt;"",$C$3,"*"),Results!$T:$T,IF($D$3&lt;&gt;"",$D$3,"*"),Results!$V:$V,IF($F$3&lt;&gt;"",$F$3,"*"),Results!$F:$F,"Positive",Results!$G:$G,"Indeterminate",Results!$H:$H,"Negative")</f>
        <v>0</v>
      </c>
      <c r="E30" s="28">
        <f>COUNTIFS(Results!$D:$D,IF($C$4&lt;&gt;"",$C$4,"*"),Results!$U:$U,IF($C$3&lt;&gt;"",$C$3,"*"),Results!$T:$T,IF($D$3&lt;&gt;"",$D$3,"*"),Results!$V:$V,IF($F$3&lt;&gt;"",$F$3,"*"),Results!$F:$F,"Positive",Results!$G:$G,"=Indeterminate",Results!$H:$H,"Unknown")+COUNTIFS(Results!$D:$D,IF($C$4&lt;&gt;"",$C$4,"*"),Results!$U:$U,IF($C$3&lt;&gt;"",$C$3,"*"),Results!$T:$T,IF($D$3&lt;&gt;"",$D$3,"*"),Results!$V:$V,IF($F$3&lt;&gt;"",$F$3,"*"),Results!$F:$F,"Positiv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0" s="28">
        <f>C30+D30+E30</f>
        <v>0</v>
      </c>
      <c r="G30" s="19"/>
      <c r="H30" s="20"/>
      <c r="I30" s="30"/>
      <c r="J30" s="15"/>
    </row>
    <row r="31" spans="1:10" ht="15" customHeight="1" x14ac:dyDescent="0.3">
      <c r="A31" s="81"/>
      <c r="B31" s="29" t="s">
        <v>63</v>
      </c>
      <c r="C31" s="28">
        <f>COUNTIFS(Results!$D:$D,IF($C$4&lt;&gt;"",$C$4,"*"),Results!$U:$U,IF($C$3&lt;&gt;"",$C$3,"*"),Results!$T:$T,IF($D$3&lt;&gt;"",$D$3,"*"),Results!$V:$V,IF($F$3&lt;&gt;"",$F$3,"*"),Results!$F:$F,"Trace",Results!$G:$G,"Indeterminate",Results!$H:$H,"Positive")</f>
        <v>0</v>
      </c>
      <c r="D31" s="28">
        <f>COUNTIFS(Results!$D:$D,IF($C$4&lt;&gt;"",$C$4,"*"),Results!$U:$U,IF($C$3&lt;&gt;"",$C$3,"*"),Results!$T:$T,IF($D$3&lt;&gt;"",$D$3,"*"),Results!$V:$V,IF($F$3&lt;&gt;"",$F$3,"*"),Results!$F:$F,"Trace",Results!$G:$G,"Indeterminate",Results!$H:$H,"Negative")</f>
        <v>0</v>
      </c>
      <c r="E31" s="28">
        <f>COUNTIFS(Results!$D:$D,IF($C$4&lt;&gt;"",$C$4,"*"),Results!$U:$U,IF($C$3&lt;&gt;"",$C$3,"*"),Results!$T:$T,IF($D$3&lt;&gt;"",$D$3,"*"),Results!$V:$V,IF($F$3&lt;&gt;"",$F$3,"*"),Results!$F:$F,"Trace",Results!$G:$G,"=Indeterminate",Results!$H:$H,"Unknown")+COUNTIFS(Results!$D:$D,IF($C$4&lt;&gt;"",$C$4,"*"),Results!$U:$U,IF($C$3&lt;&gt;"",$C$3,"*"),Results!$T:$T,IF($D$3&lt;&gt;"",$D$3,"*"),Results!$V:$V,IF($F$3&lt;&gt;"",$F$3,"*"),Results!$F:$F,"Trace",Results!$G:$G,"=Indeterminate",Results!$H:$H,"=Not On Form")+COUNTIFS(Results!$D:$D,IF($C$4&lt;&gt;"",$C$4,"*"),Results!$U:$U,IF($C$3&lt;&gt;"",$C$3,"*"),Results!$T:$T,IF($D$3&lt;&gt;"",$D$3,"*"),Results!$V:$V,IF($F$3&lt;&gt;"",$F$3,"*"),Results!$F:$F,"Positive",Results!$G:$G,"=Indeterminate",Results!$H:$H,"")</f>
        <v>0</v>
      </c>
      <c r="F31" s="28">
        <f>C31+D31+E31</f>
        <v>0</v>
      </c>
      <c r="G31" s="21"/>
      <c r="H31" s="21"/>
      <c r="I31" s="21"/>
      <c r="J31" s="31"/>
    </row>
    <row r="32" spans="1:10" ht="15" customHeight="1" x14ac:dyDescent="0.3">
      <c r="A32" s="72" t="s">
        <v>45</v>
      </c>
      <c r="B32" s="72"/>
      <c r="C32" s="28">
        <f>SUM(C27:C31)</f>
        <v>0</v>
      </c>
      <c r="D32" s="28">
        <f>SUM(D27:D31)</f>
        <v>0</v>
      </c>
      <c r="E32" s="28">
        <f>SUM(E27:E31)</f>
        <v>0</v>
      </c>
      <c r="F32" s="28">
        <f>SUM(F27:F31)</f>
        <v>0</v>
      </c>
      <c r="G32" s="21"/>
      <c r="H32" s="21"/>
      <c r="I32" s="21"/>
      <c r="J32" s="31"/>
    </row>
    <row r="33" spans="1:11" ht="1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15"/>
      <c r="K33" s="15"/>
    </row>
    <row r="34" spans="1:11" ht="15" customHeight="1" x14ac:dyDescent="0.3">
      <c r="A34" s="47" t="s">
        <v>106</v>
      </c>
      <c r="B34" s="32"/>
      <c r="C34" s="32"/>
      <c r="D34" s="32"/>
      <c r="E34" s="32"/>
      <c r="F34" s="32"/>
      <c r="G34" s="32"/>
      <c r="H34" s="32"/>
      <c r="I34" s="21"/>
      <c r="J34" s="31"/>
      <c r="K34" s="15"/>
    </row>
    <row r="35" spans="1:11" ht="15" customHeight="1" x14ac:dyDescent="0.3">
      <c r="A35" s="29"/>
      <c r="B35" s="29"/>
      <c r="C35" s="46" t="s">
        <v>58</v>
      </c>
      <c r="D35" s="46" t="s">
        <v>59</v>
      </c>
      <c r="E35" s="46" t="s">
        <v>60</v>
      </c>
      <c r="F35" s="46" t="s">
        <v>61</v>
      </c>
      <c r="G35" s="46" t="s">
        <v>62</v>
      </c>
      <c r="H35" s="18" t="s">
        <v>45</v>
      </c>
      <c r="I35" s="21"/>
      <c r="J35" s="15"/>
      <c r="K35" s="15"/>
    </row>
    <row r="36" spans="1:11" ht="15" customHeight="1" x14ac:dyDescent="0.3">
      <c r="A36" s="75" t="s">
        <v>51</v>
      </c>
      <c r="B36" s="29" t="s">
        <v>52</v>
      </c>
      <c r="C36" s="29">
        <f>COUNTIFS(Results!$D:$D,IF($C$4&lt;&gt;"",$C$4,"*"),Results!$U:$U,IF($C$3&lt;&gt;"",$C$3,"*"),Results!$T:$T,IF($D$3&lt;&gt;"",$D$3,"*"),Results!$V:$V,IF($F$3&lt;&gt;"",$F$3,"*"),Results!$F:$F,"Negative",Results!$O:$O,"dx")</f>
        <v>0</v>
      </c>
      <c r="D36" s="29">
        <f>COUNTIFS(Results!$D:$D,IF($C$4&lt;&gt;"",$C$4,"*"),Results!$U:$U,IF($C$3&lt;&gt;"",$C$3,"*"),Results!$T:$T,IF($D$3&lt;&gt;"",$D$3,"*"),Results!$V:$V,IF($F$3&lt;&gt;"",$F$3,"*"),Results!$F:$F,"Negative",Results!$O:$O,"fu")</f>
        <v>0</v>
      </c>
      <c r="E36" s="29">
        <f>COUNTIFS(Results!$D:$D,IF($C$4&lt;&gt;"",$C$4,"*"),Results!$U:$U,IF($C$3&lt;&gt;"",$C$3,"*"),Results!$T:$T,IF($D$3&lt;&gt;"",$D$3,"*"),Results!$V:$V,IF($F$3&lt;&gt;"",$F$3,"*"),Results!$F:$F,"Negative",Results!$O:$O,"mdr")</f>
        <v>0</v>
      </c>
      <c r="F36" s="29">
        <f>COUNTIFS(Results!$D:$D,IF($C$4&lt;&gt;"",$C$4,"*"),Results!$U:$U,IF($C$3&lt;&gt;"",$C$3,"*"),Results!$T:$T,IF($D$3&lt;&gt;"",$D$3,"*"),Results!$V:$V,IF($F$3&lt;&gt;"",$F$3,"*"),Results!$F:$F,"Negative",Results!$O:$O,"dm")</f>
        <v>0</v>
      </c>
      <c r="G36" s="29">
        <f>COUNTIFS(Results!$D:$D,IF($C$4&lt;&gt;"",$C$4,"*"),Results!$U:$U,IF($C$3&lt;&gt;"",$C$3,"*"),Results!$T:$T,IF($D$3&lt;&gt;"",$D$3,"*"),Results!$V:$V,IF($F$3&lt;&gt;"",$F$3,"*"),Results!$F:$F,"Negative",Results!$O:$O,"na")</f>
        <v>0</v>
      </c>
      <c r="H36" s="29">
        <f>SUM(C36:G36)</f>
        <v>0</v>
      </c>
      <c r="I36" s="30"/>
      <c r="J36" s="35"/>
      <c r="K36" s="15"/>
    </row>
    <row r="37" spans="1:11" ht="15" customHeight="1" x14ac:dyDescent="0.3">
      <c r="A37" s="75"/>
      <c r="B37" s="29" t="s">
        <v>53</v>
      </c>
      <c r="C37" s="29">
        <f>COUNTIFS(Results!$D:$D,IF($C$4&lt;&gt;"",$C$4,"*"),Results!$U:$U,IF($C$3&lt;&gt;"",$C$3,"*"),Results!$T:$T,IF($D$3&lt;&gt;"",$D$3,"*"),Results!$V:$V,IF($F$3&lt;&gt;"",$F$3,"*"),Results!$F:$F,"Positive",Results!$G:$G,"Negative",Results!$O:$O,"dx")</f>
        <v>0</v>
      </c>
      <c r="D37" s="29">
        <f>COUNTIFS(Results!$D:$D,IF($C$4&lt;&gt;"",$C$4,"*"),Results!$U:$U,IF($C$3&lt;&gt;"",$C$3,"*"),Results!$T:$T,IF($D$3&lt;&gt;"",$D$3,"*"),Results!$V:$V,IF($F$3&lt;&gt;"",$F$3,"*"),Results!$F:$F,"Positive",Results!$G:$G,"Negative",Results!$O:$O,"fu")</f>
        <v>0</v>
      </c>
      <c r="E37" s="29">
        <f>COUNTIFS(Results!$D:$D,IF($C$4&lt;&gt;"",$C$4,"*"),Results!$U:$U,IF($C$3&lt;&gt;"",$C$3,"*"),Results!$T:$T,IF($D$3&lt;&gt;"",$D$3,"*"),Results!$V:$V,IF($F$3&lt;&gt;"",$F$3,"*"),Results!$F:$F,"Positive",Results!$G:$G,"Negative",Results!$O:$O,"mdr")</f>
        <v>0</v>
      </c>
      <c r="F37" s="29">
        <f>COUNTIFS(Results!$D:$D,IF($C$4&lt;&gt;"",$C$4,"*"),Results!$U:$U,IF($C$3&lt;&gt;"",$C$3,"*"),Results!$T:$T,IF($D$3&lt;&gt;"",$D$3,"*"),Results!$V:$V,IF($F$3&lt;&gt;"",$F$3,"*"),Results!$F:$F,"Positive",Results!$G:$G,"Negative",Results!$O:$O,"dm")</f>
        <v>0</v>
      </c>
      <c r="G37" s="29">
        <f>COUNTIFS(Results!$D:$D,IF($C$4&lt;&gt;"",$C$4,"*"),Results!$U:$U,IF($C$3&lt;&gt;"",$C$3,"*"),Results!$T:$T,IF($D$3&lt;&gt;"",$D$3,"*"),Results!$V:$V,IF($F$3&lt;&gt;"",$F$3,"*"),Results!$F:$F,"Positive",Results!$G:$G,"Negative",Results!$O:$O,"na")</f>
        <v>0</v>
      </c>
      <c r="H37" s="29">
        <f>SUM(C37:G37)</f>
        <v>0</v>
      </c>
      <c r="I37" s="30"/>
      <c r="J37" s="15"/>
      <c r="K37" s="15"/>
    </row>
    <row r="38" spans="1:11" ht="15" customHeight="1" x14ac:dyDescent="0.3">
      <c r="A38" s="75"/>
      <c r="B38" s="29" t="s">
        <v>54</v>
      </c>
      <c r="C38" s="29">
        <f>COUNTIFS(Results!$D:$D,IF($C$4&lt;&gt;"",$C$4,"*"),Results!$U:$U,IF($C$3&lt;&gt;"",$C$3,"*"),Results!$T:$T,IF($D$3&lt;&gt;"",$D$3,"*"),Results!$V:$V,IF($F$3&lt;&gt;"",$F$3,"*"),Results!$F:$F,"Positive",Results!$G:$G,"Positive",Results!$O:$O,"dx")</f>
        <v>0</v>
      </c>
      <c r="D38" s="29">
        <f>COUNTIFS(Results!$D:$D,IF($C$4&lt;&gt;"",$C$4,"*"),Results!$U:$U,IF($C$3&lt;&gt;"",$C$3,"*"),Results!$T:$T,IF($D$3&lt;&gt;"",$D$3,"*"),Results!$V:$V,IF($F$3&lt;&gt;"",$F$3,"*"),Results!$F:$F,"Positive",Results!$G:$G,"Positive",Results!$O:$O,"fu")</f>
        <v>0</v>
      </c>
      <c r="E38" s="29">
        <f>COUNTIFS(Results!$D:$D,IF($C$4&lt;&gt;"",$C$4,"*"),Results!$U:$U,IF($C$3&lt;&gt;"",$C$3,"*"),Results!$T:$T,IF($D$3&lt;&gt;"",$D$3,"*"),Results!$V:$V,IF($F$3&lt;&gt;"",$F$3,"*"),Results!$F:$F,"Positive",Results!$G:$G,"Positive",Results!$O:$O,"mdr")</f>
        <v>0</v>
      </c>
      <c r="F38" s="29">
        <f>COUNTIFS(Results!$D:$D,IF($C$4&lt;&gt;"",$C$4,"*"),Results!$U:$U,IF($C$3&lt;&gt;"",$C$3,"*"),Results!$T:$T,IF($D$3&lt;&gt;"",$D$3,"*"),Results!$V:$V,IF($F$3&lt;&gt;"",$F$3,"*"),Results!$F:$F,"Positive",Results!$G:$G,"Positive",Results!$O:$O,"dm")</f>
        <v>0</v>
      </c>
      <c r="G38" s="29">
        <f>COUNTIFS(Results!$D:$D,IF($C$4&lt;&gt;"",$C$4,"*"),Results!$U:$U,IF($C$3&lt;&gt;"",$C$3,"*"),Results!$T:$T,IF($D$3&lt;&gt;"",$D$3,"*"),Results!$V:$V,IF($F$3&lt;&gt;"",$F$3,"*"),Results!$F:$F,"Positive",Results!$G:$G,"Positive",Results!$O:$O,"na")</f>
        <v>0</v>
      </c>
      <c r="H38" s="29">
        <f>SUM(C38:G38)</f>
        <v>0</v>
      </c>
      <c r="I38" s="30"/>
      <c r="J38" s="15"/>
      <c r="K38" s="15"/>
    </row>
    <row r="39" spans="1:11" ht="15" customHeight="1" x14ac:dyDescent="0.3">
      <c r="A39" s="75"/>
      <c r="B39" s="29" t="s">
        <v>55</v>
      </c>
      <c r="C39" s="29">
        <f>COUNTIFS(Results!$D:$D,IF($C$4&lt;&gt;"",$C$4,"*"),Results!$U:$U,IF($C$3&lt;&gt;"",$C$3,"*"),Results!$T:$T,IF($D$3&lt;&gt;"",$D$3,"*"),Results!$V:$V,IF($F$3&lt;&gt;"",$F$3,"*"),Results!$F:$F,"Positive",Results!$G:$G,"Indeterminate",Results!$O:$O,"dx")</f>
        <v>0</v>
      </c>
      <c r="D39" s="29">
        <f>COUNTIFS(Results!$D:$D,IF($C$4&lt;&gt;"",$C$4,"*"),Results!$U:$U,IF($C$3&lt;&gt;"",$C$3,"*"),Results!$T:$T,IF($D$3&lt;&gt;"",$D$3,"*"),Results!$V:$V,IF($F$3&lt;&gt;"",$F$3,"*"),Results!$F:$F,"Positive",Results!$G:$G,"Indeterminate",Results!$O:$O,"fu")</f>
        <v>0</v>
      </c>
      <c r="E39" s="29">
        <f>COUNTIFS(Results!$D:$D,IF($C$4&lt;&gt;"",$C$4,"*"),Results!$U:$U,IF($C$3&lt;&gt;"",$C$3,"*"),Results!$T:$T,IF($D$3&lt;&gt;"",$D$3,"*"),Results!$V:$V,IF($F$3&lt;&gt;"",$F$3,"*"),Results!$F:$F,"Positive",Results!$G:$G,"Indeterminate",Results!$O:$O,"mdr")</f>
        <v>0</v>
      </c>
      <c r="F39" s="29">
        <f>COUNTIFS(Results!$D:$D,IF($C$4&lt;&gt;"",$C$4,"*"),Results!$U:$U,IF($C$3&lt;&gt;"",$C$3,"*"),Results!$T:$T,IF($D$3&lt;&gt;"",$D$3,"*"),Results!$V:$V,IF($F$3&lt;&gt;"",$F$3,"*"),Results!$F:$F,"Positive",Results!$G:$G,"Indeterminate",Results!$O:$O,"dm")</f>
        <v>0</v>
      </c>
      <c r="G39" s="29">
        <f>COUNTIFS(Results!$D:$D,IF($C$4&lt;&gt;"",$C$4,"*"),Results!$U:$U,IF($C$3&lt;&gt;"",$C$3,"*"),Results!$T:$T,IF($D$3&lt;&gt;"",$D$3,"*"),Results!$V:$V,IF($F$3&lt;&gt;"",$F$3,"*"),Results!$F:$F,"Positive",Results!$G:$G,"Indeterminate",Results!$O:$O,"na")</f>
        <v>0</v>
      </c>
      <c r="H39" s="29">
        <f>SUM(C39:G39)</f>
        <v>0</v>
      </c>
      <c r="I39" s="30"/>
      <c r="J39" s="15"/>
      <c r="K39" s="15"/>
    </row>
    <row r="40" spans="1:11" ht="15" customHeight="1" x14ac:dyDescent="0.3">
      <c r="A40" s="75"/>
      <c r="B40" s="29" t="s">
        <v>63</v>
      </c>
      <c r="C40" s="29">
        <f>COUNTIFS(Results!$D:$D,IF($C$4&lt;&gt;"",$C$4,"*"),Results!$U:$U,IF($C$3&lt;&gt;"",$C$3,"*"),Results!$T:$T,IF($D$3&lt;&gt;"",$D$3,"*"),Results!$V:$V,IF($F$3&lt;&gt;"",$F$3,"*"),Results!$F:$F,"Trace",Results!$G:$G,"Indeterminate",Results!$O:$O,"dx")</f>
        <v>0</v>
      </c>
      <c r="D40" s="29">
        <f>COUNTIFS(Results!$D:$D,IF($C$4&lt;&gt;"",$C$4,"*"),Results!$U:$U,IF($C$3&lt;&gt;"",$C$3,"*"),Results!$T:$T,IF($D$3&lt;&gt;"",$D$3,"*"),Results!$V:$V,IF($F$3&lt;&gt;"",$F$3,"*"),Results!$F:$F,"Trace",Results!$G:$G,"Indeterminate",Results!$O:$O,"fu")</f>
        <v>0</v>
      </c>
      <c r="E40" s="29">
        <f>COUNTIFS(Results!$D:$D,IF($C$4&lt;&gt;"",$C$4,"*"),Results!$U:$U,IF($C$3&lt;&gt;"",$C$3,"*"),Results!$T:$T,IF($D$3&lt;&gt;"",$D$3,"*"),Results!$V:$V,IF($F$3&lt;&gt;"",$F$3,"*"),Results!$F:$F,"Trace",Results!$G:$G,"Indeterminate",Results!$O:$O,"mdr")</f>
        <v>0</v>
      </c>
      <c r="F40" s="29">
        <f>COUNTIFS(Results!$D:$D,IF($C$4&lt;&gt;"",$C$4,"*"),Results!$U:$U,IF($C$3&lt;&gt;"",$C$3,"*"),Results!$T:$T,IF($D$3&lt;&gt;"",$D$3,"*"),Results!$V:$V,IF($F$3&lt;&gt;"",$F$3,"*"),Results!$F:$F,"Trace",Results!$G:$G,"Indeterminate",Results!$O:$O,"dm")</f>
        <v>0</v>
      </c>
      <c r="G40" s="29">
        <f>COUNTIFS(Results!$D:$D,IF($C$4&lt;&gt;"",$C$4,"*"),Results!$U:$U,IF($C$3&lt;&gt;"",$C$3,"*"),Results!$T:$T,IF($D$3&lt;&gt;"",$D$3,"*"),Results!$V:$V,IF($F$3&lt;&gt;"",$F$3,"*"),Results!$F:$F,"Trace",Results!$G:$G,"Indeterminate",Results!$O:$O,"na")</f>
        <v>0</v>
      </c>
      <c r="H40" s="29">
        <f>SUM(C40:G40)</f>
        <v>0</v>
      </c>
      <c r="I40" s="30"/>
      <c r="J40" s="15"/>
      <c r="K40" s="15"/>
    </row>
    <row r="41" spans="1:11" ht="15" customHeight="1" x14ac:dyDescent="0.3">
      <c r="A41" s="76" t="s">
        <v>45</v>
      </c>
      <c r="B41" s="76"/>
      <c r="C41" s="29">
        <f t="shared" ref="C41:H41" si="0">SUM(C36:C40)</f>
        <v>0</v>
      </c>
      <c r="D41" s="29">
        <f t="shared" si="0"/>
        <v>0</v>
      </c>
      <c r="E41" s="29">
        <f t="shared" si="0"/>
        <v>0</v>
      </c>
      <c r="F41" s="29">
        <f t="shared" si="0"/>
        <v>0</v>
      </c>
      <c r="G41" s="29">
        <f t="shared" si="0"/>
        <v>0</v>
      </c>
      <c r="H41" s="29">
        <f t="shared" si="0"/>
        <v>0</v>
      </c>
      <c r="I41" s="21"/>
      <c r="J41" s="15"/>
      <c r="K41" s="15"/>
    </row>
    <row r="42" spans="1:11" ht="1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15"/>
      <c r="K42" s="15"/>
    </row>
    <row r="43" spans="1:11" ht="15" customHeight="1" x14ac:dyDescent="0.3">
      <c r="A43" s="21"/>
      <c r="B43" s="21"/>
      <c r="C43" s="77" t="s">
        <v>43</v>
      </c>
      <c r="D43" s="78"/>
      <c r="E43" s="77" t="s">
        <v>44</v>
      </c>
      <c r="F43" s="78"/>
      <c r="G43" s="48" t="s">
        <v>45</v>
      </c>
      <c r="H43" s="21"/>
      <c r="I43" s="21"/>
      <c r="J43" s="15"/>
      <c r="K43" s="15"/>
    </row>
    <row r="44" spans="1:11" ht="15" customHeight="1" x14ac:dyDescent="0.3">
      <c r="A44" s="36" t="s">
        <v>107</v>
      </c>
      <c r="B44" s="28"/>
      <c r="C44" s="70">
        <f>COUNTIFS(Results!$D:$D,IF($C$4&lt;&gt;"",$C$4,"*"),Results!$U:$U,IF($C$3&lt;&gt;"",$C$3,"*"),Results!$T:$T,IF($D$3&lt;&gt;"",$D$3,"*"),Results!$V:$V,IF($F$3&lt;&gt;"",$F$3,"*"),Results!$I:$I,"=Male",Results!$F:$F,"=Positive",Results!$G:$G,"=Positive")+COUNTIFS(Results!$D:$D,IF($C$4&lt;&gt;"",$C$4,"*"),Results!$U:$U,IF($C$3&lt;&gt;"",$C$3,"*"),Results!$T:$T,IF($D$3&lt;&gt;"",$D$3,"*"),Results!$V:$V,IF($F$3&lt;&gt;"",$F$3,"*"),Results!$I:$I,"=M",Results!$F:$F,"=Positive",Results!$G:$G,"=Positive")</f>
        <v>0</v>
      </c>
      <c r="D44" s="71">
        <v>0</v>
      </c>
      <c r="E44" s="70">
        <f>COUNTIFS(Results!$D:$D,IF($C$4&lt;&gt;"",$C$4,"*"),Results!$U:$U,IF($C$3&lt;&gt;"",$C$3,"*"),Results!$T:$T,IF($D$3&lt;&gt;"",$D$3,"*"),Results!$V:$V,IF($F$3&lt;&gt;"",$F$3,"*"),Results!$I:$I,"=Female",Results!$F:$F,"=Positive",Results!$G:$G,"=Positive")+COUNTIFS(Results!$D:$D,IF($C$4&lt;&gt;"",$C$4,"*"),Results!$U:$U,IF($C$3&lt;&gt;"",$C$3,"*"),Results!$T:$T,IF($D$3&lt;&gt;"",$D$3,"*"),Results!$V:$V,IF($F$3&lt;&gt;"",$F$3,"*"),Results!$I:$I,"=F",Results!$F:$F,"=Positive",Results!$G:$G,"=Positive")</f>
        <v>0</v>
      </c>
      <c r="F44" s="71">
        <v>0</v>
      </c>
      <c r="G44" s="52">
        <f>C44+E44</f>
        <v>0</v>
      </c>
      <c r="H44" s="21"/>
      <c r="I44" s="21"/>
      <c r="J44" s="15"/>
      <c r="K44" s="15"/>
    </row>
    <row r="45" spans="1:11" ht="1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15"/>
      <c r="K45" s="15"/>
    </row>
    <row r="46" spans="1:11" ht="15" customHeight="1" x14ac:dyDescent="0.3">
      <c r="A46" s="47" t="s">
        <v>108</v>
      </c>
      <c r="B46" s="21"/>
      <c r="C46" s="21"/>
      <c r="D46" s="21"/>
      <c r="E46" s="21"/>
      <c r="F46" s="21"/>
      <c r="G46" s="21"/>
      <c r="H46" s="21"/>
      <c r="I46" s="21"/>
      <c r="J46" s="15"/>
      <c r="K46" s="15"/>
    </row>
    <row r="47" spans="1:11" ht="15" customHeight="1" x14ac:dyDescent="0.3">
      <c r="A47" s="28"/>
      <c r="B47" s="28"/>
      <c r="C47" s="77" t="s">
        <v>64</v>
      </c>
      <c r="D47" s="78"/>
      <c r="E47" s="77" t="s">
        <v>65</v>
      </c>
      <c r="F47" s="78"/>
      <c r="G47" s="17" t="s">
        <v>99</v>
      </c>
      <c r="H47" s="17" t="s">
        <v>45</v>
      </c>
      <c r="I47" s="21"/>
      <c r="J47" s="15"/>
      <c r="K47" s="15"/>
    </row>
    <row r="48" spans="1:11" ht="15" customHeight="1" x14ac:dyDescent="0.3">
      <c r="A48" s="37" t="s">
        <v>66</v>
      </c>
      <c r="B48" s="38"/>
      <c r="C48" s="70">
        <f>COUNTIFS(Results!$D:$D,IF($C$4&lt;&gt;"",$C$4,"*"),Results!$U:$U,IF($C$3&lt;&gt;"",$C$3,"*"),Results!$T:$T,IF($D$3&lt;&gt;"",$D$3,"*"),Results!$V:$V,IF($F$3&lt;&gt;"",$F$3,"*"),Results!$L:$L,"Smear Positive",Results!$F:$F,"Positive")</f>
        <v>0</v>
      </c>
      <c r="D48" s="71"/>
      <c r="E48" s="70">
        <f>COUNTIFS(Results!$D:$D,IF($C$4&lt;&gt;"",$C$4,"*"),Results!$U:$U,IF($C$3&lt;&gt;"",$C$3,"*"),Results!$T:$T,IF($D$3&lt;&gt;"",$D$3,"*"),Results!$V:$V,IF($F$3&lt;&gt;"",$F$3,"*"),Results!$L:$L,"Smear Positive",Results!$F:$F,"Negative")</f>
        <v>0</v>
      </c>
      <c r="F48" s="71"/>
      <c r="G48" s="28">
        <f>COUNTIFS(Results!$D:$D,IF($C$4&lt;&gt;"",$C$4,"*"),Results!$U:$U,IF($C$3&lt;&gt;"",$C$3,"*"),Results!$T:$T,IF($D$3&lt;&gt;"",$D$3,"*"),Results!$V:$V,IF($F$3&lt;&gt;"",$F$3,"*"),Results!$L:$L,"Smear Positive",Results!$F:$F,"Trace")</f>
        <v>0</v>
      </c>
      <c r="H48" s="28">
        <f>C48+E48+G48</f>
        <v>0</v>
      </c>
      <c r="I48" s="15"/>
      <c r="J48" s="73"/>
      <c r="K48" s="74"/>
    </row>
    <row r="49" spans="1:10" ht="15" customHeight="1" x14ac:dyDescent="0.3">
      <c r="A49" s="37" t="s">
        <v>67</v>
      </c>
      <c r="B49" s="38"/>
      <c r="C49" s="70">
        <f>COUNTIFS(Results!$D:$D,IF($C$4&lt;&gt;"",$C$4,"*"),Results!$U:$U,IF($C$3&lt;&gt;"",$C$3,"*"),Results!$T:$T,IF($D$3&lt;&gt;"",$D$3,"*"),Results!$V:$V,IF($F$3&lt;&gt;"",$F$3,"*"),Results!$L:$L,"Smear Negative",Results!$F:$F,"Positive")</f>
        <v>0</v>
      </c>
      <c r="D49" s="71"/>
      <c r="E49" s="70">
        <f>COUNTIFS(Results!$D:$D,IF($C$4&lt;&gt;"",$C$4,"*"),Results!$U:$U,IF($C$3&lt;&gt;"",$C$3,"*"),Results!$T:$T,IF($D$3&lt;&gt;"",$D$3,"*"),Results!$V:$V,IF($F$3&lt;&gt;"",$F$3,"*"),Results!$L:$L,"Smear Negative",Results!$F:$F,"Negative")</f>
        <v>0</v>
      </c>
      <c r="F49" s="71"/>
      <c r="G49" s="28">
        <f>COUNTIFS(Results!$D:$D,IF($C$4&lt;&gt;"",$C$4,"*"),Results!$U:$U,IF($C$3&lt;&gt;"",$C$3,"*"),Results!$T:$T,IF($D$3&lt;&gt;"",$D$3,"*"),Results!$V:$V,IF($F$3&lt;&gt;"",$F$3,"*"),Results!$L:$L,"Smear Negative",Results!$F:$F,"Trace")</f>
        <v>0</v>
      </c>
      <c r="H49" s="28">
        <f>C49+E49+G49</f>
        <v>0</v>
      </c>
      <c r="I49" s="15"/>
      <c r="J49" s="15"/>
    </row>
    <row r="50" spans="1:10" ht="15" customHeight="1" x14ac:dyDescent="0.3">
      <c r="A50" s="37" t="s">
        <v>68</v>
      </c>
      <c r="B50" s="38"/>
      <c r="C50" s="70">
        <f>COUNTIFS(Results!$D:$D,IF($C$4&lt;&gt;"",$C$4,"*"),Results!$U:$U,IF($C$3&lt;&gt;"",$C$3,"*"),Results!$T:$T,IF($D$3&lt;&gt;"",$D$3,"*"),Results!$V:$V,IF($F$3&lt;&gt;"",$F$3,"*"),Results!$L:$L,"Not Done",Results!$F:$F,"Positive")+COUNTIFS(Results!$D:$D,IF($C$4&lt;&gt;"",$C$4,"*"),Results!$U:$U,IF($C$3&lt;&gt;"",$C$3,"*"),Results!$T:$T,IF($D$3&lt;&gt;"",$D$3,"*"),Results!$V:$V,IF($F$3&lt;&gt;"",$F$3,"*"),Results!$L:$L,"Not On Form",Results!$F:$F,"Positive")+COUNTIFS(Results!$D:$D,IF($C$4&lt;&gt;"",$C$4,"*"),Results!$U:$U,IF($C$3&lt;&gt;"",$C$3,"*"),Results!$T:$T,IF($D$3&lt;&gt;"",$D$3,"*"),Results!$V:$V,IF($F$3&lt;&gt;"",$F$3,"*"),Results!$L:$L,"",Results!$F:$F,"Positive")</f>
        <v>0</v>
      </c>
      <c r="D50" s="71"/>
      <c r="E50" s="70">
        <f>COUNTIFS(Results!$D:$D,IF($C$4&lt;&gt;"",$C$4,"*"),Results!$U:$U,IF($C$3&lt;&gt;"",$C$3,"*"),Results!$T:$T,IF($D$3&lt;&gt;"",$D$3,"*"),Results!$V:$V,IF($F$3&lt;&gt;"",$F$3,"*"),Results!$L:$L,"Not Done",Results!$F:$F,"Negative")+COUNTIFS(Results!$D:$D,IF($C$4&lt;&gt;"",$C$4,"*"),Results!$U:$U,IF($C$3&lt;&gt;"",$C$3,"*"),Results!$T:$T,IF($D$3&lt;&gt;"",$D$3,"*"),Results!$V:$V,IF($F$3&lt;&gt;"",$F$3,"*"),Results!$L:$L,"Not On Form",Results!$F:$F,"Negative")+COUNTIFS(Results!$D:$D,IF($C$4&lt;&gt;"",$C$4,"*"),Results!$U:$U,IF($C$3&lt;&gt;"",$C$3,"*"),Results!$T:$T,IF($D$3&lt;&gt;"",$D$3,"*"),Results!$V:$V,IF($F$3&lt;&gt;"",$F$3,"*"),Results!$L:$L,"",Results!$F:$F,"Negative")</f>
        <v>0</v>
      </c>
      <c r="F50" s="71"/>
      <c r="G50" s="28">
        <f>COUNTIFS(Results!$D:$D,IF($C$4&lt;&gt;"",$C$4,"*"),Results!$U:$U,IF($C$3&lt;&gt;"",$C$3,"*"),Results!$T:$T,IF($D$3&lt;&gt;"",$D$3,"*"),Results!$V:$V,IF($F$3&lt;&gt;"",$F$3,"*"),Results!$L:$L,"Not Done",Results!$F:$F,"Trace")+COUNTIFS(Results!$D:$D,IF($C$4&lt;&gt;"",$C$4,"*"),Results!$U:$U,IF($C$3&lt;&gt;"",$C$3,"*"),Results!$T:$T,IF($D$3&lt;&gt;"",$D$3,"*"),Results!$V:$V,IF($F$3&lt;&gt;"",$F$3,"*"),Results!$L:$L,"Not On Form",Results!$F:$F,"Trace")+COUNTIFS(Results!$D:$D,IF($C$4&lt;&gt;"",$C$4,"*"),Results!$U:$U,IF($C$3&lt;&gt;"",$C$3,"*"),Results!$T:$T,IF($D$3&lt;&gt;"",$D$3,"*"),Results!$V:$V,IF($F$3&lt;&gt;"",$F$3,"*"),Results!$L:$L,"",Results!$F:$F,"Trace")</f>
        <v>0</v>
      </c>
      <c r="H50" s="28">
        <f>C50+E50+G50</f>
        <v>0</v>
      </c>
      <c r="I50" s="15"/>
      <c r="J50" s="15"/>
    </row>
    <row r="51" spans="1:10" ht="15" customHeight="1" x14ac:dyDescent="0.3">
      <c r="A51" s="72" t="s">
        <v>45</v>
      </c>
      <c r="B51" s="72"/>
      <c r="C51" s="70">
        <f>C48+C49+C50</f>
        <v>0</v>
      </c>
      <c r="D51" s="71"/>
      <c r="E51" s="70">
        <f>E48+E49+E50</f>
        <v>0</v>
      </c>
      <c r="F51" s="71"/>
      <c r="G51" s="52">
        <f>G48+G49+G50</f>
        <v>0</v>
      </c>
      <c r="H51" s="52">
        <f>H48+H49+H50</f>
        <v>0</v>
      </c>
      <c r="I51" s="15"/>
      <c r="J51" s="15"/>
    </row>
    <row r="53" spans="1:10" ht="15" customHeight="1" x14ac:dyDescent="0.3">
      <c r="A53" s="32"/>
      <c r="B53" s="32"/>
      <c r="C53" s="83" t="s">
        <v>64</v>
      </c>
      <c r="D53" s="84"/>
      <c r="E53" s="83" t="s">
        <v>65</v>
      </c>
      <c r="F53" s="84"/>
      <c r="G53" s="50" t="s">
        <v>45</v>
      </c>
      <c r="H53" s="15"/>
      <c r="I53" s="15"/>
      <c r="J53" s="15"/>
    </row>
    <row r="54" spans="1:10" ht="15" customHeight="1" x14ac:dyDescent="0.3">
      <c r="A54" s="36" t="s">
        <v>109</v>
      </c>
      <c r="B54" s="29"/>
      <c r="C54" s="66">
        <f>COUNTIFS(Results!$D:$D,IF($C$4&lt;&gt;"",$C$4,"*"),Results!$U:$U,IF($C$3&lt;&gt;"",$C$3,"*"),Results!$T:$T,IF($D$3&lt;&gt;"",$D$3,"*"),Results!$V:$V,IF($F$3&lt;&gt;"",$F$3,"*"),Results!$P:$P,"cxr",Results!$F:$F,"Positive")</f>
        <v>0</v>
      </c>
      <c r="D54" s="67"/>
      <c r="E54" s="66">
        <f>COUNTIFS(Results!$D:$D,IF($C$4&lt;&gt;"",$C$4,"*"),Results!$U:$U,IF($C$3&lt;&gt;"",$C$3,"*"),Results!$T:$T,IF($D$3&lt;&gt;"",$D$3,"*"),Results!$V:$V,IF($F$3&lt;&gt;"",$F$3,"*"),Results!$P:$P,"cxr",Results!$F:$F,"Negative")</f>
        <v>0</v>
      </c>
      <c r="F54" s="67"/>
      <c r="G54" s="53">
        <f>SUM(C54:F54)</f>
        <v>0</v>
      </c>
      <c r="H54" s="15"/>
      <c r="I54" s="15"/>
      <c r="J54" s="31"/>
    </row>
    <row r="55" spans="1:10" ht="15" customHeight="1" x14ac:dyDescent="0.3">
      <c r="A55" s="21"/>
      <c r="B55" s="21"/>
      <c r="C55" s="16"/>
      <c r="D55" s="16"/>
      <c r="E55" s="16"/>
      <c r="F55" s="16"/>
      <c r="G55" s="21"/>
      <c r="H55" s="15"/>
      <c r="I55" s="15"/>
      <c r="J55" s="15"/>
    </row>
    <row r="56" spans="1:10" ht="15" customHeight="1" x14ac:dyDescent="0.3">
      <c r="A56" s="49" t="s">
        <v>110</v>
      </c>
      <c r="B56" s="39"/>
      <c r="C56" s="39"/>
      <c r="D56" s="39"/>
      <c r="E56" s="39"/>
      <c r="F56" s="39"/>
      <c r="G56" s="39"/>
      <c r="H56" s="39"/>
      <c r="I56" s="39"/>
      <c r="J56" s="15"/>
    </row>
    <row r="57" spans="1:10" ht="15" customHeight="1" x14ac:dyDescent="0.3">
      <c r="A57" s="40"/>
      <c r="B57" s="40"/>
      <c r="C57" s="68" t="s">
        <v>69</v>
      </c>
      <c r="D57" s="69"/>
      <c r="E57" s="68" t="s">
        <v>70</v>
      </c>
      <c r="F57" s="69"/>
      <c r="G57" s="39"/>
      <c r="H57" s="39"/>
      <c r="I57" s="39"/>
      <c r="J57" s="15"/>
    </row>
    <row r="58" spans="1:10" ht="15" customHeight="1" x14ac:dyDescent="0.3">
      <c r="A58" s="41" t="s">
        <v>71</v>
      </c>
      <c r="B58" s="42"/>
      <c r="C58" s="62"/>
      <c r="D58" s="63"/>
      <c r="E58" s="62"/>
      <c r="F58" s="63"/>
      <c r="G58" s="39"/>
      <c r="H58" s="39"/>
      <c r="I58" s="39"/>
      <c r="J58" s="15"/>
    </row>
    <row r="59" spans="1:10" ht="15" customHeight="1" x14ac:dyDescent="0.3">
      <c r="A59" s="41" t="s">
        <v>72</v>
      </c>
      <c r="B59" s="42"/>
      <c r="C59" s="62"/>
      <c r="D59" s="63"/>
      <c r="E59" s="62"/>
      <c r="F59" s="63"/>
      <c r="G59" s="39"/>
      <c r="H59" s="39"/>
      <c r="I59" s="39"/>
      <c r="J59" s="15"/>
    </row>
    <row r="60" spans="1:10" ht="15" customHeight="1" x14ac:dyDescent="0.3">
      <c r="A60" s="41" t="s">
        <v>73</v>
      </c>
      <c r="B60" s="42"/>
      <c r="C60" s="64">
        <f>F9</f>
        <v>0</v>
      </c>
      <c r="D60" s="65"/>
      <c r="E60" s="62"/>
      <c r="F60" s="63"/>
      <c r="G60" s="39"/>
      <c r="H60" s="39"/>
      <c r="I60" s="39"/>
      <c r="J60" s="15"/>
    </row>
    <row r="61" spans="1:10" ht="15" customHeight="1" x14ac:dyDescent="0.3">
      <c r="A61" s="41" t="s">
        <v>74</v>
      </c>
      <c r="B61" s="42"/>
      <c r="C61" s="64">
        <f>(C58+C59)-C60</f>
        <v>0</v>
      </c>
      <c r="D61" s="65"/>
      <c r="E61" s="62"/>
      <c r="F61" s="63"/>
      <c r="G61" s="39"/>
      <c r="H61" s="39"/>
      <c r="I61" s="39"/>
      <c r="J61" s="15"/>
    </row>
    <row r="62" spans="1:10" ht="15" customHeight="1" x14ac:dyDescent="0.3">
      <c r="A62" s="45" t="s">
        <v>75</v>
      </c>
      <c r="B62" s="45"/>
      <c r="C62" s="40">
        <f>COUNTIFS(Results!$D:$D,IF($C$4&lt;&gt;"",$C$4,"*"),Results!$U:$U,IF($C$3&lt;&gt;"",$C$3,"*"),Results!$T:$T,IF($D$3&lt;&gt;"",$D$3,"*"),Results!$V:$V,IF($F$3&lt;&gt;"",$F$3,"*"),Results!$F:$F,"Error")+COUNTIFS(Results!$D:$D,IF($C$4&lt;&gt;"",$C$4,"*"),Results!$U:$U,IF($C$3&lt;&gt;"",$C$3,"*"),Results!$T:$T,IF($D$3&lt;&gt;"",$D$3,"*"),Results!$V:$V,IF($F$3&lt;&gt;"",$F$3,"*"),Results!$F:$F,"Invalid")</f>
        <v>0</v>
      </c>
      <c r="D62" s="39"/>
      <c r="E62" s="39"/>
      <c r="F62" s="39"/>
      <c r="G62" s="39"/>
      <c r="H62" s="39"/>
      <c r="I62" s="39"/>
      <c r="J62" s="15"/>
    </row>
    <row r="63" spans="1:10" ht="15" customHeight="1" x14ac:dyDescent="0.3">
      <c r="A63" s="45" t="s">
        <v>76</v>
      </c>
      <c r="B63" s="40"/>
      <c r="C63" s="40">
        <f>COUNTIFS(Results!$D:$D,IF($C$4&lt;&gt;"",$C$4,"*"),Results!$U:$U,IF($C$3&lt;&gt;"",$C$3,"*"),Results!$T:$T,IF($D$3&lt;&gt;"",$D$3,"*"),Results!$V:$V,IF($F$3&lt;&gt;"",$F$3,"*"),Results!$F:$F,"No Result")</f>
        <v>0</v>
      </c>
      <c r="D63" s="39"/>
      <c r="E63" s="39"/>
      <c r="F63" s="39"/>
      <c r="G63" s="39"/>
      <c r="H63" s="39"/>
      <c r="I63" s="39"/>
      <c r="J63" s="15"/>
    </row>
    <row r="64" spans="1:10" ht="15" customHeight="1" x14ac:dyDescent="0.3">
      <c r="A64" s="39"/>
      <c r="B64" s="39"/>
      <c r="C64" s="39"/>
      <c r="D64" s="39"/>
      <c r="E64" s="39"/>
      <c r="F64" s="39"/>
      <c r="G64" s="39"/>
      <c r="H64" s="39"/>
      <c r="I64" s="39"/>
      <c r="J64" s="15"/>
    </row>
    <row r="65" spans="1:9" ht="15" customHeight="1" x14ac:dyDescent="0.3">
      <c r="A65" s="39"/>
      <c r="B65" s="39"/>
      <c r="C65" s="39"/>
      <c r="D65" s="39"/>
      <c r="E65" s="39" t="s">
        <v>77</v>
      </c>
      <c r="F65" s="43"/>
      <c r="G65" s="43"/>
      <c r="H65" s="39"/>
      <c r="I65" s="39"/>
    </row>
    <row r="66" spans="1:9" ht="15" customHeight="1" x14ac:dyDescent="0.3">
      <c r="A66" s="39"/>
      <c r="B66" s="39"/>
      <c r="C66" s="39"/>
      <c r="D66" s="39"/>
      <c r="E66" s="39" t="s">
        <v>78</v>
      </c>
      <c r="F66" s="44"/>
      <c r="G66" s="44"/>
      <c r="H66" s="39"/>
      <c r="I66" s="39"/>
    </row>
    <row r="67" spans="1:9" ht="15" customHeight="1" x14ac:dyDescent="0.3">
      <c r="A67" s="39"/>
      <c r="B67" s="39"/>
      <c r="C67" s="39"/>
      <c r="D67" s="39"/>
      <c r="E67" s="39" t="s">
        <v>79</v>
      </c>
      <c r="F67" s="44"/>
      <c r="G67" s="44"/>
      <c r="H67" s="39"/>
      <c r="I67" s="39"/>
    </row>
    <row r="68" spans="1:9" ht="15" customHeight="1" x14ac:dyDescent="0.3">
      <c r="A68" s="39"/>
      <c r="B68" s="39"/>
      <c r="C68" s="39"/>
      <c r="D68" s="39"/>
      <c r="E68" s="39" t="s">
        <v>80</v>
      </c>
      <c r="F68" s="44"/>
      <c r="G68" s="44"/>
      <c r="H68" s="39"/>
      <c r="I68" s="39"/>
    </row>
    <row r="69" spans="1:9" ht="15" customHeight="1" x14ac:dyDescent="0.3">
      <c r="A69" s="39"/>
      <c r="B69" s="39"/>
      <c r="C69" s="39"/>
      <c r="D69" s="39"/>
      <c r="E69" s="39"/>
      <c r="F69" s="39"/>
      <c r="G69" s="39"/>
      <c r="H69" s="39"/>
      <c r="I69" s="39"/>
    </row>
    <row r="70" spans="1:9" ht="15" customHeight="1" x14ac:dyDescent="0.3">
      <c r="A70" s="39"/>
      <c r="B70" s="39"/>
      <c r="C70" s="39"/>
      <c r="D70" s="39"/>
      <c r="E70" s="39"/>
      <c r="F70" s="39"/>
      <c r="G70" s="39"/>
      <c r="H70" s="39"/>
      <c r="I70" s="39"/>
    </row>
  </sheetData>
  <mergeCells count="48">
    <mergeCell ref="H5:J6"/>
    <mergeCell ref="A51:B51"/>
    <mergeCell ref="J48:K48"/>
    <mergeCell ref="C51:D51"/>
    <mergeCell ref="E51:F51"/>
    <mergeCell ref="A12:A13"/>
    <mergeCell ref="B12:C12"/>
    <mergeCell ref="D12:E12"/>
    <mergeCell ref="F12:F13"/>
    <mergeCell ref="A23:B23"/>
    <mergeCell ref="C50:D50"/>
    <mergeCell ref="E50:F50"/>
    <mergeCell ref="E44:F44"/>
    <mergeCell ref="A18:A22"/>
    <mergeCell ref="A27:A31"/>
    <mergeCell ref="A36:A40"/>
    <mergeCell ref="C43:D43"/>
    <mergeCell ref="C53:D53"/>
    <mergeCell ref="E53:F53"/>
    <mergeCell ref="C54:D54"/>
    <mergeCell ref="E54:F54"/>
    <mergeCell ref="C47:D47"/>
    <mergeCell ref="E47:F47"/>
    <mergeCell ref="C48:D48"/>
    <mergeCell ref="E48:F48"/>
    <mergeCell ref="C49:D49"/>
    <mergeCell ref="E49:F49"/>
    <mergeCell ref="E43:F43"/>
    <mergeCell ref="C44:D44"/>
    <mergeCell ref="C60:D60"/>
    <mergeCell ref="E60:F60"/>
    <mergeCell ref="C61:D61"/>
    <mergeCell ref="E61:F61"/>
    <mergeCell ref="C57:D57"/>
    <mergeCell ref="E57:F57"/>
    <mergeCell ref="C58:D58"/>
    <mergeCell ref="E58:F58"/>
    <mergeCell ref="C59:D59"/>
    <mergeCell ref="E59:F59"/>
    <mergeCell ref="A32:B32"/>
    <mergeCell ref="A41:B41"/>
    <mergeCell ref="A1:F1"/>
    <mergeCell ref="A7:A8"/>
    <mergeCell ref="B7:C7"/>
    <mergeCell ref="D7:E7"/>
    <mergeCell ref="F7:F8"/>
    <mergeCell ref="D3:E3"/>
    <mergeCell ref="D2:E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8</vt:i4>
      </vt:variant>
    </vt:vector>
  </HeadingPairs>
  <TitlesOfParts>
    <vt:vector size="26" baseType="lpstr">
      <vt:lpstr>Results</vt:lpstr>
      <vt:lpstr>Jan</vt:lpstr>
      <vt:lpstr>Feb</vt:lpstr>
      <vt:lpstr>Mar</vt:lpstr>
      <vt:lpstr>Q1</vt:lpstr>
      <vt:lpstr>Apr</vt:lpstr>
      <vt:lpstr>May</vt:lpstr>
      <vt:lpstr>Jun</vt:lpstr>
      <vt:lpstr>Q2</vt:lpstr>
      <vt:lpstr>Jul</vt:lpstr>
      <vt:lpstr>Aug</vt:lpstr>
      <vt:lpstr>Sep</vt:lpstr>
      <vt:lpstr>Q3</vt:lpstr>
      <vt:lpstr>Oct</vt:lpstr>
      <vt:lpstr>Nov</vt:lpstr>
      <vt:lpstr>Dec</vt:lpstr>
      <vt:lpstr>Q4</vt:lpstr>
      <vt:lpstr>Annual</vt:lpstr>
      <vt:lpstr>GeneAge</vt:lpstr>
      <vt:lpstr>GeneDate</vt:lpstr>
      <vt:lpstr>GeneDeployment</vt:lpstr>
      <vt:lpstr>GeneHIV</vt:lpstr>
      <vt:lpstr>GeneLab</vt:lpstr>
      <vt:lpstr>GeneMTB</vt:lpstr>
      <vt:lpstr>GeneRif</vt:lpstr>
      <vt:lpstr>GeneSex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2024-11-15T10:51:42Z</dcterms:created>
  <dcterms:modified xsi:type="dcterms:W3CDTF">2024-11-15T10:51:42Z</dcterms:modified>
</cp:coreProperties>
</file>