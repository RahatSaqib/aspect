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760" windowWidth="20960" windowHeight="12640"/>
  </bookViews>
  <sheets>
    <sheet sheetId="1" name="Device and Site Summary Report" state="visible" r:id="rId4"/>
  </sheets>
  <calcPr calcId="171027"/>
</workbook>
</file>

<file path=xl/sharedStrings.xml><?xml version="1.0" encoding="utf-8"?>
<sst xmlns="http://schemas.openxmlformats.org/spreadsheetml/2006/main" count="33" uniqueCount="33">
  <si>
    <t>Device and Site Summary Report</t>
  </si>
  <si>
    <t>Dates: &lt;Dates&gt;</t>
  </si>
  <si>
    <t>&lt;StatesLabel&gt;: &lt;States&gt;</t>
  </si>
  <si>
    <t>&lt;LgasLabel&gt;: &lt;Lgas&gt;</t>
  </si>
  <si>
    <t>&lt;SitesLabel&gt;: &lt;Sites&gt;</t>
  </si>
  <si>
    <t>&lt;AssaysLabel&gt;: &lt;Assays&gt;</t>
  </si>
  <si>
    <t>&lt;DecommissionedDevicesLabel&gt;: &lt;DecommissionedDevices&gt;</t>
  </si>
  <si>
    <t>&lt;Table&gt;</t>
  </si>
  <si>
    <t>Device</t>
  </si>
  <si>
    <t>Site</t>
  </si>
  <si>
    <t>State</t>
  </si>
  <si>
    <t>Total</t>
  </si>
  <si>
    <t>MTB-</t>
  </si>
  <si>
    <t>MTB+ Trace</t>
  </si>
  <si>
    <t>MTB+ Rif-</t>
  </si>
  <si>
    <t>MTB+ Rif+</t>
  </si>
  <si>
    <t>MTB+ Rif?</t>
  </si>
  <si>
    <t>Invalid</t>
  </si>
  <si>
    <t>No Result</t>
  </si>
  <si>
    <t>Errors</t>
  </si>
  <si>
    <t xml:space="preserve">Error
Percentage</t>
  </si>
  <si>
    <t>&lt;name&gt;</t>
  </si>
  <si>
    <t>&lt;siteName&gt;</t>
  </si>
  <si>
    <t>&lt;stateName&gt;</t>
  </si>
  <si>
    <t>&lt;mtbNotDetected&gt;</t>
  </si>
  <si>
    <t>&lt;mtbTraceDetected&gt;</t>
  </si>
  <si>
    <t>&lt;mtbDetectedRifNotDetected&gt;</t>
  </si>
  <si>
    <t>&lt;mtbDetectedRifDetected&gt;</t>
  </si>
  <si>
    <t>&lt;mtbDetectedRifIndeterminate&gt;</t>
  </si>
  <si>
    <t>&lt;mtbInvalid&gt;</t>
  </si>
  <si>
    <t>&lt;mtbNoResult&gt;</t>
  </si>
  <si>
    <t>&lt;mtbError&gt;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</si>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</sst>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 hh:mm"/>
    <numFmt numFmtId="165" formatCode="[$-409]mmmm d&quot;, &quot;yyyy"/>
  </numFmts>
  <fonts count="8" x14ac:knownFonts="1">
    <font>
      <color theme="1"/>
      <family val="2"/>
      <scheme val="minor"/>
      <sz val="11"/>
      <name val="Calibri"/>
    </font>
    <font>
      <b/>
      <family val="2"/>
      <sz val="16"/>
      <name val="Calibri"/>
    </font>
    <font>
      <color theme="1"/>
      <family val="2"/>
      <sz val="12"/>
      <name val="Calibri"/>
    </font>
    <font>
      <family val="2"/>
      <sz val="12"/>
      <name val="Calibri"/>
    </font>
    <font>
      <b/>
      <color theme="1"/>
      <family val="2"/>
      <sz val="12"/>
      <name val="Calibri"/>
    </font>
    <font>
      <color theme="1"/>
      <family val="2"/>
      <scheme val="minor"/>
      <sz val="12"/>
      <name val="Calibri"/>
    </font>
    <font>
      <b/>
      <family val="2"/>
      <scheme val="minor"/>
      <sz val="12"/>
      <name val="Calibri"/>
    </font>
    <font>
      <family val="2"/>
      <scheme val="minor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3CC0DD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/>
      <bottom style="medium"/>
      <diagonal/>
    </border>
    <border>
      <left style="thin"/>
      <right style="thin"/>
      <top/>
      <bottom style="medium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164" fontId="4" fillId="2" borderId="1" xfId="0" applyNumberFormat="1" applyFont="1" applyFill="1" applyBorder="1"/>
    <xf numFmtId="164" fontId="4" fillId="2" borderId="2" xfId="0" applyNumberFormat="1" applyFont="1" applyFill="1" applyBorder="1"/>
    <xf numFmtId="164" fontId="4" fillId="2" borderId="1" xfId="0" applyNumberFormat="1" applyFont="1" applyFill="1" applyBorder="1" applyAlignment="1">
      <alignment wrapText="1"/>
    </xf>
    <xf numFmtId="165" fontId="3" fillId="0" borderId="3" xfId="0" applyNumberFormat="1" applyFont="1" applyBorder="1"/>
    <xf numFmtId="0" fontId="5" fillId="0" borderId="4" xfId="0" applyFont="1" applyBorder="1"/>
    <xf numFmtId="10" fontId="5" fillId="0" borderId="4" xfId="0" applyNumberFormat="1" applyFont="1" applyBorder="1"/>
    <xf numFmtId="0" fontId="6" fillId="0" borderId="5" xfId="0" applyFont="1" applyBorder="1"/>
    <xf numFmtId="0" fontId="7" fillId="0" borderId="6" xfId="0" applyFont="1" applyBorder="1"/>
    <xf numFmtId="10" fontId="7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 showGridLines="0" zoomScale="100" zoomScaleNormal="100">
      <pane ySplit="8" topLeftCell="A9" activePane="bottomLeft" state="frozen"/>
      <selection pane="bottomLeft" activeCell="A9" sqref="A9"/>
    </sheetView>
  </sheetViews>
  <sheetFormatPr defaultRowHeight="15" outlineLevelRow="0" outlineLevelCol="0" x14ac:dyDescent="0.2" defaultColWidth="11.1640625"/>
  <cols>
    <col min="1" max="1" width="10.83203125" customWidth="1"/>
    <col min="2" max="2" width="36.83203125" customWidth="1"/>
    <col min="3" max="3" width="27" customWidth="1"/>
    <col min="4" max="4" width="14" customWidth="1"/>
    <col min="13" max="13" width="10.33203125" customWidth="1"/>
  </cols>
  <sheetData>
    <row r="1" ht="27.75" customHeight="1" spans="1:2" x14ac:dyDescent="0.25">
      <c r="A1" s="1" t="s">
        <v>0</v>
      </c>
      <c r="B1" s="1"/>
    </row>
    <row r="2" ht="15" customHeight="1" spans="1:1" x14ac:dyDescent="0.25">
      <c r="A2" s="2" t="s">
        <v>1</v>
      </c>
    </row>
    <row r="3" ht="15.75" customHeight="1" spans="1:1" x14ac:dyDescent="0.25">
      <c r="A3" s="2" t="s">
        <v>2</v>
      </c>
    </row>
    <row r="4" ht="15.75" customHeight="1" spans="1:1" x14ac:dyDescent="0.25">
      <c r="A4" s="2" t="s">
        <v>3</v>
      </c>
    </row>
    <row r="5" ht="15.75" customHeight="1" spans="1:1" x14ac:dyDescent="0.25">
      <c r="A5" s="3" t="s">
        <v>4</v>
      </c>
    </row>
    <row r="6" ht="15.75" customHeight="1" spans="1:1" x14ac:dyDescent="0.25">
      <c r="A6" s="2" t="s">
        <v>5</v>
      </c>
    </row>
    <row r="7" ht="15.75" customHeight="1" spans="1:1" x14ac:dyDescent="0.25">
      <c r="A7" s="2" t="s">
        <v>6</v>
      </c>
    </row>
    <row r="8" ht="15.75" customHeight="1" spans="1:1" x14ac:dyDescent="0.25">
      <c r="A8" s="2" t="s">
        <v>7</v>
      </c>
    </row>
    <row r="9" ht="67.5" customHeight="1" spans="1:13" x14ac:dyDescent="0.25">
      <c r="A9" s="4" t="s">
        <v>8</v>
      </c>
      <c r="B9" s="4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14</v>
      </c>
      <c r="H9" s="5" t="s">
        <v>15</v>
      </c>
      <c r="I9" s="5" t="s">
        <v>16</v>
      </c>
      <c r="J9" s="5" t="s">
        <v>17</v>
      </c>
      <c r="K9" s="5" t="s">
        <v>18</v>
      </c>
      <c r="L9" s="5" t="s">
        <v>19</v>
      </c>
      <c r="M9" s="6" t="s">
        <v>20</v>
      </c>
    </row>
    <row r="10" ht="15.75" customHeight="1" spans="1:13" x14ac:dyDescent="0.25">
      <c r="A10" s="7" t="s">
        <v>21</v>
      </c>
      <c r="B10" s="7" t="s">
        <v>22</v>
      </c>
      <c r="C10" s="7" t="s">
        <v>23</v>
      </c>
      <c r="D10" s="8" t="e">
        <f>E9+F9+G9+H9+I9+J9+K9+L9</f>
        <v>#VALUE!</v>
      </c>
      <c r="E10" s="8" t="s">
        <v>24</v>
      </c>
      <c r="F10" s="8" t="s">
        <v>25</v>
      </c>
      <c r="G10" s="8" t="s">
        <v>26</v>
      </c>
      <c r="H10" s="8" t="s">
        <v>27</v>
      </c>
      <c r="I10" s="8" t="s">
        <v>28</v>
      </c>
      <c r="J10" s="8" t="s">
        <v>29</v>
      </c>
      <c r="K10" s="8" t="s">
        <v>30</v>
      </c>
      <c r="L10" s="8" t="s">
        <v>31</v>
      </c>
      <c r="M10" s="9" t="e">
        <f>IF(D9&gt;0,L9/D9,0)</f>
        <v>#VALUE!</v>
      </c>
    </row>
    <row r="11" ht="15.75" customHeight="1" spans="1:13" x14ac:dyDescent="0.25">
      <c r="A11" s="10" t="s">
        <v>32</v>
      </c>
      <c r="B11" s="11"/>
      <c r="C11" s="11"/>
      <c r="D11" s="11" t="e">
        <f>SUM(D$9:D9)</f>
        <v>#VALUE!</v>
      </c>
      <c r="E11" s="11">
        <f>SUM(E$9:E9)</f>
      </c>
      <c r="F11" s="11">
        <f>SUM(F$9:F9)</f>
      </c>
      <c r="G11" s="11">
        <f>SUM(G$9:G9)</f>
      </c>
      <c r="H11" s="11">
        <f>SUM(H$9:H9)</f>
      </c>
      <c r="I11" s="11">
        <f>SUM(I$9:I9)</f>
      </c>
      <c r="J11" s="11">
        <f>SUM(J$9:J9)</f>
      </c>
      <c r="K11" s="11">
        <f>SUM(K$9:K9)</f>
      </c>
      <c r="L11" s="11">
        <f>SUM(L$9:L9)</f>
      </c>
      <c r="M11" s="12" t="e">
        <f>IF(D10&gt;0,L10/D10,0)</f>
        <v>#VALUE!</v>
      </c>
    </row>
  </sheetData>
  <pageMargins left="0.7875000000000001" right="0.7875000000000001" top="1.05277777777778" bottom="1.05277777777778" header="0" footer="0"/>
  <pageSetup paperSize="9" orientation="portrait" horizontalDpi="4294967295" verticalDpi="4294967295" scale="100" fitToWidth="1" fitToHeight="1" firstPageNumber="1" useFirstPageNumber="1" copies="1"/>
  <headerFooter>
    <oddHeader>&amp;Cffffff&amp;A</oddHeader>
    <oddFooter>&amp;CffffffPage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and Site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revision>2</cp:revision>
  <dcterms:created xsi:type="dcterms:W3CDTF">2026-06-09T21:51:18Z</dcterms:created>
  <dcterms:modified xsi:type="dcterms:W3CDTF">2026-06-11T18:55:13Z</dcterms:modified>
</cp:coreProperties>
</file>