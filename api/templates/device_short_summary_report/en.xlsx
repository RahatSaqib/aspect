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Device and Site Summary Repor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<sst xmlns="http://schemas.openxmlformats.org/spreadsheetml/2006/main" count="30" uniqueCount="30">
  <si>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t xml:space="preserve">Device and Site Summary Report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</si>
  <si>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</si>
  <si>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</si>
  <si>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</si>
  <si>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</si>
  <si>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&lt;AssaysLabel&gt;: &lt;Assays&gt;</t>
  </si>
  <si>
    <t>&lt;Table&gt;</t>
  </si>
  <si>
    <t>Device</t>
  </si>
  <si>
    <t>State</t>
  </si>
  <si>
    <t>Total</t>
  </si>
  <si>
    <t>MTB-</t>
  </si>
  <si>
    <t xml:space="preserve">MTB+ Trace</t>
  </si>
  <si>
    <t xml:space="preserve">MTB+ Rif-</t>
  </si>
  <si>
    <t xml:space="preserve">MTB+ Rif+</t>
  </si>
  <si>
    <t xml:space="preserve">MTB+ Rif?</t>
  </si>
  <si>
    <t>Invalid</t>
  </si>
  <si>
    <t xml:space="preserve">No Result</t>
  </si>
  <si>
    <t>Errors</t>
  </si>
  <si>
    <t xml:space="preserve">Error Percentage</t>
  </si>
  <si>
    <t>&lt;name&gt;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</si>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</sst>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yyyy\-mm\-dd\ hh:mm"/>
    <numFmt numFmtId="165" formatCode="[$-409]mmmm\ d&quot;, &quot;yyyy"/>
  </numFmts>
  <fonts count="7">
    <font>
      <sz val="12.000000"/>
      <name val="Calibri"/>
      <scheme val="minor"/>
    </font>
    <font>
      <b/>
      <sz val="16.000000"/>
      <name val="Calibri"/>
    </font>
    <font>
      <sz val="12.000000"/>
      <color theme="1"/>
      <name val="Calibri"/>
    </font>
    <font>
      <sz val="12.000000"/>
      <name val="Calibri"/>
    </font>
    <font>
      <b/>
      <sz val="12.000000"/>
      <color theme="1"/>
      <name val="Calibri"/>
    </font>
    <font>
      <sz val="12.000000"/>
      <color theme="1"/>
      <name val="Calibri"/>
      <scheme val="minor"/>
    </font>
    <font>
      <b/>
      <sz val="12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9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3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 applyAlignment="1">
      <alignment wrapText="1"/>
    </xf>
    <xf fontId="4" fillId="2" borderId="1" numFmtId="164" xfId="0" applyNumberFormat="1" applyFont="1" applyFill="1" applyBorder="1"/>
    <xf fontId="4" fillId="2" borderId="2" numFmtId="164" xfId="0" applyNumberFormat="1" applyFont="1" applyFill="1" applyBorder="1"/>
    <xf fontId="3" fillId="0" borderId="3" numFmtId="165" xfId="0" applyNumberFormat="1" applyFont="1" applyBorder="1"/>
    <xf fontId="3" fillId="0" borderId="4" numFmtId="165" xfId="0" applyNumberFormat="1" applyFont="1" applyBorder="1"/>
    <xf fontId="5" fillId="0" borderId="5" numFmtId="0" xfId="0" applyFont="1" applyBorder="1"/>
    <xf fontId="5" fillId="0" borderId="5" numFmtId="10" xfId="0" applyNumberFormat="1" applyFont="1" applyBorder="1"/>
    <xf fontId="6" fillId="0" borderId="6" numFmtId="0" xfId="0" applyFont="1" applyBorder="1"/>
    <xf fontId="0" fillId="0" borderId="7" numFmtId="0" xfId="0" applyBorder="1"/>
    <xf fontId="0" fillId="0" borderId="8" numFmtId="0" xfId="0" applyBorder="1"/>
  </cellXfs>
  <cellStyles count="1">
    <cellStyle name="Normal" xfId="0" builtinId="0"/>
  </cellStyles>
  <dxfs count="1">
    <dxf>
      <fill>
        <patternFill patternType="solid">
          <fgColor rgb="FF00B0F0"/>
          <bgColor rgb="FF00B0F0"/>
        </patternFill>
      </fill>
    </dxf>
  </dxfs>
  <tableStyles count="1" defaultTableStyle="TableStyleMedium2" defaultPivotStyle="PivotStyleLight16">
    <tableStyle name="Table Style 1" pivot="0" count="1">
      <tableStyleElement type="wholeTable" size="1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ySplit="8" topLeftCell="A9" activePane="bottomLeft" state="frozen"/>
      <selection activeCell="A9" activeCellId="0" sqref="A9"/>
    </sheetView>
  </sheetViews>
  <sheetFormatPr baseColWidth="10" defaultColWidth="11.1640625" defaultRowHeight="15" customHeight="1"/>
  <cols>
    <col customWidth="1" min="1" max="2" width="27"/>
    <col customWidth="1" min="3" max="3" width="14"/>
  </cols>
  <sheetData>
    <row r="1" ht="27.75" customHeight="1">
      <c r="A1" s="1" t="s">
        <v>0</v>
      </c>
      <c r="B1" s="1"/>
    </row>
    <row r="2" ht="15" customHeight="1">
      <c r="A2" s="2" t="s">
        <v>1</v>
      </c>
    </row>
    <row r="3" ht="15.75" customHeight="1">
      <c r="A3" s="2" t="s">
        <v>2</v>
      </c>
    </row>
    <row r="4" ht="15.75" customHeight="1">
      <c r="A4" s="2" t="s">
        <v>3</v>
      </c>
    </row>
    <row r="5" ht="15.75" customHeight="1">
      <c r="A5" s="3" t="s">
        <v>4</v>
      </c>
    </row>
    <row r="6" ht="15.75" customHeight="1">
      <c r="A6" s="2" t="s">
        <v>5</v>
      </c>
    </row>
    <row r="7" ht="15.75" customHeight="1">
      <c r="A7" s="2" t="s">
        <v>6</v>
      </c>
    </row>
    <row r="8" ht="67.5" customHeight="1">
      <c r="A8" s="4" t="s">
        <v>7</v>
      </c>
      <c r="B8" s="5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5" t="s">
        <v>16</v>
      </c>
      <c r="K8" s="5" t="s">
        <v>17</v>
      </c>
      <c r="L8" s="5" t="s">
        <v>18</v>
      </c>
    </row>
    <row r="9" ht="15.75" customHeight="1">
      <c r="A9" s="6" t="s">
        <v>19</v>
      </c>
      <c r="B9" s="7" t="s">
        <v>20</v>
      </c>
      <c r="C9" s="8" t="e">
        <f>D9+E9+F9+G9+H9+I9+J9+K9</f>
        <v>#VALUE!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28</v>
      </c>
      <c r="L9" s="9" t="e">
        <f>IF(C9=0,0,K9/C9)</f>
        <v>#VALUE!</v>
      </c>
    </row>
    <row r="10" ht="15.75" customHeight="1">
      <c r="A10" s="10" t="s">
        <v>29</v>
      </c>
      <c r="B10" s="11"/>
      <c r="C10" s="12" t="e">
        <f>SUM(C$9:C9)</f>
        <v>#VALUE!</v>
      </c>
      <c r="D10" s="12">
        <f>SUM(D$9:D9)</f>
        <v>0</v>
      </c>
      <c r="E10" s="12">
        <f>SUM(E$9:E9)</f>
        <v>0</v>
      </c>
      <c r="F10" s="12">
        <f>SUM(F$9:F9)</f>
        <v>0</v>
      </c>
      <c r="G10" s="12">
        <f>SUM(G$9:G9)</f>
        <v>0</v>
      </c>
      <c r="H10" s="12">
        <f>SUM(H$9:H9)</f>
        <v>0</v>
      </c>
      <c r="I10" s="12">
        <f>SUM(I$9:I9)</f>
        <v>0</v>
      </c>
      <c r="J10" s="12">
        <f>SUM(J$9:J9)</f>
        <v>0</v>
      </c>
      <c r="K10" s="12">
        <f>SUM(K$9:K9)</f>
        <v>0</v>
      </c>
    </row>
  </sheetData>
  <printOptions headings="0" gridLines="0"/>
  <pageMargins left="0.78750000000000009" right="0.78750000000000009" top="1.05277777777778" bottom="1.052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2026-05-21T07:18:23Z</dcterms:modified>
</cp:coreProperties>
</file>