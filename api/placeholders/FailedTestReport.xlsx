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510"/>
  <workbookPr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bookViews>
    <workbookView xWindow="0" yWindow="460" windowWidth="25600" windowHeight="15540" tabRatio="815"/>
  </bookViews>
  <sheets>
    <sheet name="Errors by Device" sheetId="1" r:id="rId1"/>
    <sheet name="Error Codes by Device" sheetId="2" r:id="rId2"/>
    <sheet name="Error Codes" sheetId="3" r:id="rId3"/>
  </sheets>
  <calcPr calcId="150001" fullPrecision="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2" l="1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J17" i="1"/>
  <c r="J15" i="1"/>
  <c r="J14" i="1"/>
  <c r="J13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<sst xmlns="http://schemas.openxmlformats.org/spreadsheetml/2006/main" count="171" uniqueCount="106">
  <si>
    <t>MTB-</t>
  </si>
  <si>
    <t>MTB+ Rif-</t>
  </si>
  <si>
    <t>MTB+ Rif+</t>
  </si>
  <si>
    <t>Invalid</t>
  </si>
  <si>
    <t>Errors</t>
  </si>
  <si>
    <t>&lt;MtbNegative&gt;</t>
  </si>
  <si>
    <t>&lt;MtbPositiveRifNegative&gt;</t>
  </si>
  <si>
    <t>&lt;MtbPositiveRifIndeterminate&gt;</t>
  </si>
  <si>
    <t>&lt;MtbPositiveRifPositive&gt;</t>
  </si>
  <si>
    <t>Deployment</t>
  </si>
  <si>
    <t>Last Upload</t>
  </si>
  <si>
    <t>MTB+ Rif?</t>
  </si>
  <si>
    <t>Error Percentage</t>
  </si>
  <si>
    <t>Other Error</t>
  </si>
  <si>
    <t>Invalid Results</t>
  </si>
  <si>
    <t>Total errors, invalid results, no results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</si>
  <si>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</si>
  <si>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</si>
  <si>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</si>
  <si>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</si>
  <si>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</si>
  <si>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</si>
  <si>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</si>
  <si>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</si>
  <si>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</si>
  <si>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</si>
  <si>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</si>
  <si>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</si>
  <si>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</si>
  <si>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</si>
  <si>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</si>
  <si>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</si>
  <si>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</si>
  <si>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</si>
  <si>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</si>
  <si>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</si>
  <si>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</si>
  <si>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</si>
  <si>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</si>
  <si>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</si>
  <si>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</si>
  <si>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</si>
  <si>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</si>
  <si>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</si>
  <si>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</si>
  <si>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</si>
  <si>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</si>
  <si>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</si>
  <si>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</si>
  <si>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Error Codes by Device</t>
  </si>
  <si>
    <t>Type of error</t>
  </si>
  <si>
    <t>Total Tests Run During Period</t>
  </si>
  <si>
    <t>States: Georgia, Massachusetts, Ohio, Pennsylvania</t>
  </si>
  <si>
    <t>County: , Allegheny County, Cuyahoga County, Fulton County, Hampshire County, Philadelphia County, Suffolk County, Summit County, Wayne County</t>
  </si>
  <si>
    <t>Zankli Medical Cente</t>
  </si>
  <si>
    <t>Worawora</t>
  </si>
  <si>
    <t>Wooster CTRL</t>
  </si>
  <si>
    <t>Wooster Community</t>
  </si>
  <si>
    <t>VRH,Ho</t>
  </si>
  <si>
    <t>systemonetest</t>
  </si>
  <si>
    <t>SSH Ikole Ekiti</t>
  </si>
  <si>
    <t>Sogakope</t>
  </si>
  <si>
    <t>Shelburne Falls Lab</t>
  </si>
  <si>
    <t>Pittsburgh Lab</t>
  </si>
  <si>
    <t>Philadelphia Lab I</t>
  </si>
  <si>
    <t>Papase</t>
  </si>
  <si>
    <t>Northampton Hospital</t>
  </si>
  <si>
    <t>Nkwanta, VR</t>
  </si>
  <si>
    <t>Nkawie-Toase</t>
  </si>
  <si>
    <t>LIS</t>
  </si>
  <si>
    <t>Kumasi South</t>
  </si>
  <si>
    <t>Kuje GH</t>
  </si>
  <si>
    <t>Kpassa</t>
  </si>
  <si>
    <t>Kpando</t>
  </si>
  <si>
    <t>Keta</t>
  </si>
  <si>
    <t>KCCR</t>
  </si>
  <si>
    <t>KATH</t>
  </si>
  <si>
    <t>ISSH Owerri</t>
  </si>
  <si>
    <t>INFECTIOUS DISEASE H</t>
  </si>
  <si>
    <t>Hohoe</t>
  </si>
  <si>
    <t>GH Otukpo</t>
  </si>
  <si>
    <t>GH KUJE</t>
  </si>
  <si>
    <t>GH KATSINA-ALA</t>
  </si>
  <si>
    <t>GH Kagarko</t>
  </si>
  <si>
    <t>GH IKONO</t>
  </si>
  <si>
    <t>Genexpert</t>
  </si>
  <si>
    <t>General Hospital Kon</t>
  </si>
  <si>
    <t>GENERAL HOSPITAL KAU</t>
  </si>
  <si>
    <t>General Hospital Iqu</t>
  </si>
  <si>
    <t>FMC Makurdi</t>
  </si>
  <si>
    <t>Dzodze</t>
  </si>
  <si>
    <t>CTRL LAB</t>
  </si>
  <si>
    <t>Cleveland Lab</t>
  </si>
  <si>
    <t>CHC AWA</t>
  </si>
  <si>
    <t>Boston Micro Labs</t>
  </si>
  <si>
    <t>Atlanta Lab</t>
  </si>
  <si>
    <t>Ankaase Meth Hosp</t>
  </si>
  <si>
    <t>Akron Labs</t>
  </si>
  <si>
    <t>Aflao</t>
  </si>
  <si>
    <t>68 NARH Yaba</t>
  </si>
  <si>
    <t>Subtotal for Massachusetts</t>
  </si>
  <si>
    <t>Subtotal for Ohio</t>
  </si>
  <si>
    <t>Subtotal for Pennsylvania</t>
  </si>
  <si>
    <t>Total</t>
  </si>
  <si>
    <t>Dates: -</t>
  </si>
  <si>
    <t>Failed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</si>
</sst>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</cellStyleXfs>
  <cellXfs count="98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8" xfId="0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0" fontId="0" fillId="0" borderId="4" xfId="0" applyBorder="1"/>
    <xf numFmtId="9" fontId="0" fillId="0" borderId="4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/>
  </sheetViews>
  <sheetFormatPr baseColWidth="10" defaultColWidth="11" defaultRowHeight="16" x14ac:dyDescent="0.2"/>
  <cols>
    <col min="1" max="1" width="27.1640625" customWidth="1"/>
    <col min="2" max="2" width="19.1640625" customWidth="1"/>
    <col min="3" max="3" width="14.83203125" customWidth="1"/>
    <col min="4" max="6" width="0" hidden="1" customWidth="1"/>
    <col min="7" max="7" width="3" hidden="1" customWidth="1"/>
    <col min="8" max="8" width="11" customWidth="1"/>
    <col min="10" max="10" width="17" customWidth="1"/>
  </cols>
  <sheetData>
    <row r="1" spans="1:10" ht="21" x14ac:dyDescent="0.25">
      <c r="A1" s="1" t="s">
        <v>105</v>
      </c>
    </row>
    <row r="3" spans="1:10" ht="17" thickBot="1" x14ac:dyDescent="0.25"/>
    <row r="4" spans="1:10" s="2" customFormat="1" ht="96" x14ac:dyDescent="0.2">
      <c r="A4" s="3" t="s">
        <v>9</v>
      </c>
      <c r="B4" s="4" t="s">
        <v>10</v>
      </c>
      <c r="C4" s="4" t="s">
        <v>51</v>
      </c>
      <c r="D4" s="5" t="s">
        <v>0</v>
      </c>
      <c r="E4" s="5" t="s">
        <v>1</v>
      </c>
      <c r="F4" s="5" t="s">
        <v>2</v>
      </c>
      <c r="G4" s="4" t="s">
        <v>11</v>
      </c>
      <c r="H4" s="5" t="s">
        <v>3</v>
      </c>
      <c r="I4" s="5" t="s">
        <v>4</v>
      </c>
      <c r="J4" s="4" t="s">
        <v>12</v>
      </c>
    </row>
    <row r="5" spans="1:10" x14ac:dyDescent="0.2">
      <c r="A5" s="13" t="s">
        <v>56</v>
      </c>
      <c r="B5" s="14">
        <v>43146.477210648103</v>
      </c>
      <c r="C5" s="15">
        <v>44</v>
      </c>
      <c r="D5" s="16" t="s">
        <v>5</v>
      </c>
      <c r="E5" s="17" t="s">
        <v>6</v>
      </c>
      <c r="F5" s="18" t="s">
        <v>8</v>
      </c>
      <c r="G5" s="19" t="s">
        <v>7</v>
      </c>
      <c r="H5" s="20">
        <v>0</v>
      </c>
      <c r="I5" s="21">
        <v>0</v>
      </c>
      <c r="J5" s="22">
        <f t="shared" ref="J5:J10" si="0">IF(C5=0,0,(I5)/C5)</f>
        <v>0</v>
      </c>
    </row>
    <row r="6" spans="1:10" x14ac:dyDescent="0.2">
      <c r="A6" s="23" t="s">
        <v>57</v>
      </c>
      <c r="B6" s="24">
        <v>43145.256388888898</v>
      </c>
      <c r="C6" s="25">
        <v>2653</v>
      </c>
      <c r="D6" s="26" t="s">
        <v>5</v>
      </c>
      <c r="E6" s="27" t="s">
        <v>6</v>
      </c>
      <c r="F6" s="28" t="s">
        <v>8</v>
      </c>
      <c r="G6" s="29" t="s">
        <v>7</v>
      </c>
      <c r="H6" s="30">
        <v>13</v>
      </c>
      <c r="I6" s="31">
        <v>64</v>
      </c>
      <c r="J6" s="32">
        <f t="shared" si="0"/>
        <v>0.02</v>
      </c>
    </row>
    <row r="7" spans="1:10" x14ac:dyDescent="0.2">
      <c r="A7" s="33" t="s">
        <v>62</v>
      </c>
      <c r="B7" s="34">
        <v>43146.563379629602</v>
      </c>
      <c r="C7" s="35">
        <v>3983</v>
      </c>
      <c r="D7" s="36" t="s">
        <v>5</v>
      </c>
      <c r="E7" s="37" t="s">
        <v>6</v>
      </c>
      <c r="F7" s="38" t="s">
        <v>8</v>
      </c>
      <c r="G7" s="39" t="s">
        <v>7</v>
      </c>
      <c r="H7" s="40">
        <v>87</v>
      </c>
      <c r="I7" s="41">
        <v>192</v>
      </c>
      <c r="J7" s="42">
        <f t="shared" si="0"/>
        <v>0.05</v>
      </c>
    </row>
    <row r="8" spans="1:10" x14ac:dyDescent="0.2">
      <c r="A8" s="43" t="s">
        <v>63</v>
      </c>
      <c r="B8" s="44">
        <v>43138.538900462998</v>
      </c>
      <c r="C8" s="45">
        <v>24</v>
      </c>
      <c r="D8" s="46" t="s">
        <v>5</v>
      </c>
      <c r="E8" s="47" t="s">
        <v>6</v>
      </c>
      <c r="F8" s="48" t="s">
        <v>8</v>
      </c>
      <c r="G8" s="49" t="s">
        <v>7</v>
      </c>
      <c r="H8" s="50">
        <v>0</v>
      </c>
      <c r="I8" s="51">
        <v>1</v>
      </c>
      <c r="J8" s="52">
        <f t="shared" si="0"/>
        <v>0.04</v>
      </c>
    </row>
    <row r="9" spans="1:10" x14ac:dyDescent="0.2">
      <c r="A9" s="53" t="s">
        <v>64</v>
      </c>
      <c r="B9" s="54">
        <v>43146.4698726852</v>
      </c>
      <c r="C9" s="55">
        <v>2331</v>
      </c>
      <c r="D9" s="56" t="s">
        <v>5</v>
      </c>
      <c r="E9" s="57" t="s">
        <v>6</v>
      </c>
      <c r="F9" s="58" t="s">
        <v>8</v>
      </c>
      <c r="G9" s="59" t="s">
        <v>7</v>
      </c>
      <c r="H9" s="60">
        <v>38</v>
      </c>
      <c r="I9" s="61">
        <v>177</v>
      </c>
      <c r="J9" s="62">
        <f t="shared" si="0"/>
        <v>0.08</v>
      </c>
    </row>
    <row r="10" spans="1:10" x14ac:dyDescent="0.2">
      <c r="A10" s="63" t="s">
        <v>66</v>
      </c>
      <c r="B10" s="64">
        <v>43146.545868055597</v>
      </c>
      <c r="C10" s="65">
        <v>2950</v>
      </c>
      <c r="D10" s="66" t="s">
        <v>5</v>
      </c>
      <c r="E10" s="67" t="s">
        <v>6</v>
      </c>
      <c r="F10" s="68" t="s">
        <v>8</v>
      </c>
      <c r="G10" s="69" t="s">
        <v>7</v>
      </c>
      <c r="H10" s="70">
        <v>28</v>
      </c>
      <c r="I10" s="71">
        <v>184</v>
      </c>
      <c r="J10" s="72">
        <f t="shared" si="0"/>
        <v>0.06</v>
      </c>
    </row>
    <row r="11" spans="1:10" x14ac:dyDescent="0.2">
      <c r="A11" s="73"/>
      <c r="B11" s="74"/>
      <c r="C11" s="75"/>
      <c r="D11" s="76"/>
      <c r="E11" s="77"/>
      <c r="F11" s="78"/>
      <c r="G11" s="79"/>
      <c r="H11" s="80"/>
      <c r="I11" s="81"/>
      <c r="J11" s="82"/>
    </row>
    <row r="12" spans="1:10" x14ac:dyDescent="0.2">
      <c r="A12" s="83"/>
      <c r="B12" s="84"/>
      <c r="C12" s="85"/>
      <c r="D12" s="86"/>
      <c r="E12" s="87"/>
      <c r="F12" s="88"/>
      <c r="G12" s="89"/>
      <c r="H12" s="90"/>
      <c r="I12" s="91"/>
      <c r="J12" s="92"/>
    </row>
    <row r="13" spans="1:10" x14ac:dyDescent="0.2">
      <c r="A13" s="93" t="s">
        <v>100</v>
      </c>
      <c r="B13" s="94"/>
      <c r="C13" s="95">
        <v>13600</v>
      </c>
      <c r="D13" s="96" t="s">
        <v>5</v>
      </c>
      <c r="E13" s="97" t="s">
        <v>6</v>
      </c>
      <c r="F13" s="98" t="s">
        <v>8</v>
      </c>
      <c r="G13" s="99" t="s">
        <v>7</v>
      </c>
      <c r="H13" s="100">
        <v>191</v>
      </c>
      <c r="I13" s="101">
        <v>671</v>
      </c>
      <c r="J13" s="102">
        <f>IF(C13=0,0,(I13)/C13)</f>
        <v>0.05</v>
      </c>
    </row>
    <row r="14" spans="1:10" x14ac:dyDescent="0.2">
      <c r="A14" s="103" t="s">
        <v>101</v>
      </c>
      <c r="B14" s="104"/>
      <c r="C14" s="105">
        <v>2702</v>
      </c>
      <c r="D14" s="106" t="s">
        <v>5</v>
      </c>
      <c r="E14" s="107" t="s">
        <v>6</v>
      </c>
      <c r="F14" s="108" t="s">
        <v>8</v>
      </c>
      <c r="G14" s="109" t="s">
        <v>7</v>
      </c>
      <c r="H14" s="110">
        <v>13</v>
      </c>
      <c r="I14" s="111">
        <v>66</v>
      </c>
      <c r="J14" s="112">
        <f>IF(C14=0,0,(I14)/C14)</f>
        <v>0.02</v>
      </c>
    </row>
    <row r="15" spans="1:10" x14ac:dyDescent="0.2">
      <c r="A15" s="113" t="s">
        <v>102</v>
      </c>
      <c r="B15" s="114"/>
      <c r="C15" s="115">
        <v>2355</v>
      </c>
      <c r="D15" s="116" t="s">
        <v>5</v>
      </c>
      <c r="E15" s="117" t="s">
        <v>6</v>
      </c>
      <c r="F15" s="118" t="s">
        <v>8</v>
      </c>
      <c r="G15" s="119" t="s">
        <v>7</v>
      </c>
      <c r="H15" s="120">
        <v>38</v>
      </c>
      <c r="I15" s="121">
        <v>178</v>
      </c>
      <c r="J15" s="122">
        <f>IF(C15=0,0,(I15)/C15)</f>
        <v>0.08</v>
      </c>
    </row>
    <row r="16" spans="1:10" x14ac:dyDescent="0.2">
      <c r="A16" s="123"/>
      <c r="B16" s="124"/>
      <c r="C16" s="125"/>
      <c r="D16" s="126"/>
      <c r="E16" s="127"/>
      <c r="F16" s="128"/>
      <c r="G16" s="129"/>
      <c r="H16" s="130"/>
      <c r="I16" s="131"/>
      <c r="J16" s="132"/>
    </row>
    <row r="17" spans="1:10" x14ac:dyDescent="0.2">
      <c r="A17" s="133" t="s">
        <v>103</v>
      </c>
      <c r="B17" s="134"/>
      <c r="C17" s="135">
        <v>29974</v>
      </c>
      <c r="D17" s="136" t="s">
        <v>5</v>
      </c>
      <c r="E17" s="137" t="s">
        <v>6</v>
      </c>
      <c r="F17" s="138" t="s">
        <v>8</v>
      </c>
      <c r="G17" s="139" t="s">
        <v>7</v>
      </c>
      <c r="H17" s="140">
        <v>343</v>
      </c>
      <c r="I17" s="141">
        <v>1252</v>
      </c>
      <c r="J17" s="142">
        <f>IF(C17=0,0,(I17)/C17)</f>
        <v>0.04</v>
      </c>
    </row>
    <row r="18" spans="1:10" x14ac:dyDescent="0.2">
      <c r="A18" s="7"/>
    </row>
    <row r="21" spans="1:10" x14ac:dyDescent="0.2">
      <c r="A21" s="6"/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"/>
  <sheetViews>
    <sheetView workbookViewId="0"/>
  </sheetViews>
  <sheetFormatPr baseColWidth="10" defaultColWidth="8.83203125" defaultRowHeight="16" x14ac:dyDescent="0.2"/>
  <cols>
    <col min="1" max="1" width="40.83203125" customWidth="1"/>
    <col min="2" max="2" width="28.5" customWidth="1"/>
    <col min="3" max="48" width="28.5" customWidth="1" collapsed="1"/>
  </cols>
  <sheetData>
    <row r="1" spans="1:48" ht="21" x14ac:dyDescent="0.25">
      <c r="A1" s="1" t="s">
        <v>49</v>
      </c>
      <c r="B1" s="143"/>
      <c r="C1" s="161"/>
      <c r="D1" s="179"/>
      <c r="E1" s="197"/>
      <c r="F1" s="215"/>
      <c r="G1" s="233"/>
      <c r="H1" s="251"/>
      <c r="I1" s="269"/>
      <c r="J1" s="287"/>
      <c r="K1" s="305"/>
      <c r="L1" s="323"/>
      <c r="M1" s="341"/>
      <c r="N1" s="359"/>
      <c r="O1" s="377"/>
      <c r="P1" s="395"/>
      <c r="Q1" s="413"/>
      <c r="R1" s="431"/>
      <c r="S1" s="449"/>
      <c r="T1" s="467"/>
      <c r="U1" s="485"/>
      <c r="V1" s="503"/>
      <c r="W1" s="521"/>
      <c r="X1" s="539"/>
      <c r="Y1" s="557"/>
      <c r="Z1" s="575"/>
      <c r="AA1" s="593"/>
      <c r="AB1" s="611"/>
      <c r="AC1" s="629"/>
      <c r="AD1" s="647"/>
      <c r="AE1" s="665"/>
      <c r="AF1" s="683"/>
      <c r="AG1" s="701"/>
      <c r="AH1" s="719"/>
      <c r="AI1" s="737"/>
      <c r="AJ1" s="755"/>
      <c r="AK1" s="773"/>
      <c r="AL1" s="791"/>
      <c r="AM1" s="809"/>
      <c r="AN1" s="827"/>
      <c r="AO1" s="845"/>
      <c r="AP1" s="863"/>
      <c r="AQ1" s="881"/>
      <c r="AR1" s="899"/>
      <c r="AS1" s="917"/>
      <c r="AT1" s="935"/>
      <c r="AU1" s="953"/>
      <c r="AV1" s="971"/>
    </row>
    <row r="2" spans="1:48" x14ac:dyDescent="0.2">
      <c r="A2" t="s">
        <v>104</v>
      </c>
      <c r="B2" s="144"/>
      <c r="C2" s="162"/>
      <c r="D2" s="180"/>
      <c r="E2" s="198"/>
      <c r="F2" s="216"/>
      <c r="G2" s="234"/>
      <c r="H2" s="252"/>
      <c r="I2" s="270"/>
      <c r="J2" s="288"/>
      <c r="K2" s="306"/>
      <c r="L2" s="324"/>
      <c r="M2" s="342"/>
      <c r="N2" s="360"/>
      <c r="O2" s="378"/>
      <c r="P2" s="396"/>
      <c r="Q2" s="414"/>
      <c r="R2" s="432"/>
      <c r="S2" s="450"/>
      <c r="T2" s="468"/>
      <c r="U2" s="486"/>
      <c r="V2" s="504"/>
      <c r="W2" s="522"/>
      <c r="X2" s="540"/>
      <c r="Y2" s="558"/>
      <c r="Z2" s="576"/>
      <c r="AA2" s="594"/>
      <c r="AB2" s="612"/>
      <c r="AC2" s="630"/>
      <c r="AD2" s="648"/>
      <c r="AE2" s="666"/>
      <c r="AF2" s="684"/>
      <c r="AG2" s="702"/>
      <c r="AH2" s="720"/>
      <c r="AI2" s="738"/>
      <c r="AJ2" s="756"/>
      <c r="AK2" s="774"/>
      <c r="AL2" s="792"/>
      <c r="AM2" s="810"/>
      <c r="AN2" s="828"/>
      <c r="AO2" s="846"/>
      <c r="AP2" s="864"/>
      <c r="AQ2" s="882"/>
      <c r="AR2" s="900"/>
      <c r="AS2" s="918"/>
      <c r="AT2" s="936"/>
      <c r="AU2" s="954"/>
      <c r="AV2" s="972"/>
    </row>
    <row r="3" spans="1:48" x14ac:dyDescent="0.2">
      <c r="A3" t="s">
        <v>52</v>
      </c>
      <c r="B3" s="145"/>
      <c r="C3" s="163"/>
      <c r="D3" s="181"/>
      <c r="E3" s="199"/>
      <c r="F3" s="217"/>
      <c r="G3" s="235"/>
      <c r="H3" s="253"/>
      <c r="I3" s="271"/>
      <c r="J3" s="289"/>
      <c r="K3" s="307"/>
      <c r="L3" s="325"/>
      <c r="M3" s="343"/>
      <c r="N3" s="361"/>
      <c r="O3" s="379"/>
      <c r="P3" s="397"/>
      <c r="Q3" s="415"/>
      <c r="R3" s="433"/>
      <c r="S3" s="451"/>
      <c r="T3" s="469"/>
      <c r="U3" s="487"/>
      <c r="V3" s="505"/>
      <c r="W3" s="523"/>
      <c r="X3" s="541"/>
      <c r="Y3" s="559"/>
      <c r="Z3" s="577"/>
      <c r="AA3" s="595"/>
      <c r="AB3" s="613"/>
      <c r="AC3" s="631"/>
      <c r="AD3" s="649"/>
      <c r="AE3" s="667"/>
      <c r="AF3" s="685"/>
      <c r="AG3" s="703"/>
      <c r="AH3" s="721"/>
      <c r="AI3" s="739"/>
      <c r="AJ3" s="757"/>
      <c r="AK3" s="775"/>
      <c r="AL3" s="793"/>
      <c r="AM3" s="811"/>
      <c r="AN3" s="829"/>
      <c r="AO3" s="847"/>
      <c r="AP3" s="865"/>
      <c r="AQ3" s="883"/>
      <c r="AR3" s="901"/>
      <c r="AS3" s="919"/>
      <c r="AT3" s="937"/>
      <c r="AU3" s="955"/>
      <c r="AV3" s="973"/>
    </row>
    <row r="4" spans="1:48" x14ac:dyDescent="0.2">
      <c r="A4" t="s">
        <v>53</v>
      </c>
      <c r="B4" s="146"/>
      <c r="C4" s="164"/>
      <c r="D4" s="182"/>
      <c r="E4" s="200"/>
      <c r="F4" s="218"/>
      <c r="G4" s="236"/>
      <c r="H4" s="254"/>
      <c r="I4" s="272"/>
      <c r="J4" s="290"/>
      <c r="K4" s="308"/>
      <c r="L4" s="326"/>
      <c r="M4" s="344"/>
      <c r="N4" s="362"/>
      <c r="O4" s="380"/>
      <c r="P4" s="398"/>
      <c r="Q4" s="416"/>
      <c r="R4" s="434"/>
      <c r="S4" s="452"/>
      <c r="T4" s="470"/>
      <c r="U4" s="488"/>
      <c r="V4" s="506"/>
      <c r="W4" s="524"/>
      <c r="X4" s="542"/>
      <c r="Y4" s="560"/>
      <c r="Z4" s="578"/>
      <c r="AA4" s="596"/>
      <c r="AB4" s="614"/>
      <c r="AC4" s="632"/>
      <c r="AD4" s="650"/>
      <c r="AE4" s="668"/>
      <c r="AF4" s="686"/>
      <c r="AG4" s="704"/>
      <c r="AH4" s="722"/>
      <c r="AI4" s="740"/>
      <c r="AJ4" s="758"/>
      <c r="AK4" s="776"/>
      <c r="AL4" s="794"/>
      <c r="AM4" s="812"/>
      <c r="AN4" s="830"/>
      <c r="AO4" s="848"/>
      <c r="AP4" s="866"/>
      <c r="AQ4" s="884"/>
      <c r="AR4" s="902"/>
      <c r="AS4" s="920"/>
      <c r="AT4" s="938"/>
      <c r="AU4" s="956"/>
      <c r="AV4" s="974"/>
    </row>
    <row r="5" spans="1:48" x14ac:dyDescent="0.2">
      <c r="B5" s="147"/>
      <c r="C5" s="165"/>
      <c r="D5" s="183"/>
      <c r="E5" s="201"/>
      <c r="F5" s="219"/>
      <c r="G5" s="237"/>
      <c r="H5" s="255"/>
      <c r="I5" s="273"/>
      <c r="J5" s="291"/>
      <c r="K5" s="309"/>
      <c r="L5" s="327"/>
      <c r="M5" s="345"/>
      <c r="N5" s="363"/>
      <c r="O5" s="381"/>
      <c r="P5" s="399"/>
      <c r="Q5" s="417"/>
      <c r="R5" s="435"/>
      <c r="S5" s="453"/>
      <c r="T5" s="471"/>
      <c r="U5" s="489"/>
      <c r="V5" s="507"/>
      <c r="W5" s="525"/>
      <c r="X5" s="543"/>
      <c r="Y5" s="561"/>
      <c r="Z5" s="579"/>
      <c r="AA5" s="597"/>
      <c r="AB5" s="615"/>
      <c r="AC5" s="633"/>
      <c r="AD5" s="651"/>
      <c r="AE5" s="669"/>
      <c r="AF5" s="687"/>
      <c r="AG5" s="705"/>
      <c r="AH5" s="723"/>
      <c r="AI5" s="741"/>
      <c r="AJ5" s="759"/>
      <c r="AK5" s="777"/>
      <c r="AL5" s="795"/>
      <c r="AM5" s="813"/>
      <c r="AN5" s="831"/>
      <c r="AO5" s="849"/>
      <c r="AP5" s="867"/>
      <c r="AQ5" s="885"/>
      <c r="AR5" s="903"/>
      <c r="AS5" s="921"/>
      <c r="AT5" s="939"/>
      <c r="AU5" s="957"/>
      <c r="AV5" s="975"/>
    </row>
    <row r="6" spans="1:48" ht="17" thickBot="1" x14ac:dyDescent="0.25">
      <c r="B6" s="148"/>
      <c r="C6" s="166"/>
      <c r="D6" s="184"/>
      <c r="E6" s="202"/>
      <c r="F6" s="220"/>
      <c r="G6" s="238"/>
      <c r="H6" s="256"/>
      <c r="I6" s="274"/>
      <c r="J6" s="292"/>
      <c r="K6" s="310"/>
      <c r="L6" s="328"/>
      <c r="M6" s="346"/>
      <c r="N6" s="364"/>
      <c r="O6" s="382"/>
      <c r="P6" s="400"/>
      <c r="Q6" s="418"/>
      <c r="R6" s="436"/>
      <c r="S6" s="454"/>
      <c r="T6" s="472"/>
      <c r="U6" s="490"/>
      <c r="V6" s="508"/>
      <c r="W6" s="526"/>
      <c r="X6" s="544"/>
      <c r="Y6" s="562"/>
      <c r="Z6" s="580"/>
      <c r="AA6" s="598"/>
      <c r="AB6" s="616"/>
      <c r="AC6" s="634"/>
      <c r="AD6" s="652"/>
      <c r="AE6" s="670"/>
      <c r="AF6" s="688"/>
      <c r="AG6" s="706"/>
      <c r="AH6" s="724"/>
      <c r="AI6" s="742"/>
      <c r="AJ6" s="760"/>
      <c r="AK6" s="778"/>
      <c r="AL6" s="796"/>
      <c r="AM6" s="814"/>
      <c r="AN6" s="832"/>
      <c r="AO6" s="850"/>
      <c r="AP6" s="868"/>
      <c r="AQ6" s="886"/>
      <c r="AR6" s="904"/>
      <c r="AS6" s="922"/>
      <c r="AT6" s="940"/>
      <c r="AU6" s="958"/>
      <c r="AV6" s="976"/>
    </row>
    <row r="7" spans="1:48" ht="17" thickBot="1" x14ac:dyDescent="0.25">
      <c r="A7" s="12" t="s">
        <v>50</v>
      </c>
      <c r="B7" s="149" t="s">
        <v>54</v>
      </c>
      <c r="C7" s="167" t="s">
        <v>55</v>
      </c>
      <c r="D7" s="185" t="s">
        <v>56</v>
      </c>
      <c r="E7" s="203" t="s">
        <v>57</v>
      </c>
      <c r="F7" s="221" t="s">
        <v>58</v>
      </c>
      <c r="G7" s="239" t="s">
        <v>59</v>
      </c>
      <c r="H7" s="257" t="s">
        <v>60</v>
      </c>
      <c r="I7" s="275" t="s">
        <v>61</v>
      </c>
      <c r="J7" s="293" t="s">
        <v>62</v>
      </c>
      <c r="K7" s="311" t="s">
        <v>63</v>
      </c>
      <c r="L7" s="329" t="s">
        <v>64</v>
      </c>
      <c r="M7" s="347" t="s">
        <v>65</v>
      </c>
      <c r="N7" s="365" t="s">
        <v>66</v>
      </c>
      <c r="O7" s="383" t="s">
        <v>67</v>
      </c>
      <c r="P7" s="401" t="s">
        <v>68</v>
      </c>
      <c r="Q7" s="419" t="s">
        <v>69</v>
      </c>
      <c r="R7" s="437" t="s">
        <v>69</v>
      </c>
      <c r="S7" s="455" t="s">
        <v>70</v>
      </c>
      <c r="T7" s="473" t="s">
        <v>71</v>
      </c>
      <c r="U7" s="491" t="s">
        <v>72</v>
      </c>
      <c r="V7" s="509" t="s">
        <v>73</v>
      </c>
      <c r="W7" s="527" t="s">
        <v>74</v>
      </c>
      <c r="X7" s="545" t="s">
        <v>75</v>
      </c>
      <c r="Y7" s="563" t="s">
        <v>76</v>
      </c>
      <c r="Z7" s="581" t="s">
        <v>77</v>
      </c>
      <c r="AA7" s="599" t="s">
        <v>78</v>
      </c>
      <c r="AB7" s="617" t="s">
        <v>79</v>
      </c>
      <c r="AC7" s="635" t="s">
        <v>80</v>
      </c>
      <c r="AD7" s="653" t="s">
        <v>81</v>
      </c>
      <c r="AE7" s="671" t="s">
        <v>82</v>
      </c>
      <c r="AF7" s="689" t="s">
        <v>83</v>
      </c>
      <c r="AG7" s="707" t="s">
        <v>84</v>
      </c>
      <c r="AH7" s="725" t="s">
        <v>85</v>
      </c>
      <c r="AI7" s="743" t="s">
        <v>86</v>
      </c>
      <c r="AJ7" s="761" t="s">
        <v>87</v>
      </c>
      <c r="AK7" s="779" t="s">
        <v>88</v>
      </c>
      <c r="AL7" s="797" t="s">
        <v>89</v>
      </c>
      <c r="AM7" s="815" t="s">
        <v>90</v>
      </c>
      <c r="AN7" s="833" t="s">
        <v>91</v>
      </c>
      <c r="AO7" s="851" t="s">
        <v>92</v>
      </c>
      <c r="AP7" s="869" t="s">
        <v>93</v>
      </c>
      <c r="AQ7" s="887" t="s">
        <v>94</v>
      </c>
      <c r="AR7" s="905" t="s">
        <v>95</v>
      </c>
      <c r="AS7" s="923" t="s">
        <v>96</v>
      </c>
      <c r="AT7" s="941" t="s">
        <v>97</v>
      </c>
      <c r="AU7" s="959" t="s">
        <v>98</v>
      </c>
      <c r="AV7" s="977" t="s">
        <v>99</v>
      </c>
    </row>
    <row r="8" spans="1:48" x14ac:dyDescent="0.2">
      <c r="A8" s="8">
        <v>5011</v>
      </c>
      <c r="B8" s="150">
        <v>1</v>
      </c>
      <c r="C8" s="168">
        <v>2</v>
      </c>
      <c r="D8" s="186">
        <v>0</v>
      </c>
      <c r="E8" s="204">
        <v>2</v>
      </c>
      <c r="F8" s="222">
        <v>3</v>
      </c>
      <c r="G8" s="240">
        <v>0</v>
      </c>
      <c r="H8" s="258">
        <v>0</v>
      </c>
      <c r="I8" s="276">
        <v>1</v>
      </c>
      <c r="J8" s="294">
        <v>11</v>
      </c>
      <c r="K8" s="312">
        <v>0</v>
      </c>
      <c r="L8" s="330">
        <v>25</v>
      </c>
      <c r="M8" s="348">
        <v>1</v>
      </c>
      <c r="N8" s="366">
        <v>3</v>
      </c>
      <c r="O8" s="384">
        <v>0</v>
      </c>
      <c r="P8" s="402">
        <v>0</v>
      </c>
      <c r="Q8" s="420">
        <v>5</v>
      </c>
      <c r="R8" s="438">
        <v>0</v>
      </c>
      <c r="S8" s="456">
        <v>0</v>
      </c>
      <c r="T8" s="474">
        <v>0</v>
      </c>
      <c r="U8" s="492">
        <v>0</v>
      </c>
      <c r="V8" s="510">
        <v>0</v>
      </c>
      <c r="W8" s="528">
        <v>0</v>
      </c>
      <c r="X8" s="546">
        <v>0</v>
      </c>
      <c r="Y8" s="564">
        <v>0</v>
      </c>
      <c r="Z8" s="582">
        <v>0</v>
      </c>
      <c r="AA8" s="600">
        <v>0</v>
      </c>
      <c r="AB8" s="618">
        <v>0</v>
      </c>
      <c r="AC8" s="636">
        <v>0</v>
      </c>
      <c r="AD8" s="654">
        <v>0</v>
      </c>
      <c r="AE8" s="672">
        <v>2</v>
      </c>
      <c r="AF8" s="690">
        <v>0</v>
      </c>
      <c r="AG8" s="708">
        <v>0</v>
      </c>
      <c r="AH8" s="726">
        <v>1</v>
      </c>
      <c r="AI8" s="744">
        <v>0</v>
      </c>
      <c r="AJ8" s="762">
        <v>0</v>
      </c>
      <c r="AK8" s="780">
        <v>0</v>
      </c>
      <c r="AL8" s="798">
        <v>0</v>
      </c>
      <c r="AM8" s="816">
        <v>4</v>
      </c>
      <c r="AN8" s="834">
        <v>0</v>
      </c>
      <c r="AO8" s="852">
        <v>0</v>
      </c>
      <c r="AP8" s="870">
        <v>0</v>
      </c>
      <c r="AQ8" s="888">
        <v>75</v>
      </c>
      <c r="AR8" s="906">
        <v>0</v>
      </c>
      <c r="AS8" s="924">
        <v>0</v>
      </c>
      <c r="AT8" s="942">
        <v>1</v>
      </c>
      <c r="AU8" s="960">
        <v>0</v>
      </c>
      <c r="AV8" s="978">
        <v>1</v>
      </c>
    </row>
    <row r="9" spans="1:48" x14ac:dyDescent="0.2">
      <c r="A9" s="9">
        <v>5007</v>
      </c>
      <c r="B9" s="151">
        <v>3</v>
      </c>
      <c r="C9" s="169">
        <v>1</v>
      </c>
      <c r="D9" s="187">
        <v>0</v>
      </c>
      <c r="E9" s="205">
        <v>45</v>
      </c>
      <c r="F9" s="223">
        <v>5</v>
      </c>
      <c r="G9" s="241">
        <v>0</v>
      </c>
      <c r="H9" s="259">
        <v>10</v>
      </c>
      <c r="I9" s="277">
        <v>2</v>
      </c>
      <c r="J9" s="295">
        <v>98</v>
      </c>
      <c r="K9" s="313">
        <v>0</v>
      </c>
      <c r="L9" s="331">
        <v>65</v>
      </c>
      <c r="M9" s="349">
        <v>0</v>
      </c>
      <c r="N9" s="367">
        <v>127</v>
      </c>
      <c r="O9" s="385">
        <v>0</v>
      </c>
      <c r="P9" s="403">
        <v>0</v>
      </c>
      <c r="Q9" s="421">
        <v>115</v>
      </c>
      <c r="R9" s="439">
        <v>2</v>
      </c>
      <c r="S9" s="457">
        <v>0</v>
      </c>
      <c r="T9" s="475">
        <v>0</v>
      </c>
      <c r="U9" s="493">
        <v>0</v>
      </c>
      <c r="V9" s="511">
        <v>0</v>
      </c>
      <c r="W9" s="529">
        <v>2</v>
      </c>
      <c r="X9" s="547">
        <v>0</v>
      </c>
      <c r="Y9" s="565">
        <v>0</v>
      </c>
      <c r="Z9" s="583">
        <v>0</v>
      </c>
      <c r="AA9" s="601">
        <v>0</v>
      </c>
      <c r="AB9" s="619">
        <v>4</v>
      </c>
      <c r="AC9" s="637">
        <v>0</v>
      </c>
      <c r="AD9" s="655">
        <v>0</v>
      </c>
      <c r="AE9" s="673">
        <v>0</v>
      </c>
      <c r="AF9" s="691">
        <v>0</v>
      </c>
      <c r="AG9" s="709">
        <v>0</v>
      </c>
      <c r="AH9" s="727">
        <v>3</v>
      </c>
      <c r="AI9" s="745">
        <v>0</v>
      </c>
      <c r="AJ9" s="763">
        <v>0</v>
      </c>
      <c r="AK9" s="781">
        <v>0</v>
      </c>
      <c r="AL9" s="799">
        <v>10</v>
      </c>
      <c r="AM9" s="817">
        <v>1</v>
      </c>
      <c r="AN9" s="835">
        <v>2</v>
      </c>
      <c r="AO9" s="853">
        <v>0</v>
      </c>
      <c r="AP9" s="871">
        <v>0</v>
      </c>
      <c r="AQ9" s="889">
        <v>115</v>
      </c>
      <c r="AR9" s="907">
        <v>0</v>
      </c>
      <c r="AS9" s="925">
        <v>1</v>
      </c>
      <c r="AT9" s="943">
        <v>1</v>
      </c>
      <c r="AU9" s="961">
        <v>4</v>
      </c>
      <c r="AV9" s="979">
        <v>2</v>
      </c>
    </row>
    <row r="10" spans="1:48" x14ac:dyDescent="0.2">
      <c r="A10" s="9">
        <v>5006</v>
      </c>
      <c r="B10" s="152">
        <v>0</v>
      </c>
      <c r="C10" s="170">
        <v>0</v>
      </c>
      <c r="D10" s="188">
        <v>0</v>
      </c>
      <c r="E10" s="206">
        <v>11</v>
      </c>
      <c r="F10" s="224">
        <v>4</v>
      </c>
      <c r="G10" s="242">
        <v>0</v>
      </c>
      <c r="H10" s="260">
        <v>0</v>
      </c>
      <c r="I10" s="278">
        <v>0</v>
      </c>
      <c r="J10" s="296">
        <v>16</v>
      </c>
      <c r="K10" s="314">
        <v>1</v>
      </c>
      <c r="L10" s="332">
        <v>20</v>
      </c>
      <c r="M10" s="350">
        <v>0</v>
      </c>
      <c r="N10" s="368">
        <v>15</v>
      </c>
      <c r="O10" s="386">
        <v>0</v>
      </c>
      <c r="P10" s="404">
        <v>1</v>
      </c>
      <c r="Q10" s="422">
        <v>3</v>
      </c>
      <c r="R10" s="440">
        <v>0</v>
      </c>
      <c r="S10" s="458">
        <v>1</v>
      </c>
      <c r="T10" s="476">
        <v>0</v>
      </c>
      <c r="U10" s="494">
        <v>0</v>
      </c>
      <c r="V10" s="512">
        <v>5</v>
      </c>
      <c r="W10" s="530">
        <v>0</v>
      </c>
      <c r="X10" s="548">
        <v>0</v>
      </c>
      <c r="Y10" s="566">
        <v>1</v>
      </c>
      <c r="Z10" s="584">
        <v>0</v>
      </c>
      <c r="AA10" s="602">
        <v>0</v>
      </c>
      <c r="AB10" s="620">
        <v>0</v>
      </c>
      <c r="AC10" s="638">
        <v>0</v>
      </c>
      <c r="AD10" s="656">
        <v>0</v>
      </c>
      <c r="AE10" s="674">
        <v>2</v>
      </c>
      <c r="AF10" s="692">
        <v>1</v>
      </c>
      <c r="AG10" s="710">
        <v>0</v>
      </c>
      <c r="AH10" s="728">
        <v>0</v>
      </c>
      <c r="AI10" s="746">
        <v>0</v>
      </c>
      <c r="AJ10" s="764">
        <v>0</v>
      </c>
      <c r="AK10" s="782">
        <v>0</v>
      </c>
      <c r="AL10" s="800">
        <v>0</v>
      </c>
      <c r="AM10" s="818">
        <v>0</v>
      </c>
      <c r="AN10" s="836">
        <v>0</v>
      </c>
      <c r="AO10" s="854">
        <v>0</v>
      </c>
      <c r="AP10" s="872">
        <v>0</v>
      </c>
      <c r="AQ10" s="890">
        <v>16</v>
      </c>
      <c r="AR10" s="908">
        <v>0</v>
      </c>
      <c r="AS10" s="926">
        <v>0</v>
      </c>
      <c r="AT10" s="944">
        <v>0</v>
      </c>
      <c r="AU10" s="962">
        <v>1</v>
      </c>
      <c r="AV10" s="980">
        <v>0</v>
      </c>
    </row>
    <row r="11" spans="1:48" x14ac:dyDescent="0.2">
      <c r="A11" s="9">
        <v>2008</v>
      </c>
      <c r="B11" s="153">
        <v>0</v>
      </c>
      <c r="C11" s="171">
        <v>13</v>
      </c>
      <c r="D11" s="189">
        <v>0</v>
      </c>
      <c r="E11" s="207">
        <v>6</v>
      </c>
      <c r="F11" s="225">
        <v>24</v>
      </c>
      <c r="G11" s="243">
        <v>0</v>
      </c>
      <c r="H11" s="261">
        <v>0</v>
      </c>
      <c r="I11" s="279">
        <v>4</v>
      </c>
      <c r="J11" s="297">
        <v>49</v>
      </c>
      <c r="K11" s="315">
        <v>0</v>
      </c>
      <c r="L11" s="333">
        <v>28</v>
      </c>
      <c r="M11" s="351">
        <v>2</v>
      </c>
      <c r="N11" s="369">
        <v>33</v>
      </c>
      <c r="O11" s="387">
        <v>1</v>
      </c>
      <c r="P11" s="405">
        <v>0</v>
      </c>
      <c r="Q11" s="423">
        <v>1</v>
      </c>
      <c r="R11" s="441">
        <v>3</v>
      </c>
      <c r="S11" s="459">
        <v>0</v>
      </c>
      <c r="T11" s="477">
        <v>0</v>
      </c>
      <c r="U11" s="495">
        <v>10</v>
      </c>
      <c r="V11" s="513">
        <v>2</v>
      </c>
      <c r="W11" s="531">
        <v>9</v>
      </c>
      <c r="X11" s="549">
        <v>0</v>
      </c>
      <c r="Y11" s="567">
        <v>0</v>
      </c>
      <c r="Z11" s="585">
        <v>0</v>
      </c>
      <c r="AA11" s="603">
        <v>0</v>
      </c>
      <c r="AB11" s="621">
        <v>0</v>
      </c>
      <c r="AC11" s="639">
        <v>0</v>
      </c>
      <c r="AD11" s="657">
        <v>2</v>
      </c>
      <c r="AE11" s="675">
        <v>0</v>
      </c>
      <c r="AF11" s="693">
        <v>0</v>
      </c>
      <c r="AG11" s="711">
        <v>0</v>
      </c>
      <c r="AH11" s="729">
        <v>0</v>
      </c>
      <c r="AI11" s="747">
        <v>0</v>
      </c>
      <c r="AJ11" s="765">
        <v>5</v>
      </c>
      <c r="AK11" s="783">
        <v>0</v>
      </c>
      <c r="AL11" s="801">
        <v>0</v>
      </c>
      <c r="AM11" s="819">
        <v>1</v>
      </c>
      <c r="AN11" s="837">
        <v>0</v>
      </c>
      <c r="AO11" s="855">
        <v>0</v>
      </c>
      <c r="AP11" s="873">
        <v>0</v>
      </c>
      <c r="AQ11" s="891">
        <v>78</v>
      </c>
      <c r="AR11" s="909">
        <v>0</v>
      </c>
      <c r="AS11" s="927">
        <v>0</v>
      </c>
      <c r="AT11" s="945">
        <v>0</v>
      </c>
      <c r="AU11" s="963">
        <v>0</v>
      </c>
      <c r="AV11" s="981">
        <v>0</v>
      </c>
    </row>
    <row r="12" spans="1:48" x14ac:dyDescent="0.2">
      <c r="A12" s="9">
        <v>2005</v>
      </c>
      <c r="B12" s="154">
        <v>0</v>
      </c>
      <c r="C12" s="172">
        <v>0</v>
      </c>
      <c r="D12" s="190">
        <v>0</v>
      </c>
      <c r="E12" s="208">
        <v>0</v>
      </c>
      <c r="F12" s="226">
        <v>1</v>
      </c>
      <c r="G12" s="244">
        <v>0</v>
      </c>
      <c r="H12" s="262">
        <v>0</v>
      </c>
      <c r="I12" s="280">
        <v>1</v>
      </c>
      <c r="J12" s="298">
        <v>1</v>
      </c>
      <c r="K12" s="316">
        <v>0</v>
      </c>
      <c r="L12" s="334">
        <v>11</v>
      </c>
      <c r="M12" s="352">
        <v>1</v>
      </c>
      <c r="N12" s="370">
        <v>4</v>
      </c>
      <c r="O12" s="388">
        <v>0</v>
      </c>
      <c r="P12" s="406">
        <v>0</v>
      </c>
      <c r="Q12" s="424">
        <v>2</v>
      </c>
      <c r="R12" s="442">
        <v>0</v>
      </c>
      <c r="S12" s="460">
        <v>0</v>
      </c>
      <c r="T12" s="478">
        <v>0</v>
      </c>
      <c r="U12" s="496">
        <v>1</v>
      </c>
      <c r="V12" s="514">
        <v>0</v>
      </c>
      <c r="W12" s="532">
        <v>0</v>
      </c>
      <c r="X12" s="550">
        <v>0</v>
      </c>
      <c r="Y12" s="568">
        <v>0</v>
      </c>
      <c r="Z12" s="586">
        <v>0</v>
      </c>
      <c r="AA12" s="604">
        <v>0</v>
      </c>
      <c r="AB12" s="622">
        <v>0</v>
      </c>
      <c r="AC12" s="640">
        <v>0</v>
      </c>
      <c r="AD12" s="658">
        <v>0</v>
      </c>
      <c r="AE12" s="676">
        <v>0</v>
      </c>
      <c r="AF12" s="694">
        <v>0</v>
      </c>
      <c r="AG12" s="712">
        <v>0</v>
      </c>
      <c r="AH12" s="730">
        <v>0</v>
      </c>
      <c r="AI12" s="748">
        <v>0</v>
      </c>
      <c r="AJ12" s="766">
        <v>0</v>
      </c>
      <c r="AK12" s="784">
        <v>0</v>
      </c>
      <c r="AL12" s="802">
        <v>0</v>
      </c>
      <c r="AM12" s="820">
        <v>0</v>
      </c>
      <c r="AN12" s="838">
        <v>0</v>
      </c>
      <c r="AO12" s="856">
        <v>0</v>
      </c>
      <c r="AP12" s="874">
        <v>0</v>
      </c>
      <c r="AQ12" s="892">
        <v>3</v>
      </c>
      <c r="AR12" s="910">
        <v>0</v>
      </c>
      <c r="AS12" s="928">
        <v>0</v>
      </c>
      <c r="AT12" s="946">
        <v>0</v>
      </c>
      <c r="AU12" s="964">
        <v>0</v>
      </c>
      <c r="AV12" s="982">
        <v>0</v>
      </c>
    </row>
    <row r="13" spans="1:48" x14ac:dyDescent="0.2">
      <c r="A13" s="9">
        <v>2037</v>
      </c>
      <c r="B13" s="155">
        <v>0</v>
      </c>
      <c r="C13" s="173">
        <v>0</v>
      </c>
      <c r="D13" s="191">
        <v>0</v>
      </c>
      <c r="E13" s="209">
        <v>0</v>
      </c>
      <c r="F13" s="227">
        <v>0</v>
      </c>
      <c r="G13" s="245">
        <v>0</v>
      </c>
      <c r="H13" s="263">
        <v>0</v>
      </c>
      <c r="I13" s="281">
        <v>0</v>
      </c>
      <c r="J13" s="299">
        <v>0</v>
      </c>
      <c r="K13" s="317">
        <v>0</v>
      </c>
      <c r="L13" s="335">
        <v>0</v>
      </c>
      <c r="M13" s="353">
        <v>0</v>
      </c>
      <c r="N13" s="371">
        <v>0</v>
      </c>
      <c r="O13" s="389">
        <v>0</v>
      </c>
      <c r="P13" s="407">
        <v>0</v>
      </c>
      <c r="Q13" s="425">
        <v>0</v>
      </c>
      <c r="R13" s="443">
        <v>0</v>
      </c>
      <c r="S13" s="461">
        <v>0</v>
      </c>
      <c r="T13" s="479">
        <v>0</v>
      </c>
      <c r="U13" s="497">
        <v>0</v>
      </c>
      <c r="V13" s="515">
        <v>0</v>
      </c>
      <c r="W13" s="533">
        <v>0</v>
      </c>
      <c r="X13" s="551">
        <v>0</v>
      </c>
      <c r="Y13" s="569">
        <v>0</v>
      </c>
      <c r="Z13" s="587">
        <v>0</v>
      </c>
      <c r="AA13" s="605">
        <v>0</v>
      </c>
      <c r="AB13" s="623">
        <v>0</v>
      </c>
      <c r="AC13" s="641">
        <v>0</v>
      </c>
      <c r="AD13" s="659">
        <v>0</v>
      </c>
      <c r="AE13" s="677">
        <v>0</v>
      </c>
      <c r="AF13" s="695">
        <v>0</v>
      </c>
      <c r="AG13" s="713">
        <v>0</v>
      </c>
      <c r="AH13" s="731">
        <v>0</v>
      </c>
      <c r="AI13" s="749">
        <v>0</v>
      </c>
      <c r="AJ13" s="767">
        <v>0</v>
      </c>
      <c r="AK13" s="785">
        <v>0</v>
      </c>
      <c r="AL13" s="803">
        <v>0</v>
      </c>
      <c r="AM13" s="821">
        <v>0</v>
      </c>
      <c r="AN13" s="839">
        <v>0</v>
      </c>
      <c r="AO13" s="857">
        <v>0</v>
      </c>
      <c r="AP13" s="875">
        <v>0</v>
      </c>
      <c r="AQ13" s="893">
        <v>0</v>
      </c>
      <c r="AR13" s="911">
        <v>0</v>
      </c>
      <c r="AS13" s="929">
        <v>0</v>
      </c>
      <c r="AT13" s="947">
        <v>0</v>
      </c>
      <c r="AU13" s="965">
        <v>0</v>
      </c>
      <c r="AV13" s="983">
        <v>0</v>
      </c>
    </row>
    <row r="14" spans="1:48" x14ac:dyDescent="0.2">
      <c r="A14" s="9">
        <v>2025</v>
      </c>
      <c r="B14" s="156">
        <v>0</v>
      </c>
      <c r="C14" s="174">
        <v>0</v>
      </c>
      <c r="D14" s="192">
        <v>0</v>
      </c>
      <c r="E14" s="210">
        <v>0</v>
      </c>
      <c r="F14" s="228">
        <v>0</v>
      </c>
      <c r="G14" s="246">
        <v>0</v>
      </c>
      <c r="H14" s="264">
        <v>0</v>
      </c>
      <c r="I14" s="282">
        <v>0</v>
      </c>
      <c r="J14" s="300">
        <v>0</v>
      </c>
      <c r="K14" s="318">
        <v>0</v>
      </c>
      <c r="L14" s="336">
        <v>0</v>
      </c>
      <c r="M14" s="354">
        <v>0</v>
      </c>
      <c r="N14" s="372">
        <v>0</v>
      </c>
      <c r="O14" s="390">
        <v>0</v>
      </c>
      <c r="P14" s="408">
        <v>0</v>
      </c>
      <c r="Q14" s="426">
        <v>0</v>
      </c>
      <c r="R14" s="444">
        <v>0</v>
      </c>
      <c r="S14" s="462">
        <v>0</v>
      </c>
      <c r="T14" s="480">
        <v>0</v>
      </c>
      <c r="U14" s="498">
        <v>0</v>
      </c>
      <c r="V14" s="516">
        <v>0</v>
      </c>
      <c r="W14" s="534">
        <v>0</v>
      </c>
      <c r="X14" s="552">
        <v>0</v>
      </c>
      <c r="Y14" s="570">
        <v>0</v>
      </c>
      <c r="Z14" s="588">
        <v>0</v>
      </c>
      <c r="AA14" s="606">
        <v>0</v>
      </c>
      <c r="AB14" s="624">
        <v>0</v>
      </c>
      <c r="AC14" s="642">
        <v>0</v>
      </c>
      <c r="AD14" s="660">
        <v>0</v>
      </c>
      <c r="AE14" s="678">
        <v>0</v>
      </c>
      <c r="AF14" s="696">
        <v>0</v>
      </c>
      <c r="AG14" s="714">
        <v>0</v>
      </c>
      <c r="AH14" s="732">
        <v>0</v>
      </c>
      <c r="AI14" s="750">
        <v>0</v>
      </c>
      <c r="AJ14" s="768">
        <v>0</v>
      </c>
      <c r="AK14" s="786">
        <v>0</v>
      </c>
      <c r="AL14" s="804">
        <v>0</v>
      </c>
      <c r="AM14" s="822">
        <v>0</v>
      </c>
      <c r="AN14" s="840">
        <v>0</v>
      </c>
      <c r="AO14" s="858">
        <v>0</v>
      </c>
      <c r="AP14" s="876">
        <v>0</v>
      </c>
      <c r="AQ14" s="894">
        <v>0</v>
      </c>
      <c r="AR14" s="912">
        <v>0</v>
      </c>
      <c r="AS14" s="930">
        <v>0</v>
      </c>
      <c r="AT14" s="948">
        <v>0</v>
      </c>
      <c r="AU14" s="966">
        <v>0</v>
      </c>
      <c r="AV14" s="984">
        <v>0</v>
      </c>
    </row>
    <row r="15" spans="1:48" x14ac:dyDescent="0.2">
      <c r="A15" s="9">
        <v>2022</v>
      </c>
      <c r="B15" s="157">
        <v>0</v>
      </c>
      <c r="C15" s="175">
        <v>0</v>
      </c>
      <c r="D15" s="193">
        <v>0</v>
      </c>
      <c r="E15" s="211">
        <v>0</v>
      </c>
      <c r="F15" s="229">
        <v>0</v>
      </c>
      <c r="G15" s="247">
        <v>0</v>
      </c>
      <c r="H15" s="265">
        <v>0</v>
      </c>
      <c r="I15" s="283">
        <v>0</v>
      </c>
      <c r="J15" s="301">
        <v>12</v>
      </c>
      <c r="K15" s="319">
        <v>0</v>
      </c>
      <c r="L15" s="337">
        <v>13</v>
      </c>
      <c r="M15" s="355">
        <v>0</v>
      </c>
      <c r="N15" s="373">
        <v>0</v>
      </c>
      <c r="O15" s="391">
        <v>0</v>
      </c>
      <c r="P15" s="409">
        <v>0</v>
      </c>
      <c r="Q15" s="427">
        <v>0</v>
      </c>
      <c r="R15" s="445">
        <v>0</v>
      </c>
      <c r="S15" s="463">
        <v>0</v>
      </c>
      <c r="T15" s="481">
        <v>0</v>
      </c>
      <c r="U15" s="499">
        <v>0</v>
      </c>
      <c r="V15" s="517">
        <v>0</v>
      </c>
      <c r="W15" s="535">
        <v>0</v>
      </c>
      <c r="X15" s="553">
        <v>0</v>
      </c>
      <c r="Y15" s="571">
        <v>0</v>
      </c>
      <c r="Z15" s="589">
        <v>0</v>
      </c>
      <c r="AA15" s="607">
        <v>0</v>
      </c>
      <c r="AB15" s="625">
        <v>0</v>
      </c>
      <c r="AC15" s="643">
        <v>0</v>
      </c>
      <c r="AD15" s="661">
        <v>0</v>
      </c>
      <c r="AE15" s="679">
        <v>0</v>
      </c>
      <c r="AF15" s="697">
        <v>0</v>
      </c>
      <c r="AG15" s="715">
        <v>0</v>
      </c>
      <c r="AH15" s="733">
        <v>0</v>
      </c>
      <c r="AI15" s="751">
        <v>0</v>
      </c>
      <c r="AJ15" s="769">
        <v>0</v>
      </c>
      <c r="AK15" s="787">
        <v>0</v>
      </c>
      <c r="AL15" s="805">
        <v>0</v>
      </c>
      <c r="AM15" s="823">
        <v>0</v>
      </c>
      <c r="AN15" s="841">
        <v>0</v>
      </c>
      <c r="AO15" s="859">
        <v>0</v>
      </c>
      <c r="AP15" s="877">
        <v>0</v>
      </c>
      <c r="AQ15" s="895">
        <v>0</v>
      </c>
      <c r="AR15" s="913">
        <v>0</v>
      </c>
      <c r="AS15" s="931">
        <v>0</v>
      </c>
      <c r="AT15" s="949">
        <v>0</v>
      </c>
      <c r="AU15" s="967">
        <v>0</v>
      </c>
      <c r="AV15" s="985">
        <v>0</v>
      </c>
    </row>
    <row r="16" spans="1:48" x14ac:dyDescent="0.2">
      <c r="A16" s="9" t="s">
        <v>13</v>
      </c>
      <c r="B16" s="158">
        <v>0</v>
      </c>
      <c r="C16" s="176">
        <v>0</v>
      </c>
      <c r="D16" s="194">
        <v>0</v>
      </c>
      <c r="E16" s="212">
        <v>0</v>
      </c>
      <c r="F16" s="230">
        <v>2</v>
      </c>
      <c r="G16" s="248">
        <v>0</v>
      </c>
      <c r="H16" s="266">
        <v>0</v>
      </c>
      <c r="I16" s="284">
        <v>3</v>
      </c>
      <c r="J16" s="302">
        <v>5</v>
      </c>
      <c r="K16" s="320">
        <v>0</v>
      </c>
      <c r="L16" s="338">
        <v>15</v>
      </c>
      <c r="M16" s="356">
        <v>0</v>
      </c>
      <c r="N16" s="374">
        <v>2</v>
      </c>
      <c r="O16" s="392">
        <v>0</v>
      </c>
      <c r="P16" s="410">
        <v>0</v>
      </c>
      <c r="Q16" s="428">
        <v>0</v>
      </c>
      <c r="R16" s="446">
        <v>2</v>
      </c>
      <c r="S16" s="464">
        <v>0</v>
      </c>
      <c r="T16" s="482">
        <v>0</v>
      </c>
      <c r="U16" s="500">
        <v>0</v>
      </c>
      <c r="V16" s="518">
        <v>4</v>
      </c>
      <c r="W16" s="536">
        <v>2</v>
      </c>
      <c r="X16" s="554">
        <v>17</v>
      </c>
      <c r="Y16" s="572">
        <v>0</v>
      </c>
      <c r="Z16" s="590">
        <v>0</v>
      </c>
      <c r="AA16" s="608">
        <v>6</v>
      </c>
      <c r="AB16" s="626">
        <v>0</v>
      </c>
      <c r="AC16" s="644">
        <v>0</v>
      </c>
      <c r="AD16" s="662">
        <v>0</v>
      </c>
      <c r="AE16" s="680">
        <v>0</v>
      </c>
      <c r="AF16" s="698">
        <v>0</v>
      </c>
      <c r="AG16" s="716">
        <v>0</v>
      </c>
      <c r="AH16" s="734">
        <v>1</v>
      </c>
      <c r="AI16" s="752">
        <v>0</v>
      </c>
      <c r="AJ16" s="770">
        <v>0</v>
      </c>
      <c r="AK16" s="788">
        <v>2</v>
      </c>
      <c r="AL16" s="806">
        <v>1</v>
      </c>
      <c r="AM16" s="824">
        <v>1</v>
      </c>
      <c r="AN16" s="842">
        <v>0</v>
      </c>
      <c r="AO16" s="860">
        <v>0</v>
      </c>
      <c r="AP16" s="878">
        <v>3</v>
      </c>
      <c r="AQ16" s="896">
        <v>8</v>
      </c>
      <c r="AR16" s="914">
        <v>0</v>
      </c>
      <c r="AS16" s="932">
        <v>2</v>
      </c>
      <c r="AT16" s="950">
        <v>0</v>
      </c>
      <c r="AU16" s="968">
        <v>1</v>
      </c>
      <c r="AV16" s="986">
        <v>0</v>
      </c>
    </row>
    <row r="17" spans="1:48" x14ac:dyDescent="0.2">
      <c r="A17" s="9" t="s">
        <v>14</v>
      </c>
      <c r="B17" s="159">
        <v>1</v>
      </c>
      <c r="C17" s="177">
        <v>6</v>
      </c>
      <c r="D17" s="195">
        <v>0</v>
      </c>
      <c r="E17" s="213">
        <v>13</v>
      </c>
      <c r="F17" s="231">
        <v>21</v>
      </c>
      <c r="G17" s="249">
        <v>0</v>
      </c>
      <c r="H17" s="267">
        <v>1</v>
      </c>
      <c r="I17" s="285">
        <v>1</v>
      </c>
      <c r="J17" s="303">
        <v>87</v>
      </c>
      <c r="K17" s="321">
        <v>0</v>
      </c>
      <c r="L17" s="339">
        <v>38</v>
      </c>
      <c r="M17" s="357">
        <v>1</v>
      </c>
      <c r="N17" s="375">
        <v>28</v>
      </c>
      <c r="O17" s="393">
        <v>5</v>
      </c>
      <c r="P17" s="411">
        <v>1</v>
      </c>
      <c r="Q17" s="429">
        <v>36</v>
      </c>
      <c r="R17" s="447">
        <v>8</v>
      </c>
      <c r="S17" s="465">
        <v>0</v>
      </c>
      <c r="T17" s="483">
        <v>0</v>
      </c>
      <c r="U17" s="501">
        <v>0</v>
      </c>
      <c r="V17" s="519">
        <v>0</v>
      </c>
      <c r="W17" s="537">
        <v>1</v>
      </c>
      <c r="X17" s="555">
        <v>4</v>
      </c>
      <c r="Y17" s="573">
        <v>0</v>
      </c>
      <c r="Z17" s="591">
        <v>0</v>
      </c>
      <c r="AA17" s="609">
        <v>0</v>
      </c>
      <c r="AB17" s="627">
        <v>0</v>
      </c>
      <c r="AC17" s="645">
        <v>0</v>
      </c>
      <c r="AD17" s="663">
        <v>0</v>
      </c>
      <c r="AE17" s="681">
        <v>0</v>
      </c>
      <c r="AF17" s="699">
        <v>0</v>
      </c>
      <c r="AG17" s="717">
        <v>0</v>
      </c>
      <c r="AH17" s="735">
        <v>3</v>
      </c>
      <c r="AI17" s="753">
        <v>0</v>
      </c>
      <c r="AJ17" s="771">
        <v>0</v>
      </c>
      <c r="AK17" s="789">
        <v>0</v>
      </c>
      <c r="AL17" s="807">
        <v>4</v>
      </c>
      <c r="AM17" s="825">
        <v>6</v>
      </c>
      <c r="AN17" s="843">
        <v>0</v>
      </c>
      <c r="AO17" s="861">
        <v>0</v>
      </c>
      <c r="AP17" s="879">
        <v>1</v>
      </c>
      <c r="AQ17" s="897">
        <v>76</v>
      </c>
      <c r="AR17" s="915">
        <v>0</v>
      </c>
      <c r="AS17" s="933">
        <v>0</v>
      </c>
      <c r="AT17" s="951">
        <v>0</v>
      </c>
      <c r="AU17" s="969">
        <v>1</v>
      </c>
      <c r="AV17" s="987">
        <v>0</v>
      </c>
    </row>
    <row r="18" spans="1:48" ht="17" thickBot="1" x14ac:dyDescent="0.25">
      <c r="A18" s="10" t="s">
        <v>15</v>
      </c>
      <c r="B18" s="160">
        <f t="shared" ref="B18:AV18" si="0">B8+B9+B10+B11+B12+B13+B14+B15+B16+B17</f>
        <v>5</v>
      </c>
      <c r="C18" s="178">
        <f t="shared" si="0"/>
        <v>22</v>
      </c>
      <c r="D18" s="196">
        <f t="shared" si="0"/>
        <v>0</v>
      </c>
      <c r="E18" s="214">
        <f t="shared" si="0"/>
        <v>77</v>
      </c>
      <c r="F18" s="232">
        <f t="shared" si="0"/>
        <v>60</v>
      </c>
      <c r="G18" s="250">
        <f t="shared" si="0"/>
        <v>0</v>
      </c>
      <c r="H18" s="268">
        <f t="shared" si="0"/>
        <v>11</v>
      </c>
      <c r="I18" s="286">
        <f t="shared" si="0"/>
        <v>12</v>
      </c>
      <c r="J18" s="304">
        <f t="shared" si="0"/>
        <v>279</v>
      </c>
      <c r="K18" s="322">
        <f t="shared" si="0"/>
        <v>1</v>
      </c>
      <c r="L18" s="340">
        <f t="shared" si="0"/>
        <v>215</v>
      </c>
      <c r="M18" s="358">
        <f t="shared" si="0"/>
        <v>5</v>
      </c>
      <c r="N18" s="376">
        <f t="shared" si="0"/>
        <v>212</v>
      </c>
      <c r="O18" s="394">
        <f t="shared" si="0"/>
        <v>6</v>
      </c>
      <c r="P18" s="412">
        <f t="shared" si="0"/>
        <v>2</v>
      </c>
      <c r="Q18" s="430">
        <f t="shared" si="0"/>
        <v>162</v>
      </c>
      <c r="R18" s="448">
        <f t="shared" si="0"/>
        <v>15</v>
      </c>
      <c r="S18" s="466">
        <f t="shared" si="0"/>
        <v>1</v>
      </c>
      <c r="T18" s="484">
        <f t="shared" si="0"/>
        <v>0</v>
      </c>
      <c r="U18" s="502">
        <f t="shared" si="0"/>
        <v>11</v>
      </c>
      <c r="V18" s="520">
        <f t="shared" si="0"/>
        <v>11</v>
      </c>
      <c r="W18" s="538">
        <f t="shared" si="0"/>
        <v>14</v>
      </c>
      <c r="X18" s="556">
        <f t="shared" si="0"/>
        <v>21</v>
      </c>
      <c r="Y18" s="574">
        <f t="shared" si="0"/>
        <v>1</v>
      </c>
      <c r="Z18" s="592">
        <f t="shared" si="0"/>
        <v>0</v>
      </c>
      <c r="AA18" s="610">
        <f t="shared" si="0"/>
        <v>6</v>
      </c>
      <c r="AB18" s="628">
        <f t="shared" si="0"/>
        <v>4</v>
      </c>
      <c r="AC18" s="646">
        <f t="shared" si="0"/>
        <v>0</v>
      </c>
      <c r="AD18" s="664">
        <f t="shared" si="0"/>
        <v>2</v>
      </c>
      <c r="AE18" s="682">
        <f t="shared" si="0"/>
        <v>4</v>
      </c>
      <c r="AF18" s="700">
        <f t="shared" si="0"/>
        <v>1</v>
      </c>
      <c r="AG18" s="718">
        <f t="shared" si="0"/>
        <v>0</v>
      </c>
      <c r="AH18" s="736">
        <f t="shared" si="0"/>
        <v>8</v>
      </c>
      <c r="AI18" s="754">
        <f t="shared" si="0"/>
        <v>0</v>
      </c>
      <c r="AJ18" s="772">
        <f t="shared" si="0"/>
        <v>5</v>
      </c>
      <c r="AK18" s="790">
        <f t="shared" si="0"/>
        <v>2</v>
      </c>
      <c r="AL18" s="808">
        <f t="shared" si="0"/>
        <v>15</v>
      </c>
      <c r="AM18" s="826">
        <f t="shared" si="0"/>
        <v>13</v>
      </c>
      <c r="AN18" s="844">
        <f t="shared" si="0"/>
        <v>2</v>
      </c>
      <c r="AO18" s="862">
        <f t="shared" si="0"/>
        <v>0</v>
      </c>
      <c r="AP18" s="880">
        <f t="shared" si="0"/>
        <v>4</v>
      </c>
      <c r="AQ18" s="898">
        <f t="shared" si="0"/>
        <v>371</v>
      </c>
      <c r="AR18" s="916">
        <f t="shared" si="0"/>
        <v>0</v>
      </c>
      <c r="AS18" s="934">
        <f t="shared" si="0"/>
        <v>3</v>
      </c>
      <c r="AT18" s="952">
        <f t="shared" si="0"/>
        <v>2</v>
      </c>
      <c r="AU18" s="970">
        <f t="shared" si="0"/>
        <v>7</v>
      </c>
      <c r="AV18" s="988">
        <f t="shared" si="0"/>
        <v>3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baseColWidth="10" defaultColWidth="8.83203125" defaultRowHeight="22" customHeight="1" x14ac:dyDescent="0.2"/>
  <cols>
    <col min="1" max="1" width="5.1640625" bestFit="1" customWidth="1"/>
    <col min="2" max="2" width="39.1640625" customWidth="1"/>
    <col min="3" max="3" width="100.6640625" customWidth="1"/>
  </cols>
  <sheetData>
    <row r="1" spans="1:3" ht="22" customHeight="1" x14ac:dyDescent="0.2">
      <c r="A1" s="6" t="s">
        <v>16</v>
      </c>
      <c r="B1" s="6" t="s">
        <v>17</v>
      </c>
      <c r="C1" s="6" t="s">
        <v>18</v>
      </c>
    </row>
    <row r="2" spans="1:3" ht="22" customHeight="1" x14ac:dyDescent="0.2">
      <c r="A2" s="11">
        <v>1001</v>
      </c>
      <c r="B2" s="11" t="s">
        <v>19</v>
      </c>
      <c r="C2" s="11" t="s">
        <v>20</v>
      </c>
    </row>
    <row r="3" spans="1:3" ht="22" customHeight="1" x14ac:dyDescent="0.2">
      <c r="A3" s="11">
        <v>1002</v>
      </c>
      <c r="B3" s="11" t="s">
        <v>19</v>
      </c>
      <c r="C3" s="11" t="s">
        <v>21</v>
      </c>
    </row>
    <row r="4" spans="1:3" ht="22" customHeight="1" x14ac:dyDescent="0.2">
      <c r="A4" s="11">
        <v>1004</v>
      </c>
      <c r="B4" s="11" t="s">
        <v>19</v>
      </c>
      <c r="C4" s="11" t="s">
        <v>22</v>
      </c>
    </row>
    <row r="5" spans="1:3" ht="22" customHeight="1" x14ac:dyDescent="0.2">
      <c r="A5" s="11">
        <v>1005</v>
      </c>
      <c r="B5" s="11" t="s">
        <v>19</v>
      </c>
      <c r="C5" s="11" t="s">
        <v>23</v>
      </c>
    </row>
    <row r="6" spans="1:3" ht="22" customHeight="1" x14ac:dyDescent="0.2">
      <c r="A6" s="11">
        <v>1006</v>
      </c>
      <c r="B6" s="11" t="s">
        <v>19</v>
      </c>
      <c r="C6" s="11" t="s">
        <v>24</v>
      </c>
    </row>
    <row r="7" spans="1:3" ht="22" customHeight="1" x14ac:dyDescent="0.2">
      <c r="A7" s="11">
        <v>1007</v>
      </c>
      <c r="B7" s="11" t="s">
        <v>19</v>
      </c>
      <c r="C7" s="11" t="s">
        <v>25</v>
      </c>
    </row>
    <row r="8" spans="1:3" ht="22" customHeight="1" x14ac:dyDescent="0.2">
      <c r="A8" s="11">
        <v>1017</v>
      </c>
      <c r="B8" s="11" t="s">
        <v>19</v>
      </c>
      <c r="C8" s="11" t="s">
        <v>26</v>
      </c>
    </row>
    <row r="9" spans="1:3" ht="22" customHeight="1" x14ac:dyDescent="0.2">
      <c r="A9" s="11">
        <v>1018</v>
      </c>
      <c r="B9" s="11" t="s">
        <v>19</v>
      </c>
      <c r="C9" s="11" t="s">
        <v>27</v>
      </c>
    </row>
    <row r="10" spans="1:3" ht="22" customHeight="1" x14ac:dyDescent="0.2">
      <c r="A10" s="11">
        <v>2003</v>
      </c>
      <c r="B10" s="11" t="s">
        <v>28</v>
      </c>
      <c r="C10" s="11" t="s">
        <v>29</v>
      </c>
    </row>
    <row r="11" spans="1:3" ht="22" customHeight="1" x14ac:dyDescent="0.2">
      <c r="A11" s="11">
        <v>2005</v>
      </c>
      <c r="B11" s="11" t="s">
        <v>28</v>
      </c>
      <c r="C11" s="11" t="s">
        <v>30</v>
      </c>
    </row>
    <row r="12" spans="1:3" ht="22" customHeight="1" x14ac:dyDescent="0.2">
      <c r="A12" s="11">
        <v>2008</v>
      </c>
      <c r="B12" s="11" t="s">
        <v>28</v>
      </c>
      <c r="C12" s="11" t="s">
        <v>31</v>
      </c>
    </row>
    <row r="13" spans="1:3" ht="22" customHeight="1" x14ac:dyDescent="0.2">
      <c r="A13" s="11">
        <v>2009</v>
      </c>
      <c r="B13" s="11" t="s">
        <v>28</v>
      </c>
      <c r="C13" s="11" t="s">
        <v>32</v>
      </c>
    </row>
    <row r="14" spans="1:3" ht="22" customHeight="1" x14ac:dyDescent="0.2">
      <c r="A14" s="11">
        <v>2011</v>
      </c>
      <c r="B14" s="11" t="s">
        <v>33</v>
      </c>
      <c r="C14" s="11" t="s">
        <v>34</v>
      </c>
    </row>
    <row r="15" spans="1:3" ht="22" customHeight="1" x14ac:dyDescent="0.2">
      <c r="A15" s="11">
        <v>2014</v>
      </c>
      <c r="B15" s="11" t="s">
        <v>28</v>
      </c>
      <c r="C15" s="11" t="s">
        <v>35</v>
      </c>
    </row>
    <row r="16" spans="1:3" ht="22" customHeight="1" x14ac:dyDescent="0.2">
      <c r="A16" s="11">
        <v>2016</v>
      </c>
      <c r="B16" s="11" t="s">
        <v>28</v>
      </c>
      <c r="C16" s="11" t="s">
        <v>36</v>
      </c>
    </row>
    <row r="17" spans="1:3" ht="22" customHeight="1" x14ac:dyDescent="0.2">
      <c r="A17" s="11">
        <v>2018</v>
      </c>
      <c r="B17" s="11" t="s">
        <v>33</v>
      </c>
      <c r="C17" s="11" t="s">
        <v>37</v>
      </c>
    </row>
    <row r="18" spans="1:3" ht="22" customHeight="1" x14ac:dyDescent="0.2">
      <c r="A18" s="11">
        <v>2022</v>
      </c>
      <c r="B18" s="11" t="s">
        <v>28</v>
      </c>
      <c r="C18" s="11" t="s">
        <v>38</v>
      </c>
    </row>
    <row r="19" spans="1:3" ht="22" customHeight="1" x14ac:dyDescent="0.2">
      <c r="A19" s="11">
        <v>2025</v>
      </c>
      <c r="B19" s="11" t="s">
        <v>33</v>
      </c>
      <c r="C19" s="11" t="s">
        <v>39</v>
      </c>
    </row>
    <row r="20" spans="1:3" ht="22" customHeight="1" x14ac:dyDescent="0.2">
      <c r="A20" s="11">
        <v>2032</v>
      </c>
      <c r="B20" s="11" t="s">
        <v>28</v>
      </c>
      <c r="C20" s="11" t="s">
        <v>40</v>
      </c>
    </row>
    <row r="21" spans="1:3" ht="22" customHeight="1" x14ac:dyDescent="0.2">
      <c r="A21" s="11">
        <v>2034</v>
      </c>
      <c r="B21" s="11" t="s">
        <v>28</v>
      </c>
      <c r="C21" s="11" t="s">
        <v>41</v>
      </c>
    </row>
    <row r="22" spans="1:3" ht="22" customHeight="1" x14ac:dyDescent="0.2">
      <c r="A22" s="11">
        <v>2037</v>
      </c>
      <c r="B22" s="11" t="s">
        <v>33</v>
      </c>
      <c r="C22" s="11" t="s">
        <v>42</v>
      </c>
    </row>
    <row r="23" spans="1:3" ht="22" customHeight="1" x14ac:dyDescent="0.2">
      <c r="A23" s="11">
        <v>4010</v>
      </c>
      <c r="B23" s="11" t="s">
        <v>43</v>
      </c>
      <c r="C23" s="11" t="s">
        <v>44</v>
      </c>
    </row>
    <row r="24" spans="1:3" ht="22" customHeight="1" x14ac:dyDescent="0.2">
      <c r="A24" s="11">
        <v>4017</v>
      </c>
      <c r="B24" s="11" t="s">
        <v>43</v>
      </c>
      <c r="C24" s="11" t="s">
        <v>35</v>
      </c>
    </row>
    <row r="25" spans="1:3" ht="22" customHeight="1" x14ac:dyDescent="0.2">
      <c r="A25" s="11">
        <v>5006</v>
      </c>
      <c r="B25" s="11" t="s">
        <v>45</v>
      </c>
      <c r="C25" s="11" t="s">
        <v>46</v>
      </c>
    </row>
    <row r="26" spans="1:3" ht="22" customHeight="1" x14ac:dyDescent="0.2">
      <c r="A26" s="11">
        <v>5007</v>
      </c>
      <c r="B26" s="11" t="s">
        <v>45</v>
      </c>
      <c r="C26" s="11" t="s">
        <v>47</v>
      </c>
    </row>
    <row r="27" spans="1:3" ht="22" customHeight="1" x14ac:dyDescent="0.2">
      <c r="A27" s="11">
        <v>5011</v>
      </c>
      <c r="B27" s="11" t="s">
        <v>45</v>
      </c>
      <c r="C27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Errors by Device</vt:lpstr>
      <vt:lpstr>Error Codes by Device</vt:lpstr>
      <vt:lpstr>Error Codes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2018-05-15T18:29:08Z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