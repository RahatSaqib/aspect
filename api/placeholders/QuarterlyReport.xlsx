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510"/>
  <workbookPr filterPrivacy="1"/>
  <mc:AlternateContent xmlns:mc="http://schemas.openxmlformats.org/markup-compatibility/2006">
    <mc:Choice Requires="x15">
      <x15ac:absPath xmlns:x15ac="http://schemas.microsoft.com/office/spreadsheetml/2010/11/ac" url="/Users/Stefan/Downloads/"/>
    </mc:Choice>
  </mc:AlternateContent>
  <bookViews>
    <workbookView xWindow="240" yWindow="460" windowWidth="21460" windowHeight="12820" tabRatio="873"/>
  </bookViews>
  <sheets>
    <sheet name="Results" sheetId="1" r:id="rId1"/>
    <sheet name="Jan16" sheetId="2" r:id="rId2"/>
    <sheet name="Feb16" sheetId="20" r:id="rId3"/>
    <sheet name="Mar16" sheetId="19" r:id="rId4"/>
    <sheet name="1st Qtr" sheetId="18" r:id="rId5"/>
    <sheet name="Apr16" sheetId="17" r:id="rId6"/>
    <sheet name="May16" sheetId="16" r:id="rId7"/>
    <sheet name="Jun16" sheetId="15" r:id="rId8"/>
    <sheet name="2nd Qtr" sheetId="14" r:id="rId9"/>
    <sheet name="Bi Annual" sheetId="13" r:id="rId10"/>
    <sheet name="Jul16" sheetId="12" r:id="rId11"/>
    <sheet name="Aug16" sheetId="11" r:id="rId12"/>
    <sheet name="Sep16" sheetId="10" r:id="rId13"/>
    <sheet name="3rd Qtr" sheetId="9" r:id="rId14"/>
    <sheet name="Oct16" sheetId="8" r:id="rId15"/>
    <sheet name="Nov16" sheetId="7" state="hidden" r:id="rId16"/>
    <sheet name="Dec16" sheetId="3" r:id="rId17"/>
    <sheet name="4th Qtr" sheetId="5" state="hidden" r:id="rId18"/>
    <sheet name="Annual" sheetId="4" r:id="rId19"/>
  </sheets>
  <definedNames>
    <definedName name="_xlnm._FilterDatabase" localSheetId="0" hidden="1">Results!$A$1:$M$100</definedName>
    <definedName name="GeneAge">Results!$J$2:$J$17253</definedName>
    <definedName name="GeneDate">Results!$E$2:$E$17253</definedName>
    <definedName name="GeneDeployment">Results!$D$2:$D$17253</definedName>
    <definedName name="GeneHIV">Results!$H$2:$H$17253</definedName>
    <definedName name="GeneLab">Results!$D$2:$D$17253</definedName>
    <definedName name="GeneMicroscope">Results!$L$2:$L$17253</definedName>
    <definedName name="GeneMTB">Results!$F$2:$F$17253</definedName>
    <definedName name="GenePreviousHistory">Results!$K$2:$K$17253</definedName>
    <definedName name="GeneRif">Results!$G$2:$G$17253</definedName>
    <definedName name="GeneSex">Results!$I$2:$I$17253</definedName>
    <definedName name="_xlnm.Print_Area" localSheetId="4">'1st Qtr'!$A$1:$G$52</definedName>
    <definedName name="_xlnm.Print_Area" localSheetId="8">'2nd Qtr'!$A$1:$G$52</definedName>
    <definedName name="_xlnm.Print_Area" localSheetId="13">'3rd Qtr'!$A$1:$G$52</definedName>
    <definedName name="_xlnm.Print_Area" localSheetId="17">'4th Qtr'!$A$1:$G$52</definedName>
    <definedName name="_xlnm.Print_Area" localSheetId="18">Annual!$A$1:$G$52</definedName>
    <definedName name="_xlnm.Print_Area" localSheetId="5">'Apr16'!$A$1:$G$52</definedName>
    <definedName name="_xlnm.Print_Area" localSheetId="11">'Aug16'!$A$1:$G$52</definedName>
    <definedName name="_xlnm.Print_Area" localSheetId="9">'Bi Annual'!$A$1:$G$52</definedName>
    <definedName name="_xlnm.Print_Area" localSheetId="16">'Dec16'!$A$1:$G$52</definedName>
    <definedName name="_xlnm.Print_Area" localSheetId="2">'Feb16'!$A$1:$G$52</definedName>
    <definedName name="_xlnm.Print_Area" localSheetId="1">'Jan16'!$A$1:$G$52</definedName>
    <definedName name="_xlnm.Print_Area" localSheetId="10">'Jul16'!$A$1:$G$52</definedName>
    <definedName name="_xlnm.Print_Area" localSheetId="7">'Jun16'!$A$1:$G$52</definedName>
    <definedName name="_xlnm.Print_Area" localSheetId="3">'Mar16'!$A$1:$G$52</definedName>
    <definedName name="_xlnm.Print_Area" localSheetId="6">'May16'!$A$1:$G$52</definedName>
    <definedName name="_xlnm.Print_Area" localSheetId="15">'Nov16'!$A$1:$G$52</definedName>
    <definedName name="_xlnm.Print_Area" localSheetId="14">'Oct16'!$A$1:$G$52</definedName>
    <definedName name="_xlnm.Print_Area" localSheetId="12">'Sep16'!$A$1:$G$52</definedName>
  </definedNames>
  <calcPr calcId="150001" fullPrecision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47" i="4" l="1"/>
  <c r="C47" i="5"/>
  <c r="C47" i="9"/>
  <c r="C47" i="13"/>
  <c r="C47" i="14"/>
  <c r="C47" i="18"/>
  <c r="C46" i="2"/>
  <c r="C46" i="20"/>
  <c r="G38" i="20"/>
  <c r="C38" i="20"/>
  <c r="E38" i="20"/>
  <c r="G37" i="20"/>
  <c r="E37" i="20"/>
  <c r="C37" i="20"/>
  <c r="G36" i="20"/>
  <c r="E36" i="20"/>
  <c r="C36" i="20"/>
  <c r="G32" i="20"/>
  <c r="E32" i="20"/>
  <c r="C32" i="20"/>
  <c r="F29" i="20"/>
  <c r="E29" i="20"/>
  <c r="D29" i="20"/>
  <c r="C29" i="20"/>
  <c r="F28" i="20"/>
  <c r="C28" i="20"/>
  <c r="D28" i="20"/>
  <c r="E28" i="20"/>
  <c r="F27" i="20"/>
  <c r="E27" i="20"/>
  <c r="D27" i="20"/>
  <c r="C27" i="20"/>
  <c r="F26" i="20"/>
  <c r="C26" i="20"/>
  <c r="D26" i="20"/>
  <c r="E26" i="20"/>
  <c r="F25" i="20"/>
  <c r="E25" i="20"/>
  <c r="D25" i="20"/>
  <c r="C25" i="20"/>
  <c r="F24" i="20"/>
  <c r="E24" i="20"/>
  <c r="D24" i="20"/>
  <c r="C24" i="20"/>
  <c r="F23" i="20"/>
  <c r="E23" i="20"/>
  <c r="D23" i="20"/>
  <c r="C23" i="20"/>
  <c r="F19" i="20"/>
  <c r="D19" i="20"/>
  <c r="C19" i="20"/>
  <c r="F18" i="20"/>
  <c r="D18" i="20"/>
  <c r="C18" i="20"/>
  <c r="F17" i="20"/>
  <c r="D17" i="20"/>
  <c r="C17" i="20"/>
  <c r="F16" i="20"/>
  <c r="D16" i="20"/>
  <c r="C16" i="20"/>
  <c r="F15" i="20"/>
  <c r="E15" i="20"/>
  <c r="D15" i="20"/>
  <c r="C15" i="20"/>
  <c r="F14" i="20"/>
  <c r="E14" i="20"/>
  <c r="D14" i="20"/>
  <c r="C14" i="20"/>
  <c r="F13" i="20"/>
  <c r="E13" i="20"/>
  <c r="D13" i="20"/>
  <c r="C13" i="20"/>
  <c r="F9" i="20"/>
  <c r="E9" i="20"/>
  <c r="D9" i="20"/>
  <c r="C9" i="20"/>
  <c r="B9" i="20"/>
  <c r="F3" i="20"/>
  <c r="C3" i="20"/>
  <c r="C46" i="19"/>
  <c r="G38" i="19"/>
  <c r="E38" i="19"/>
  <c r="C38" i="19"/>
  <c r="G37" i="19"/>
  <c r="E37" i="19"/>
  <c r="C37" i="19"/>
  <c r="G36" i="19"/>
  <c r="E36" i="19"/>
  <c r="C36" i="19"/>
  <c r="G32" i="19"/>
  <c r="E32" i="19"/>
  <c r="C32" i="19"/>
  <c r="F29" i="19"/>
  <c r="E29" i="19"/>
  <c r="D29" i="19"/>
  <c r="C29" i="19"/>
  <c r="F28" i="19"/>
  <c r="C28" i="19"/>
  <c r="D28" i="19"/>
  <c r="E28" i="19"/>
  <c r="F27" i="19"/>
  <c r="E27" i="19"/>
  <c r="D27" i="19"/>
  <c r="C27" i="19"/>
  <c r="F26" i="19"/>
  <c r="C26" i="19"/>
  <c r="D26" i="19"/>
  <c r="E26" i="19"/>
  <c r="F25" i="19"/>
  <c r="E25" i="19"/>
  <c r="D25" i="19"/>
  <c r="C25" i="19"/>
  <c r="F24" i="19"/>
  <c r="C24" i="19"/>
  <c r="D24" i="19"/>
  <c r="E24" i="19"/>
  <c r="F23" i="19"/>
  <c r="E23" i="19"/>
  <c r="D23" i="19"/>
  <c r="C23" i="19"/>
  <c r="F19" i="19"/>
  <c r="D19" i="19"/>
  <c r="C19" i="19"/>
  <c r="F18" i="19"/>
  <c r="D18" i="19"/>
  <c r="C18" i="19"/>
  <c r="F17" i="19"/>
  <c r="D17" i="19"/>
  <c r="C17" i="19"/>
  <c r="F16" i="19"/>
  <c r="D16" i="19"/>
  <c r="C16" i="19"/>
  <c r="F15" i="19"/>
  <c r="E15" i="19"/>
  <c r="D15" i="19"/>
  <c r="C15" i="19"/>
  <c r="F14" i="19"/>
  <c r="E14" i="19"/>
  <c r="D14" i="19"/>
  <c r="C14" i="19"/>
  <c r="F13" i="19"/>
  <c r="E13" i="19"/>
  <c r="D13" i="19"/>
  <c r="C13" i="19"/>
  <c r="F9" i="19"/>
  <c r="E9" i="19"/>
  <c r="D9" i="19"/>
  <c r="C9" i="19"/>
  <c r="B9" i="19"/>
  <c r="F3" i="19"/>
  <c r="C3" i="19"/>
  <c r="C46" i="18"/>
  <c r="G38" i="18"/>
  <c r="E38" i="18"/>
  <c r="C38" i="18"/>
  <c r="G37" i="18"/>
  <c r="E37" i="18"/>
  <c r="C37" i="18"/>
  <c r="G36" i="18"/>
  <c r="E36" i="18"/>
  <c r="C36" i="18"/>
  <c r="G32" i="18"/>
  <c r="E32" i="18"/>
  <c r="C32" i="18"/>
  <c r="F29" i="18"/>
  <c r="E29" i="18"/>
  <c r="D29" i="18"/>
  <c r="C29" i="18"/>
  <c r="F28" i="18"/>
  <c r="E28" i="18"/>
  <c r="D28" i="18"/>
  <c r="C28" i="18"/>
  <c r="F27" i="18"/>
  <c r="E27" i="18"/>
  <c r="D27" i="18"/>
  <c r="C27" i="18"/>
  <c r="F26" i="18"/>
  <c r="E26" i="18"/>
  <c r="D26" i="18"/>
  <c r="C26" i="18"/>
  <c r="F25" i="18"/>
  <c r="E25" i="18"/>
  <c r="D25" i="18"/>
  <c r="C25" i="18"/>
  <c r="F24" i="18"/>
  <c r="E24" i="18"/>
  <c r="D24" i="18"/>
  <c r="C24" i="18"/>
  <c r="F23" i="18"/>
  <c r="E23" i="18"/>
  <c r="D23" i="18"/>
  <c r="C23" i="18"/>
  <c r="F19" i="18"/>
  <c r="D19" i="18"/>
  <c r="C19" i="18"/>
  <c r="F18" i="18"/>
  <c r="D18" i="18"/>
  <c r="C18" i="18"/>
  <c r="F17" i="18"/>
  <c r="D17" i="18"/>
  <c r="C17" i="18"/>
  <c r="F16" i="18"/>
  <c r="D16" i="18"/>
  <c r="C16" i="18"/>
  <c r="F15" i="18"/>
  <c r="E15" i="18"/>
  <c r="D15" i="18"/>
  <c r="C15" i="18"/>
  <c r="F14" i="18"/>
  <c r="E14" i="18"/>
  <c r="D14" i="18"/>
  <c r="C14" i="18"/>
  <c r="F13" i="18"/>
  <c r="E13" i="18"/>
  <c r="D13" i="18"/>
  <c r="C13" i="18"/>
  <c r="F9" i="18"/>
  <c r="E9" i="18"/>
  <c r="D9" i="18"/>
  <c r="C9" i="18"/>
  <c r="B9" i="18"/>
  <c r="F3" i="18"/>
  <c r="C46" i="17"/>
  <c r="G38" i="17"/>
  <c r="E38" i="17"/>
  <c r="C38" i="17"/>
  <c r="G37" i="17"/>
  <c r="E37" i="17"/>
  <c r="C37" i="17"/>
  <c r="G36" i="17"/>
  <c r="E36" i="17"/>
  <c r="C36" i="17"/>
  <c r="G32" i="17"/>
  <c r="E32" i="17"/>
  <c r="C32" i="17"/>
  <c r="F29" i="17"/>
  <c r="E29" i="17"/>
  <c r="D29" i="17"/>
  <c r="C29" i="17"/>
  <c r="F28" i="17"/>
  <c r="E28" i="17"/>
  <c r="D28" i="17"/>
  <c r="C28" i="17"/>
  <c r="F27" i="17"/>
  <c r="E27" i="17"/>
  <c r="D27" i="17"/>
  <c r="C27" i="17"/>
  <c r="F26" i="17"/>
  <c r="E26" i="17"/>
  <c r="D26" i="17"/>
  <c r="C26" i="17"/>
  <c r="F25" i="17"/>
  <c r="E25" i="17"/>
  <c r="D25" i="17"/>
  <c r="C25" i="17"/>
  <c r="F24" i="17"/>
  <c r="E24" i="17"/>
  <c r="D24" i="17"/>
  <c r="C24" i="17"/>
  <c r="F23" i="17"/>
  <c r="E23" i="17"/>
  <c r="D23" i="17"/>
  <c r="C23" i="17"/>
  <c r="F19" i="17"/>
  <c r="D19" i="17"/>
  <c r="C19" i="17"/>
  <c r="F18" i="17"/>
  <c r="D18" i="17"/>
  <c r="C18" i="17"/>
  <c r="F17" i="17"/>
  <c r="D17" i="17"/>
  <c r="C17" i="17"/>
  <c r="F16" i="17"/>
  <c r="D16" i="17"/>
  <c r="C16" i="17"/>
  <c r="F15" i="17"/>
  <c r="E15" i="17"/>
  <c r="D15" i="17"/>
  <c r="C15" i="17"/>
  <c r="F14" i="17"/>
  <c r="E14" i="17"/>
  <c r="D14" i="17"/>
  <c r="C14" i="17"/>
  <c r="F13" i="17"/>
  <c r="E13" i="17"/>
  <c r="D13" i="17"/>
  <c r="C13" i="17"/>
  <c r="F9" i="17"/>
  <c r="E9" i="17"/>
  <c r="D9" i="17"/>
  <c r="C9" i="17"/>
  <c r="B9" i="17"/>
  <c r="F3" i="17"/>
  <c r="C3" i="17"/>
  <c r="C46" i="16"/>
  <c r="G38" i="16"/>
  <c r="E38" i="16"/>
  <c r="C38" i="16"/>
  <c r="G37" i="16"/>
  <c r="E37" i="16"/>
  <c r="C37" i="16"/>
  <c r="G36" i="16"/>
  <c r="E36" i="16"/>
  <c r="C36" i="16"/>
  <c r="G32" i="16"/>
  <c r="E32" i="16"/>
  <c r="C32" i="16"/>
  <c r="F29" i="16"/>
  <c r="E29" i="16"/>
  <c r="D29" i="16"/>
  <c r="C29" i="16"/>
  <c r="F28" i="16"/>
  <c r="E28" i="16"/>
  <c r="D28" i="16"/>
  <c r="C28" i="16"/>
  <c r="F27" i="16"/>
  <c r="E27" i="16"/>
  <c r="D27" i="16"/>
  <c r="C27" i="16"/>
  <c r="F26" i="16"/>
  <c r="E26" i="16"/>
  <c r="D26" i="16"/>
  <c r="C26" i="16"/>
  <c r="F25" i="16"/>
  <c r="E25" i="16"/>
  <c r="D25" i="16"/>
  <c r="C25" i="16"/>
  <c r="F24" i="16"/>
  <c r="E24" i="16"/>
  <c r="D24" i="16"/>
  <c r="C24" i="16"/>
  <c r="F23" i="16"/>
  <c r="E23" i="16"/>
  <c r="D23" i="16"/>
  <c r="C23" i="16"/>
  <c r="F19" i="16"/>
  <c r="D19" i="16"/>
  <c r="C19" i="16"/>
  <c r="F18" i="16"/>
  <c r="D18" i="16"/>
  <c r="C18" i="16"/>
  <c r="F17" i="16"/>
  <c r="D17" i="16"/>
  <c r="C17" i="16"/>
  <c r="F16" i="16"/>
  <c r="D16" i="16"/>
  <c r="C16" i="16"/>
  <c r="F15" i="16"/>
  <c r="E15" i="16"/>
  <c r="D15" i="16"/>
  <c r="C15" i="16"/>
  <c r="F14" i="16"/>
  <c r="E14" i="16"/>
  <c r="D14" i="16"/>
  <c r="C14" i="16"/>
  <c r="F13" i="16"/>
  <c r="E13" i="16"/>
  <c r="D13" i="16"/>
  <c r="C13" i="16"/>
  <c r="F9" i="16"/>
  <c r="G26" i="16"/>
  <c r="E9" i="16"/>
  <c r="D9" i="16"/>
  <c r="C9" i="16"/>
  <c r="B9" i="16"/>
  <c r="F3" i="16"/>
  <c r="C3" i="16"/>
  <c r="C46" i="15"/>
  <c r="G38" i="15"/>
  <c r="E38" i="15"/>
  <c r="C38" i="15"/>
  <c r="G37" i="15"/>
  <c r="E37" i="15"/>
  <c r="C37" i="15"/>
  <c r="G36" i="15"/>
  <c r="E36" i="15"/>
  <c r="C36" i="15"/>
  <c r="G32" i="15"/>
  <c r="E32" i="15"/>
  <c r="C32" i="15"/>
  <c r="F29" i="15"/>
  <c r="E29" i="15"/>
  <c r="D29" i="15"/>
  <c r="C29" i="15"/>
  <c r="F28" i="15"/>
  <c r="E28" i="15"/>
  <c r="D28" i="15"/>
  <c r="C28" i="15"/>
  <c r="F27" i="15"/>
  <c r="E27" i="15"/>
  <c r="D27" i="15"/>
  <c r="C27" i="15"/>
  <c r="F26" i="15"/>
  <c r="E26" i="15"/>
  <c r="D26" i="15"/>
  <c r="C26" i="15"/>
  <c r="F25" i="15"/>
  <c r="E25" i="15"/>
  <c r="D25" i="15"/>
  <c r="C25" i="15"/>
  <c r="F24" i="15"/>
  <c r="E24" i="15"/>
  <c r="D24" i="15"/>
  <c r="C24" i="15"/>
  <c r="F23" i="15"/>
  <c r="E23" i="15"/>
  <c r="D23" i="15"/>
  <c r="C23" i="15"/>
  <c r="F19" i="15"/>
  <c r="D19" i="15"/>
  <c r="C19" i="15"/>
  <c r="F18" i="15"/>
  <c r="D18" i="15"/>
  <c r="C18" i="15"/>
  <c r="F17" i="15"/>
  <c r="D17" i="15"/>
  <c r="C17" i="15"/>
  <c r="F16" i="15"/>
  <c r="D16" i="15"/>
  <c r="C16" i="15"/>
  <c r="F15" i="15"/>
  <c r="E15" i="15"/>
  <c r="D15" i="15"/>
  <c r="C15" i="15"/>
  <c r="F14" i="15"/>
  <c r="E14" i="15"/>
  <c r="D14" i="15"/>
  <c r="C14" i="15"/>
  <c r="F13" i="15"/>
  <c r="E13" i="15"/>
  <c r="D13" i="15"/>
  <c r="C13" i="15"/>
  <c r="F9" i="15"/>
  <c r="G26" i="15"/>
  <c r="E9" i="15"/>
  <c r="D9" i="15"/>
  <c r="C9" i="15"/>
  <c r="B9" i="15"/>
  <c r="F3" i="15"/>
  <c r="C3" i="15"/>
  <c r="C46" i="14"/>
  <c r="G38" i="14"/>
  <c r="E38" i="14"/>
  <c r="C38" i="14"/>
  <c r="G37" i="14"/>
  <c r="E37" i="14"/>
  <c r="C37" i="14"/>
  <c r="G36" i="14"/>
  <c r="E36" i="14"/>
  <c r="C36" i="14"/>
  <c r="G32" i="14"/>
  <c r="E32" i="14"/>
  <c r="C32" i="14"/>
  <c r="F29" i="14"/>
  <c r="E29" i="14"/>
  <c r="D29" i="14"/>
  <c r="C29" i="14"/>
  <c r="F28" i="14"/>
  <c r="E28" i="14"/>
  <c r="D28" i="14"/>
  <c r="C28" i="14"/>
  <c r="F27" i="14"/>
  <c r="E27" i="14"/>
  <c r="D27" i="14"/>
  <c r="C27" i="14"/>
  <c r="F26" i="14"/>
  <c r="E26" i="14"/>
  <c r="D26" i="14"/>
  <c r="C26" i="14"/>
  <c r="F25" i="14"/>
  <c r="E25" i="14"/>
  <c r="D25" i="14"/>
  <c r="C25" i="14"/>
  <c r="F24" i="14"/>
  <c r="E24" i="14"/>
  <c r="D24" i="14"/>
  <c r="C24" i="14"/>
  <c r="F23" i="14"/>
  <c r="E23" i="14"/>
  <c r="D23" i="14"/>
  <c r="C23" i="14"/>
  <c r="F19" i="14"/>
  <c r="D19" i="14"/>
  <c r="C19" i="14"/>
  <c r="F18" i="14"/>
  <c r="D18" i="14"/>
  <c r="C18" i="14"/>
  <c r="F17" i="14"/>
  <c r="D17" i="14"/>
  <c r="C17" i="14"/>
  <c r="F16" i="14"/>
  <c r="D16" i="14"/>
  <c r="C16" i="14"/>
  <c r="F15" i="14"/>
  <c r="E15" i="14"/>
  <c r="D15" i="14"/>
  <c r="C15" i="14"/>
  <c r="F14" i="14"/>
  <c r="E14" i="14"/>
  <c r="D14" i="14"/>
  <c r="C14" i="14"/>
  <c r="F13" i="14"/>
  <c r="E13" i="14"/>
  <c r="D13" i="14"/>
  <c r="C13" i="14"/>
  <c r="F9" i="14"/>
  <c r="G26" i="14"/>
  <c r="E9" i="14"/>
  <c r="D9" i="14"/>
  <c r="C9" i="14"/>
  <c r="B9" i="14"/>
  <c r="F3" i="14"/>
  <c r="C46" i="13"/>
  <c r="G38" i="13"/>
  <c r="E38" i="13"/>
  <c r="C38" i="13"/>
  <c r="G37" i="13"/>
  <c r="E37" i="13"/>
  <c r="C37" i="13"/>
  <c r="G36" i="13"/>
  <c r="E36" i="13"/>
  <c r="C36" i="13"/>
  <c r="G32" i="13"/>
  <c r="E32" i="13"/>
  <c r="C32" i="13"/>
  <c r="F29" i="13"/>
  <c r="E29" i="13"/>
  <c r="D29" i="13"/>
  <c r="C29" i="13"/>
  <c r="F28" i="13"/>
  <c r="E28" i="13"/>
  <c r="D28" i="13"/>
  <c r="C28" i="13"/>
  <c r="F27" i="13"/>
  <c r="E27" i="13"/>
  <c r="D27" i="13"/>
  <c r="C27" i="13"/>
  <c r="F26" i="13"/>
  <c r="E26" i="13"/>
  <c r="D26" i="13"/>
  <c r="C26" i="13"/>
  <c r="F25" i="13"/>
  <c r="E25" i="13"/>
  <c r="D25" i="13"/>
  <c r="C25" i="13"/>
  <c r="F24" i="13"/>
  <c r="E24" i="13"/>
  <c r="D24" i="13"/>
  <c r="C24" i="13"/>
  <c r="F23" i="13"/>
  <c r="E23" i="13"/>
  <c r="D23" i="13"/>
  <c r="C23" i="13"/>
  <c r="F19" i="13"/>
  <c r="D19" i="13"/>
  <c r="C19" i="13"/>
  <c r="F18" i="13"/>
  <c r="D18" i="13"/>
  <c r="C18" i="13"/>
  <c r="F17" i="13"/>
  <c r="D17" i="13"/>
  <c r="C17" i="13"/>
  <c r="F16" i="13"/>
  <c r="D16" i="13"/>
  <c r="C16" i="13"/>
  <c r="F15" i="13"/>
  <c r="E15" i="13"/>
  <c r="D15" i="13"/>
  <c r="C15" i="13"/>
  <c r="F14" i="13"/>
  <c r="E14" i="13"/>
  <c r="D14" i="13"/>
  <c r="C14" i="13"/>
  <c r="F13" i="13"/>
  <c r="E13" i="13"/>
  <c r="D13" i="13"/>
  <c r="C13" i="13"/>
  <c r="F9" i="13"/>
  <c r="E9" i="13"/>
  <c r="D9" i="13"/>
  <c r="C9" i="13"/>
  <c r="B9" i="13"/>
  <c r="F3" i="13"/>
  <c r="C46" i="12"/>
  <c r="G38" i="12"/>
  <c r="E38" i="12"/>
  <c r="C38" i="12"/>
  <c r="G37" i="12"/>
  <c r="E37" i="12"/>
  <c r="C37" i="12"/>
  <c r="G36" i="12"/>
  <c r="E36" i="12"/>
  <c r="C36" i="12"/>
  <c r="G32" i="12"/>
  <c r="E32" i="12"/>
  <c r="C32" i="12"/>
  <c r="F29" i="12"/>
  <c r="E29" i="12"/>
  <c r="D29" i="12"/>
  <c r="C29" i="12"/>
  <c r="F28" i="12"/>
  <c r="E28" i="12"/>
  <c r="D28" i="12"/>
  <c r="C28" i="12"/>
  <c r="F27" i="12"/>
  <c r="E27" i="12"/>
  <c r="D27" i="12"/>
  <c r="C27" i="12"/>
  <c r="F26" i="12"/>
  <c r="E26" i="12"/>
  <c r="D26" i="12"/>
  <c r="C26" i="12"/>
  <c r="F25" i="12"/>
  <c r="E25" i="12"/>
  <c r="D25" i="12"/>
  <c r="C25" i="12"/>
  <c r="F24" i="12"/>
  <c r="E24" i="12"/>
  <c r="D24" i="12"/>
  <c r="C24" i="12"/>
  <c r="F23" i="12"/>
  <c r="E23" i="12"/>
  <c r="D23" i="12"/>
  <c r="C23" i="12"/>
  <c r="F19" i="12"/>
  <c r="D19" i="12"/>
  <c r="C19" i="12"/>
  <c r="F18" i="12"/>
  <c r="D18" i="12"/>
  <c r="C18" i="12"/>
  <c r="F17" i="12"/>
  <c r="D17" i="12"/>
  <c r="C17" i="12"/>
  <c r="F16" i="12"/>
  <c r="D16" i="12"/>
  <c r="C16" i="12"/>
  <c r="F15" i="12"/>
  <c r="E15" i="12"/>
  <c r="D15" i="12"/>
  <c r="C15" i="12"/>
  <c r="F14" i="12"/>
  <c r="E14" i="12"/>
  <c r="D14" i="12"/>
  <c r="C14" i="12"/>
  <c r="F13" i="12"/>
  <c r="E13" i="12"/>
  <c r="D13" i="12"/>
  <c r="C13" i="12"/>
  <c r="F9" i="12"/>
  <c r="G23" i="12"/>
  <c r="E9" i="12"/>
  <c r="D9" i="12"/>
  <c r="C9" i="12"/>
  <c r="B9" i="12"/>
  <c r="F3" i="12"/>
  <c r="C3" i="12"/>
  <c r="C46" i="11"/>
  <c r="G38" i="11"/>
  <c r="E38" i="11"/>
  <c r="C38" i="11"/>
  <c r="G37" i="11"/>
  <c r="E37" i="11"/>
  <c r="C37" i="11"/>
  <c r="G36" i="11"/>
  <c r="E36" i="11"/>
  <c r="C36" i="11"/>
  <c r="G32" i="11"/>
  <c r="E32" i="11"/>
  <c r="C32" i="11"/>
  <c r="F29" i="11"/>
  <c r="E29" i="11"/>
  <c r="D29" i="11"/>
  <c r="C29" i="11"/>
  <c r="F28" i="11"/>
  <c r="E28" i="11"/>
  <c r="D28" i="11"/>
  <c r="C28" i="11"/>
  <c r="F27" i="11"/>
  <c r="E27" i="11"/>
  <c r="D27" i="11"/>
  <c r="C27" i="11"/>
  <c r="F26" i="11"/>
  <c r="E26" i="11"/>
  <c r="D26" i="11"/>
  <c r="C26" i="11"/>
  <c r="F25" i="11"/>
  <c r="E25" i="11"/>
  <c r="D25" i="11"/>
  <c r="C25" i="11"/>
  <c r="F24" i="11"/>
  <c r="E24" i="11"/>
  <c r="D24" i="11"/>
  <c r="C24" i="11"/>
  <c r="F23" i="11"/>
  <c r="E23" i="11"/>
  <c r="D23" i="11"/>
  <c r="C23" i="11"/>
  <c r="F19" i="11"/>
  <c r="D19" i="11"/>
  <c r="C19" i="11"/>
  <c r="F18" i="11"/>
  <c r="D18" i="11"/>
  <c r="C18" i="11"/>
  <c r="F17" i="11"/>
  <c r="D17" i="11"/>
  <c r="C17" i="11"/>
  <c r="F16" i="11"/>
  <c r="D16" i="11"/>
  <c r="C16" i="11"/>
  <c r="F15" i="11"/>
  <c r="E15" i="11"/>
  <c r="D15" i="11"/>
  <c r="C15" i="11"/>
  <c r="F14" i="11"/>
  <c r="E14" i="11"/>
  <c r="D14" i="11"/>
  <c r="C14" i="11"/>
  <c r="F13" i="11"/>
  <c r="E13" i="11"/>
  <c r="D13" i="11"/>
  <c r="C13" i="11"/>
  <c r="F9" i="11"/>
  <c r="G26" i="11"/>
  <c r="E9" i="11"/>
  <c r="D9" i="11"/>
  <c r="C9" i="11"/>
  <c r="B9" i="11"/>
  <c r="F3" i="11"/>
  <c r="C3" i="11"/>
  <c r="C46" i="10"/>
  <c r="G38" i="10"/>
  <c r="E38" i="10"/>
  <c r="C38" i="10"/>
  <c r="G37" i="10"/>
  <c r="E37" i="10"/>
  <c r="C37" i="10"/>
  <c r="G36" i="10"/>
  <c r="E36" i="10"/>
  <c r="C36" i="10"/>
  <c r="G32" i="10"/>
  <c r="E32" i="10"/>
  <c r="C32" i="10"/>
  <c r="F29" i="10"/>
  <c r="E29" i="10"/>
  <c r="D29" i="10"/>
  <c r="C29" i="10"/>
  <c r="F28" i="10"/>
  <c r="E28" i="10"/>
  <c r="D28" i="10"/>
  <c r="C28" i="10"/>
  <c r="F27" i="10"/>
  <c r="E27" i="10"/>
  <c r="D27" i="10"/>
  <c r="C27" i="10"/>
  <c r="F26" i="10"/>
  <c r="E26" i="10"/>
  <c r="D26" i="10"/>
  <c r="C26" i="10"/>
  <c r="F25" i="10"/>
  <c r="E25" i="10"/>
  <c r="D25" i="10"/>
  <c r="C25" i="10"/>
  <c r="F24" i="10"/>
  <c r="E24" i="10"/>
  <c r="D24" i="10"/>
  <c r="C24" i="10"/>
  <c r="F23" i="10"/>
  <c r="E23" i="10"/>
  <c r="D23" i="10"/>
  <c r="C23" i="10"/>
  <c r="F19" i="10"/>
  <c r="D19" i="10"/>
  <c r="C19" i="10"/>
  <c r="F18" i="10"/>
  <c r="D18" i="10"/>
  <c r="C18" i="10"/>
  <c r="F17" i="10"/>
  <c r="D17" i="10"/>
  <c r="C17" i="10"/>
  <c r="F16" i="10"/>
  <c r="D16" i="10"/>
  <c r="C16" i="10"/>
  <c r="F15" i="10"/>
  <c r="E15" i="10"/>
  <c r="D15" i="10"/>
  <c r="C15" i="10"/>
  <c r="F14" i="10"/>
  <c r="E14" i="10"/>
  <c r="D14" i="10"/>
  <c r="C14" i="10"/>
  <c r="F13" i="10"/>
  <c r="E13" i="10"/>
  <c r="D13" i="10"/>
  <c r="C13" i="10"/>
  <c r="F9" i="10"/>
  <c r="G23" i="10"/>
  <c r="E9" i="10"/>
  <c r="D9" i="10"/>
  <c r="C9" i="10"/>
  <c r="B9" i="10"/>
  <c r="F3" i="10"/>
  <c r="C3" i="10"/>
  <c r="C46" i="9"/>
  <c r="G38" i="9"/>
  <c r="E38" i="9"/>
  <c r="C38" i="9"/>
  <c r="G37" i="9"/>
  <c r="E37" i="9"/>
  <c r="C37" i="9"/>
  <c r="G36" i="9"/>
  <c r="E36" i="9"/>
  <c r="C36" i="9"/>
  <c r="G32" i="9"/>
  <c r="E32" i="9"/>
  <c r="C32" i="9"/>
  <c r="F29" i="9"/>
  <c r="E29" i="9"/>
  <c r="D29" i="9"/>
  <c r="C29" i="9"/>
  <c r="F28" i="9"/>
  <c r="E28" i="9"/>
  <c r="D28" i="9"/>
  <c r="C28" i="9"/>
  <c r="F27" i="9"/>
  <c r="E27" i="9"/>
  <c r="D27" i="9"/>
  <c r="C27" i="9"/>
  <c r="F26" i="9"/>
  <c r="E26" i="9"/>
  <c r="D26" i="9"/>
  <c r="C26" i="9"/>
  <c r="F25" i="9"/>
  <c r="E25" i="9"/>
  <c r="D25" i="9"/>
  <c r="C25" i="9"/>
  <c r="F24" i="9"/>
  <c r="E24" i="9"/>
  <c r="D24" i="9"/>
  <c r="C24" i="9"/>
  <c r="F23" i="9"/>
  <c r="E23" i="9"/>
  <c r="D23" i="9"/>
  <c r="C23" i="9"/>
  <c r="F19" i="9"/>
  <c r="D19" i="9"/>
  <c r="C19" i="9"/>
  <c r="F18" i="9"/>
  <c r="D18" i="9"/>
  <c r="C18" i="9"/>
  <c r="F17" i="9"/>
  <c r="D17" i="9"/>
  <c r="C17" i="9"/>
  <c r="F16" i="9"/>
  <c r="D16" i="9"/>
  <c r="C16" i="9"/>
  <c r="F15" i="9"/>
  <c r="E15" i="9"/>
  <c r="D15" i="9"/>
  <c r="C15" i="9"/>
  <c r="F14" i="9"/>
  <c r="E14" i="9"/>
  <c r="D14" i="9"/>
  <c r="C14" i="9"/>
  <c r="F13" i="9"/>
  <c r="E13" i="9"/>
  <c r="D13" i="9"/>
  <c r="C13" i="9"/>
  <c r="F9" i="9"/>
  <c r="G26" i="9"/>
  <c r="E9" i="9"/>
  <c r="D9" i="9"/>
  <c r="C9" i="9"/>
  <c r="B9" i="9"/>
  <c r="F3" i="9"/>
  <c r="C46" i="8"/>
  <c r="G38" i="8"/>
  <c r="E38" i="8"/>
  <c r="C38" i="8"/>
  <c r="G37" i="8"/>
  <c r="E37" i="8"/>
  <c r="C37" i="8"/>
  <c r="G36" i="8"/>
  <c r="E36" i="8"/>
  <c r="C36" i="8"/>
  <c r="G32" i="8"/>
  <c r="E32" i="8"/>
  <c r="C32" i="8"/>
  <c r="F29" i="8"/>
  <c r="E29" i="8"/>
  <c r="D29" i="8"/>
  <c r="C29" i="8"/>
  <c r="F28" i="8"/>
  <c r="E28" i="8"/>
  <c r="D28" i="8"/>
  <c r="C28" i="8"/>
  <c r="F27" i="8"/>
  <c r="E27" i="8"/>
  <c r="D27" i="8"/>
  <c r="C27" i="8"/>
  <c r="F26" i="8"/>
  <c r="E26" i="8"/>
  <c r="D26" i="8"/>
  <c r="C26" i="8"/>
  <c r="F25" i="8"/>
  <c r="E25" i="8"/>
  <c r="D25" i="8"/>
  <c r="C25" i="8"/>
  <c r="F24" i="8"/>
  <c r="E24" i="8"/>
  <c r="D24" i="8"/>
  <c r="C24" i="8"/>
  <c r="F23" i="8"/>
  <c r="E23" i="8"/>
  <c r="D23" i="8"/>
  <c r="C23" i="8"/>
  <c r="F19" i="8"/>
  <c r="D19" i="8"/>
  <c r="C19" i="8"/>
  <c r="F18" i="8"/>
  <c r="D18" i="8"/>
  <c r="C18" i="8"/>
  <c r="F17" i="8"/>
  <c r="D17" i="8"/>
  <c r="C17" i="8"/>
  <c r="F16" i="8"/>
  <c r="D16" i="8"/>
  <c r="C16" i="8"/>
  <c r="F15" i="8"/>
  <c r="E15" i="8"/>
  <c r="D15" i="8"/>
  <c r="C15" i="8"/>
  <c r="F14" i="8"/>
  <c r="E14" i="8"/>
  <c r="D14" i="8"/>
  <c r="C14" i="8"/>
  <c r="F13" i="8"/>
  <c r="E13" i="8"/>
  <c r="D13" i="8"/>
  <c r="C13" i="8"/>
  <c r="F9" i="8"/>
  <c r="G23" i="8"/>
  <c r="E9" i="8"/>
  <c r="D9" i="8"/>
  <c r="C9" i="8"/>
  <c r="B9" i="8"/>
  <c r="F3" i="8"/>
  <c r="C3" i="8"/>
  <c r="C46" i="7"/>
  <c r="G38" i="7"/>
  <c r="E38" i="7"/>
  <c r="C38" i="7"/>
  <c r="G37" i="7"/>
  <c r="E37" i="7"/>
  <c r="C37" i="7"/>
  <c r="G36" i="7"/>
  <c r="E36" i="7"/>
  <c r="C36" i="7"/>
  <c r="G32" i="7"/>
  <c r="E32" i="7"/>
  <c r="C32" i="7"/>
  <c r="F29" i="7"/>
  <c r="E29" i="7"/>
  <c r="D29" i="7"/>
  <c r="C29" i="7"/>
  <c r="F28" i="7"/>
  <c r="E28" i="7"/>
  <c r="D28" i="7"/>
  <c r="C28" i="7"/>
  <c r="F27" i="7"/>
  <c r="E27" i="7"/>
  <c r="D27" i="7"/>
  <c r="C27" i="7"/>
  <c r="F26" i="7"/>
  <c r="E26" i="7"/>
  <c r="D26" i="7"/>
  <c r="C26" i="7"/>
  <c r="F25" i="7"/>
  <c r="E25" i="7"/>
  <c r="D25" i="7"/>
  <c r="C25" i="7"/>
  <c r="F24" i="7"/>
  <c r="E24" i="7"/>
  <c r="D24" i="7"/>
  <c r="C24" i="7"/>
  <c r="F23" i="7"/>
  <c r="E23" i="7"/>
  <c r="D23" i="7"/>
  <c r="C23" i="7"/>
  <c r="F19" i="7"/>
  <c r="D19" i="7"/>
  <c r="C19" i="7"/>
  <c r="F18" i="7"/>
  <c r="D18" i="7"/>
  <c r="C18" i="7"/>
  <c r="F17" i="7"/>
  <c r="D17" i="7"/>
  <c r="C17" i="7"/>
  <c r="F16" i="7"/>
  <c r="D16" i="7"/>
  <c r="C16" i="7"/>
  <c r="F15" i="7"/>
  <c r="E15" i="7"/>
  <c r="D15" i="7"/>
  <c r="C15" i="7"/>
  <c r="F14" i="7"/>
  <c r="E14" i="7"/>
  <c r="D14" i="7"/>
  <c r="C14" i="7"/>
  <c r="F13" i="7"/>
  <c r="E13" i="7"/>
  <c r="D13" i="7"/>
  <c r="C13" i="7"/>
  <c r="F9" i="7"/>
  <c r="E9" i="7"/>
  <c r="D9" i="7"/>
  <c r="C9" i="7"/>
  <c r="B9" i="7"/>
  <c r="F3" i="7"/>
  <c r="C3" i="7"/>
  <c r="C46" i="5"/>
  <c r="G38" i="5"/>
  <c r="E38" i="5"/>
  <c r="C38" i="5"/>
  <c r="G37" i="5"/>
  <c r="E37" i="5"/>
  <c r="C37" i="5"/>
  <c r="G36" i="5"/>
  <c r="E36" i="5"/>
  <c r="C36" i="5"/>
  <c r="G32" i="5"/>
  <c r="E32" i="5"/>
  <c r="C32" i="5"/>
  <c r="F29" i="5"/>
  <c r="E29" i="5"/>
  <c r="D29" i="5"/>
  <c r="C29" i="5"/>
  <c r="F28" i="5"/>
  <c r="E28" i="5"/>
  <c r="D28" i="5"/>
  <c r="C28" i="5"/>
  <c r="F27" i="5"/>
  <c r="E27" i="5"/>
  <c r="D27" i="5"/>
  <c r="C27" i="5"/>
  <c r="F26" i="5"/>
  <c r="E26" i="5"/>
  <c r="D26" i="5"/>
  <c r="C26" i="5"/>
  <c r="F25" i="5"/>
  <c r="E25" i="5"/>
  <c r="D25" i="5"/>
  <c r="C25" i="5"/>
  <c r="F24" i="5"/>
  <c r="E24" i="5"/>
  <c r="D24" i="5"/>
  <c r="C24" i="5"/>
  <c r="F23" i="5"/>
  <c r="E23" i="5"/>
  <c r="D23" i="5"/>
  <c r="C23" i="5"/>
  <c r="F19" i="5"/>
  <c r="D19" i="5"/>
  <c r="C19" i="5"/>
  <c r="F18" i="5"/>
  <c r="D18" i="5"/>
  <c r="C18" i="5"/>
  <c r="F17" i="5"/>
  <c r="D17" i="5"/>
  <c r="C17" i="5"/>
  <c r="F16" i="5"/>
  <c r="D16" i="5"/>
  <c r="C16" i="5"/>
  <c r="F15" i="5"/>
  <c r="E15" i="5"/>
  <c r="D15" i="5"/>
  <c r="C15" i="5"/>
  <c r="F14" i="5"/>
  <c r="E14" i="5"/>
  <c r="D14" i="5"/>
  <c r="C14" i="5"/>
  <c r="F13" i="5"/>
  <c r="E13" i="5"/>
  <c r="D13" i="5"/>
  <c r="C13" i="5"/>
  <c r="F9" i="5"/>
  <c r="G26" i="5"/>
  <c r="E9" i="5"/>
  <c r="D9" i="5"/>
  <c r="C9" i="5"/>
  <c r="B9" i="5"/>
  <c r="F3" i="5"/>
  <c r="C46" i="4"/>
  <c r="G38" i="4"/>
  <c r="E38" i="4"/>
  <c r="C38" i="4"/>
  <c r="G37" i="4"/>
  <c r="E37" i="4"/>
  <c r="C37" i="4"/>
  <c r="G36" i="4"/>
  <c r="E36" i="4"/>
  <c r="C36" i="4"/>
  <c r="G32" i="4"/>
  <c r="E32" i="4"/>
  <c r="C32" i="4"/>
  <c r="F29" i="4"/>
  <c r="E29" i="4"/>
  <c r="D29" i="4"/>
  <c r="C29" i="4"/>
  <c r="F28" i="4"/>
  <c r="E28" i="4"/>
  <c r="D28" i="4"/>
  <c r="C28" i="4"/>
  <c r="F27" i="4"/>
  <c r="E27" i="4"/>
  <c r="D27" i="4"/>
  <c r="C27" i="4"/>
  <c r="F26" i="4"/>
  <c r="E26" i="4"/>
  <c r="D26" i="4"/>
  <c r="C26" i="4"/>
  <c r="F25" i="4"/>
  <c r="E25" i="4"/>
  <c r="D25" i="4"/>
  <c r="C25" i="4"/>
  <c r="F24" i="4"/>
  <c r="E24" i="4"/>
  <c r="D24" i="4"/>
  <c r="C24" i="4"/>
  <c r="F23" i="4"/>
  <c r="E23" i="4"/>
  <c r="D23" i="4"/>
  <c r="C23" i="4"/>
  <c r="F19" i="4"/>
  <c r="D19" i="4"/>
  <c r="C19" i="4"/>
  <c r="F18" i="4"/>
  <c r="D18" i="4"/>
  <c r="C18" i="4"/>
  <c r="F17" i="4"/>
  <c r="D17" i="4"/>
  <c r="C17" i="4"/>
  <c r="F16" i="4"/>
  <c r="D16" i="4"/>
  <c r="C16" i="4"/>
  <c r="F15" i="4"/>
  <c r="E15" i="4"/>
  <c r="D15" i="4"/>
  <c r="C15" i="4"/>
  <c r="F14" i="4"/>
  <c r="E14" i="4"/>
  <c r="D14" i="4"/>
  <c r="C14" i="4"/>
  <c r="F13" i="4"/>
  <c r="E13" i="4"/>
  <c r="D13" i="4"/>
  <c r="C13" i="4"/>
  <c r="F9" i="4"/>
  <c r="G26" i="4"/>
  <c r="E9" i="4"/>
  <c r="D9" i="4"/>
  <c r="C9" i="4"/>
  <c r="B9" i="4"/>
  <c r="F3" i="4"/>
  <c r="C46" i="3"/>
  <c r="G38" i="3"/>
  <c r="E38" i="3"/>
  <c r="C38" i="3"/>
  <c r="G37" i="3"/>
  <c r="E37" i="3"/>
  <c r="C37" i="3"/>
  <c r="G36" i="3"/>
  <c r="E36" i="3"/>
  <c r="C36" i="3"/>
  <c r="G32" i="3"/>
  <c r="E32" i="3"/>
  <c r="C32" i="3"/>
  <c r="F29" i="3"/>
  <c r="E29" i="3"/>
  <c r="D29" i="3"/>
  <c r="C29" i="3"/>
  <c r="F28" i="3"/>
  <c r="E28" i="3"/>
  <c r="D28" i="3"/>
  <c r="C28" i="3"/>
  <c r="F27" i="3"/>
  <c r="E27" i="3"/>
  <c r="D27" i="3"/>
  <c r="C27" i="3"/>
  <c r="F26" i="3"/>
  <c r="E26" i="3"/>
  <c r="D26" i="3"/>
  <c r="C26" i="3"/>
  <c r="F25" i="3"/>
  <c r="E25" i="3"/>
  <c r="D25" i="3"/>
  <c r="C25" i="3"/>
  <c r="F24" i="3"/>
  <c r="E24" i="3"/>
  <c r="D24" i="3"/>
  <c r="C24" i="3"/>
  <c r="F23" i="3"/>
  <c r="E23" i="3"/>
  <c r="D23" i="3"/>
  <c r="C23" i="3"/>
  <c r="F19" i="3"/>
  <c r="D19" i="3"/>
  <c r="C19" i="3"/>
  <c r="F18" i="3"/>
  <c r="D18" i="3"/>
  <c r="C18" i="3"/>
  <c r="F17" i="3"/>
  <c r="D17" i="3"/>
  <c r="C17" i="3"/>
  <c r="F16" i="3"/>
  <c r="D16" i="3"/>
  <c r="C16" i="3"/>
  <c r="F15" i="3"/>
  <c r="E15" i="3"/>
  <c r="D15" i="3"/>
  <c r="C15" i="3"/>
  <c r="F14" i="3"/>
  <c r="E14" i="3"/>
  <c r="D14" i="3"/>
  <c r="C14" i="3"/>
  <c r="F13" i="3"/>
  <c r="E13" i="3"/>
  <c r="D13" i="3"/>
  <c r="C13" i="3"/>
  <c r="F9" i="3"/>
  <c r="E9" i="3"/>
  <c r="D9" i="3"/>
  <c r="C9" i="3"/>
  <c r="B9" i="3"/>
  <c r="F3" i="3"/>
  <c r="C3" i="3"/>
  <c r="G23" i="9"/>
  <c r="G38" i="2"/>
  <c r="E38" i="2"/>
  <c r="C38" i="2"/>
  <c r="G37" i="2"/>
  <c r="E37" i="2"/>
  <c r="C37" i="2"/>
  <c r="G36" i="2"/>
  <c r="E36" i="2"/>
  <c r="C36" i="2"/>
  <c r="G32" i="2"/>
  <c r="E32" i="2"/>
  <c r="C32" i="2"/>
  <c r="F29" i="2"/>
  <c r="E29" i="2"/>
  <c r="D29" i="2"/>
  <c r="C29" i="2"/>
  <c r="F28" i="2"/>
  <c r="E28" i="2"/>
  <c r="D28" i="2"/>
  <c r="C28" i="2"/>
  <c r="F27" i="2"/>
  <c r="E27" i="2"/>
  <c r="D27" i="2"/>
  <c r="C27" i="2"/>
  <c r="F26" i="2"/>
  <c r="E26" i="2"/>
  <c r="D26" i="2"/>
  <c r="C26" i="2"/>
  <c r="F25" i="2"/>
  <c r="E25" i="2"/>
  <c r="D25" i="2"/>
  <c r="C25" i="2"/>
  <c r="C24" i="2"/>
  <c r="D24" i="2"/>
  <c r="E24" i="2"/>
  <c r="F24" i="2"/>
  <c r="F23" i="2"/>
  <c r="E23" i="2"/>
  <c r="D23" i="2"/>
  <c r="C23" i="2"/>
  <c r="C19" i="2"/>
  <c r="D19" i="2"/>
  <c r="F19" i="2"/>
  <c r="F18" i="2"/>
  <c r="D18" i="2"/>
  <c r="C18" i="2"/>
  <c r="C17" i="2"/>
  <c r="D17" i="2"/>
  <c r="F17" i="2"/>
  <c r="F16" i="2"/>
  <c r="D16" i="2"/>
  <c r="C16" i="2"/>
  <c r="C15" i="2"/>
  <c r="D15" i="2"/>
  <c r="E15" i="2"/>
  <c r="F15" i="2"/>
  <c r="F14" i="2"/>
  <c r="E14" i="2"/>
  <c r="D14" i="2"/>
  <c r="C14" i="2"/>
  <c r="C13" i="2"/>
  <c r="D13" i="2"/>
  <c r="E13" i="2"/>
  <c r="F13" i="2"/>
  <c r="F9" i="2"/>
  <c r="G26" i="2"/>
  <c r="E9" i="2"/>
  <c r="D9" i="2"/>
  <c r="C9" i="2"/>
  <c r="B9" i="2"/>
  <c r="S1" i="1"/>
  <c r="F3" i="2"/>
  <c r="C3" i="2"/>
  <c r="C44" i="17"/>
  <c r="C45" i="17"/>
  <c r="G13" i="14"/>
  <c r="G26" i="17"/>
  <c r="C44" i="18"/>
  <c r="C45" i="18"/>
  <c r="C44" i="19"/>
  <c r="C45" i="19"/>
  <c r="C44" i="20"/>
  <c r="C45" i="20"/>
  <c r="G13" i="15"/>
  <c r="E19" i="15"/>
  <c r="I19" i="15"/>
  <c r="E17" i="19"/>
  <c r="I17" i="19"/>
  <c r="I29" i="20"/>
  <c r="G26" i="20"/>
  <c r="G26" i="18"/>
  <c r="E16" i="17"/>
  <c r="I16" i="17"/>
  <c r="I26" i="17"/>
  <c r="I26" i="18"/>
  <c r="G26" i="19"/>
  <c r="E16" i="14"/>
  <c r="I16" i="14"/>
  <c r="C44" i="9"/>
  <c r="C45" i="9"/>
  <c r="C44" i="10"/>
  <c r="C45" i="10"/>
  <c r="G26" i="8"/>
  <c r="I15" i="15"/>
  <c r="G13" i="8"/>
  <c r="J37" i="16"/>
  <c r="G23" i="7"/>
  <c r="D39" i="15"/>
  <c r="I23" i="17"/>
  <c r="G13" i="18"/>
  <c r="G23" i="18"/>
  <c r="J36" i="18"/>
  <c r="H36" i="18"/>
  <c r="G13" i="19"/>
  <c r="G23" i="19"/>
  <c r="J37" i="19"/>
  <c r="G13" i="20"/>
  <c r="G23" i="20"/>
  <c r="H36" i="20"/>
  <c r="C44" i="2"/>
  <c r="C45" i="2"/>
  <c r="C44" i="7"/>
  <c r="C45" i="7"/>
  <c r="C44" i="8"/>
  <c r="C45" i="8"/>
  <c r="E17" i="11"/>
  <c r="I17" i="11"/>
  <c r="E18" i="15"/>
  <c r="I18" i="15"/>
  <c r="H36" i="10"/>
  <c r="H36" i="11"/>
  <c r="G13" i="2"/>
  <c r="G23" i="16"/>
  <c r="C44" i="16"/>
  <c r="C45" i="16"/>
  <c r="I26" i="16"/>
  <c r="G13" i="16"/>
  <c r="G23" i="14"/>
  <c r="G23" i="15"/>
  <c r="G13" i="17"/>
  <c r="C44" i="11"/>
  <c r="C45" i="11"/>
  <c r="J38" i="2"/>
  <c r="G23" i="17"/>
  <c r="E16" i="5"/>
  <c r="I16" i="5"/>
  <c r="I29" i="11"/>
  <c r="I15" i="3"/>
  <c r="C44" i="3"/>
  <c r="C45" i="3"/>
  <c r="E18" i="7"/>
  <c r="I18" i="7"/>
  <c r="J37" i="7"/>
  <c r="I28" i="8"/>
  <c r="J37" i="8"/>
  <c r="E17" i="9"/>
  <c r="I17" i="9"/>
  <c r="E19" i="9"/>
  <c r="I19" i="9"/>
  <c r="J36" i="9"/>
  <c r="E17" i="10"/>
  <c r="I17" i="10"/>
  <c r="I23" i="10"/>
  <c r="J36" i="10"/>
  <c r="J36" i="11"/>
  <c r="E17" i="12"/>
  <c r="I17" i="12"/>
  <c r="I23" i="12"/>
  <c r="J36" i="12"/>
  <c r="E16" i="13"/>
  <c r="I16" i="13"/>
  <c r="E17" i="14"/>
  <c r="I17" i="14"/>
  <c r="E19" i="14"/>
  <c r="I19" i="14"/>
  <c r="D39" i="14"/>
  <c r="I24" i="15"/>
  <c r="H36" i="15"/>
  <c r="J38" i="15"/>
  <c r="G9" i="16"/>
  <c r="E19" i="16"/>
  <c r="I19" i="16"/>
  <c r="I27" i="16"/>
  <c r="H36" i="16"/>
  <c r="J38" i="16"/>
  <c r="I15" i="17"/>
  <c r="G16" i="17"/>
  <c r="E19" i="17"/>
  <c r="I19" i="17"/>
  <c r="I27" i="17"/>
  <c r="D39" i="17"/>
  <c r="E18" i="18"/>
  <c r="I18" i="18"/>
  <c r="I25" i="18"/>
  <c r="J37" i="18"/>
  <c r="G9" i="19"/>
  <c r="I13" i="19"/>
  <c r="G16" i="19"/>
  <c r="E18" i="19"/>
  <c r="I18" i="19"/>
  <c r="E19" i="19"/>
  <c r="I19" i="19"/>
  <c r="I23" i="19"/>
  <c r="I29" i="19"/>
  <c r="J38" i="19"/>
  <c r="I13" i="20"/>
  <c r="G16" i="20"/>
  <c r="E18" i="20"/>
  <c r="I18" i="20"/>
  <c r="I23" i="20"/>
  <c r="I27" i="20"/>
  <c r="D39" i="20"/>
  <c r="C44" i="5"/>
  <c r="C45" i="5"/>
  <c r="E17" i="2"/>
  <c r="I17" i="2"/>
  <c r="G16" i="2"/>
  <c r="J36" i="2"/>
  <c r="G13" i="9"/>
  <c r="H36" i="9"/>
  <c r="G13" i="10"/>
  <c r="G23" i="11"/>
  <c r="G13" i="12"/>
  <c r="H36" i="12"/>
  <c r="E17" i="17"/>
  <c r="I17" i="17"/>
  <c r="E16" i="3"/>
  <c r="I16" i="3"/>
  <c r="D39" i="4"/>
  <c r="J38" i="4"/>
  <c r="E18" i="5"/>
  <c r="I18" i="5"/>
  <c r="J37" i="5"/>
  <c r="E18" i="8"/>
  <c r="I18" i="8"/>
  <c r="E16" i="2"/>
  <c r="I16" i="2"/>
  <c r="E18" i="2"/>
  <c r="I18" i="2"/>
  <c r="I26" i="2"/>
  <c r="I29" i="2"/>
  <c r="D39" i="2"/>
  <c r="G26" i="10"/>
  <c r="G13" i="11"/>
  <c r="G26" i="12"/>
  <c r="C44" i="12"/>
  <c r="C45" i="12"/>
  <c r="J38" i="14"/>
  <c r="J38" i="17"/>
  <c r="D39" i="16"/>
  <c r="D39" i="18"/>
  <c r="I26" i="3"/>
  <c r="I29" i="3"/>
  <c r="G9" i="4"/>
  <c r="I13" i="4"/>
  <c r="E16" i="4"/>
  <c r="I16" i="4"/>
  <c r="E17" i="4"/>
  <c r="I17" i="4"/>
  <c r="E18" i="4"/>
  <c r="I18" i="4"/>
  <c r="I23" i="4"/>
  <c r="I24" i="4"/>
  <c r="I26" i="4"/>
  <c r="I27" i="4"/>
  <c r="I29" i="4"/>
  <c r="J36" i="4"/>
  <c r="G9" i="5"/>
  <c r="I14" i="5"/>
  <c r="I15" i="5"/>
  <c r="E17" i="5"/>
  <c r="I17" i="5"/>
  <c r="I23" i="5"/>
  <c r="I24" i="5"/>
  <c r="I25" i="5"/>
  <c r="I26" i="5"/>
  <c r="I29" i="5"/>
  <c r="J36" i="5"/>
  <c r="J38" i="5"/>
  <c r="I13" i="7"/>
  <c r="I14" i="7"/>
  <c r="I15" i="7"/>
  <c r="E16" i="7"/>
  <c r="I16" i="7"/>
  <c r="I23" i="7"/>
  <c r="I24" i="7"/>
  <c r="I25" i="7"/>
  <c r="I26" i="7"/>
  <c r="I27" i="7"/>
  <c r="I28" i="7"/>
  <c r="I29" i="7"/>
  <c r="J36" i="7"/>
  <c r="J38" i="7"/>
  <c r="I13" i="8"/>
  <c r="I14" i="8"/>
  <c r="I15" i="8"/>
  <c r="E16" i="8"/>
  <c r="I16" i="8"/>
  <c r="E19" i="8"/>
  <c r="I19" i="8"/>
  <c r="I23" i="8"/>
  <c r="I24" i="8"/>
  <c r="I25" i="8"/>
  <c r="I26" i="8"/>
  <c r="I27" i="8"/>
  <c r="I29" i="8"/>
  <c r="H36" i="8"/>
  <c r="J38" i="8"/>
  <c r="G9" i="9"/>
  <c r="I13" i="9"/>
  <c r="I14" i="9"/>
  <c r="I15" i="9"/>
  <c r="I23" i="9"/>
  <c r="I24" i="9"/>
  <c r="I25" i="9"/>
  <c r="I26" i="9"/>
  <c r="I27" i="9"/>
  <c r="I28" i="9"/>
  <c r="I29" i="9"/>
  <c r="J38" i="9"/>
  <c r="G9" i="10"/>
  <c r="I13" i="10"/>
  <c r="I14" i="10"/>
  <c r="I15" i="10"/>
  <c r="E18" i="10"/>
  <c r="I18" i="10"/>
  <c r="E19" i="10"/>
  <c r="I19" i="10"/>
  <c r="I24" i="10"/>
  <c r="I25" i="10"/>
  <c r="I26" i="10"/>
  <c r="I27" i="10"/>
  <c r="I28" i="10"/>
  <c r="I29" i="10"/>
  <c r="J38" i="10"/>
  <c r="G9" i="11"/>
  <c r="I13" i="11"/>
  <c r="I14" i="11"/>
  <c r="I15" i="11"/>
  <c r="E18" i="11"/>
  <c r="I18" i="11"/>
  <c r="I23" i="11"/>
  <c r="I24" i="11"/>
  <c r="I25" i="11"/>
  <c r="I26" i="11"/>
  <c r="I27" i="11"/>
  <c r="I28" i="11"/>
  <c r="D39" i="11"/>
  <c r="J38" i="11"/>
  <c r="G9" i="12"/>
  <c r="I13" i="12"/>
  <c r="I14" i="12"/>
  <c r="I15" i="12"/>
  <c r="E18" i="12"/>
  <c r="I18" i="12"/>
  <c r="I24" i="12"/>
  <c r="I25" i="12"/>
  <c r="I26" i="12"/>
  <c r="I27" i="12"/>
  <c r="I28" i="12"/>
  <c r="I29" i="12"/>
  <c r="J38" i="12"/>
  <c r="G9" i="13"/>
  <c r="I13" i="13"/>
  <c r="I14" i="13"/>
  <c r="I15" i="13"/>
  <c r="E17" i="13"/>
  <c r="I17" i="13"/>
  <c r="E18" i="13"/>
  <c r="I18" i="13"/>
  <c r="E19" i="13"/>
  <c r="I19" i="13"/>
  <c r="I23" i="13"/>
  <c r="I24" i="13"/>
  <c r="J36" i="20"/>
  <c r="J37" i="20"/>
  <c r="I25" i="13"/>
  <c r="I26" i="13"/>
  <c r="I27" i="13"/>
  <c r="I28" i="13"/>
  <c r="I29" i="13"/>
  <c r="J37" i="13"/>
  <c r="J38" i="13"/>
  <c r="G9" i="14"/>
  <c r="I13" i="14"/>
  <c r="I14" i="14"/>
  <c r="I15" i="14"/>
  <c r="E18" i="14"/>
  <c r="I18" i="14"/>
  <c r="I23" i="14"/>
  <c r="I24" i="14"/>
  <c r="I25" i="14"/>
  <c r="I26" i="14"/>
  <c r="I27" i="14"/>
  <c r="I28" i="14"/>
  <c r="I29" i="14"/>
  <c r="J36" i="14"/>
  <c r="C44" i="14"/>
  <c r="C45" i="14"/>
  <c r="G9" i="15"/>
  <c r="I13" i="15"/>
  <c r="I14" i="15"/>
  <c r="E17" i="15"/>
  <c r="I17" i="15"/>
  <c r="G16" i="15"/>
  <c r="I23" i="15"/>
  <c r="I25" i="15"/>
  <c r="I26" i="15"/>
  <c r="I27" i="15"/>
  <c r="I28" i="15"/>
  <c r="I29" i="15"/>
  <c r="J36" i="15"/>
  <c r="J37" i="15"/>
  <c r="C44" i="15"/>
  <c r="C45" i="15"/>
  <c r="I13" i="16"/>
  <c r="I14" i="16"/>
  <c r="I15" i="16"/>
  <c r="E16" i="16"/>
  <c r="I16" i="16"/>
  <c r="E17" i="16"/>
  <c r="I17" i="16"/>
  <c r="I23" i="16"/>
  <c r="I24" i="16"/>
  <c r="I25" i="16"/>
  <c r="I28" i="16"/>
  <c r="I29" i="16"/>
  <c r="J36" i="16"/>
  <c r="G9" i="17"/>
  <c r="I13" i="17"/>
  <c r="I14" i="17"/>
  <c r="E18" i="17"/>
  <c r="I18" i="17"/>
  <c r="I24" i="17"/>
  <c r="I25" i="17"/>
  <c r="I28" i="17"/>
  <c r="I29" i="17"/>
  <c r="J36" i="17"/>
  <c r="J37" i="17"/>
  <c r="G9" i="18"/>
  <c r="I13" i="18"/>
  <c r="I14" i="18"/>
  <c r="I15" i="18"/>
  <c r="E16" i="18"/>
  <c r="I16" i="18"/>
  <c r="G16" i="18"/>
  <c r="E19" i="18"/>
  <c r="I19" i="18"/>
  <c r="I23" i="18"/>
  <c r="I24" i="18"/>
  <c r="I27" i="18"/>
  <c r="I28" i="18"/>
  <c r="I29" i="18"/>
  <c r="J38" i="18"/>
  <c r="I14" i="19"/>
  <c r="I15" i="19"/>
  <c r="E16" i="19"/>
  <c r="I16" i="19"/>
  <c r="I25" i="19"/>
  <c r="I27" i="19"/>
  <c r="H36" i="19"/>
  <c r="D39" i="19"/>
  <c r="G9" i="20"/>
  <c r="I14" i="20"/>
  <c r="I15" i="20"/>
  <c r="E16" i="20"/>
  <c r="I16" i="20"/>
  <c r="E17" i="20"/>
  <c r="I17" i="20"/>
  <c r="E19" i="20"/>
  <c r="I19" i="20"/>
  <c r="I24" i="20"/>
  <c r="I25" i="20"/>
  <c r="G26" i="3"/>
  <c r="G13" i="3"/>
  <c r="H36" i="3"/>
  <c r="D39" i="3"/>
  <c r="E17" i="8"/>
  <c r="I17" i="8"/>
  <c r="G16" i="8"/>
  <c r="D39" i="9"/>
  <c r="J37" i="9"/>
  <c r="E16" i="10"/>
  <c r="I16" i="10"/>
  <c r="G16" i="10"/>
  <c r="D39" i="12"/>
  <c r="J37" i="12"/>
  <c r="C44" i="13"/>
  <c r="C45" i="13"/>
  <c r="G26" i="13"/>
  <c r="G16" i="13"/>
  <c r="H36" i="13"/>
  <c r="G23" i="13"/>
  <c r="J36" i="13"/>
  <c r="D39" i="13"/>
  <c r="I14" i="2"/>
  <c r="I23" i="2"/>
  <c r="G23" i="3"/>
  <c r="D39" i="8"/>
  <c r="J36" i="8"/>
  <c r="E19" i="12"/>
  <c r="I19" i="12"/>
  <c r="G13" i="13"/>
  <c r="J37" i="11"/>
  <c r="G16" i="14"/>
  <c r="D39" i="7"/>
  <c r="I25" i="3"/>
  <c r="E19" i="5"/>
  <c r="I19" i="5"/>
  <c r="D39" i="5"/>
  <c r="H36" i="7"/>
  <c r="G9" i="8"/>
  <c r="J37" i="4"/>
  <c r="H36" i="4"/>
  <c r="G16" i="7"/>
  <c r="E17" i="7"/>
  <c r="I17" i="7"/>
  <c r="E16" i="9"/>
  <c r="I16" i="9"/>
  <c r="G16" i="9"/>
  <c r="E19" i="11"/>
  <c r="I19" i="11"/>
  <c r="E16" i="12"/>
  <c r="I16" i="12"/>
  <c r="G16" i="12"/>
  <c r="E18" i="9"/>
  <c r="I18" i="9"/>
  <c r="D39" i="10"/>
  <c r="J37" i="10"/>
  <c r="G16" i="11"/>
  <c r="E16" i="11"/>
  <c r="I16" i="11"/>
  <c r="H36" i="14"/>
  <c r="J37" i="14"/>
  <c r="G9" i="2"/>
  <c r="H36" i="2"/>
  <c r="I24" i="2"/>
  <c r="I25" i="2"/>
  <c r="I27" i="2"/>
  <c r="I28" i="2"/>
  <c r="G23" i="5"/>
  <c r="H36" i="5"/>
  <c r="G26" i="7"/>
  <c r="E16" i="15"/>
  <c r="I16" i="15"/>
  <c r="H36" i="17"/>
  <c r="J36" i="19"/>
  <c r="E17" i="18"/>
  <c r="I17" i="18"/>
  <c r="I26" i="20"/>
  <c r="J37" i="2"/>
  <c r="E17" i="3"/>
  <c r="I17" i="3"/>
  <c r="J36" i="3"/>
  <c r="G9" i="7"/>
  <c r="E19" i="7"/>
  <c r="I19" i="7"/>
  <c r="I15" i="2"/>
  <c r="E19" i="3"/>
  <c r="I19" i="3"/>
  <c r="J38" i="3"/>
  <c r="I13" i="2"/>
  <c r="E19" i="2"/>
  <c r="I19" i="2"/>
  <c r="G13" i="5"/>
  <c r="G13" i="7"/>
  <c r="I14" i="3"/>
  <c r="E18" i="16"/>
  <c r="I18" i="16"/>
  <c r="G16" i="16"/>
  <c r="I28" i="20"/>
  <c r="I23" i="3"/>
  <c r="I24" i="3"/>
  <c r="J37" i="3"/>
  <c r="G16" i="4"/>
  <c r="I14" i="4"/>
  <c r="I15" i="4"/>
  <c r="E19" i="4"/>
  <c r="I19" i="4"/>
  <c r="I25" i="4"/>
  <c r="I28" i="4"/>
  <c r="I13" i="5"/>
  <c r="G16" i="5"/>
  <c r="I27" i="5"/>
  <c r="I28" i="5"/>
  <c r="I28" i="19"/>
  <c r="J38" i="20"/>
  <c r="G9" i="3"/>
  <c r="I13" i="3"/>
  <c r="E18" i="3"/>
  <c r="I18" i="3"/>
  <c r="I27" i="3"/>
  <c r="I28" i="3"/>
  <c r="I24" i="19"/>
  <c r="I26" i="19"/>
  <c r="C44" i="4"/>
  <c r="C45" i="4"/>
  <c r="G23" i="2"/>
  <c r="G13" i="4"/>
  <c r="G16" i="3"/>
  <c r="G23" i="4"/>
</calcChain>
</file>

<file path=xl/comments1.xml><?xml version="1.0" encoding="utf-8"?>
<comments xmlns="http://schemas.openxmlformats.org/spreadsheetml/2006/main">
  <authors>
    <author>Author</author>
  </authors>
  <commentList>
    <comment ref="I2" authorId="0">
      <text>
        <r>
          <rPr>
            <b/>
            <sz val="8"/>
            <color indexed="81"/>
            <rFont val="Tahoma"/>
            <family val="2"/>
          </rPr>
          <t>Enter report Start Date: 
Format should be "DD/MM/YYYY hh:mm:ss"</t>
        </r>
      </text>
    </comment>
    <comment ref="I3" authorId="0">
      <text>
        <r>
          <rPr>
            <b/>
            <sz val="8"/>
            <color indexed="81"/>
            <rFont val="Tahoma"/>
            <family val="2"/>
          </rPr>
          <t>Enter report End Date: 
Format should be "DD/MM/YYYY hh:mm:ss"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I2" authorId="0">
      <text>
        <r>
          <rPr>
            <b/>
            <sz val="8"/>
            <color indexed="81"/>
            <rFont val="Tahoma"/>
            <family val="2"/>
          </rPr>
          <t>Enter report Start Date: 
Format should be "DD/MM/YYYY hh:mm:ss"</t>
        </r>
      </text>
    </comment>
    <comment ref="I3" authorId="0">
      <text>
        <r>
          <rPr>
            <b/>
            <sz val="8"/>
            <color indexed="81"/>
            <rFont val="Tahoma"/>
            <family val="2"/>
          </rPr>
          <t>Enter report End Date: 
Format should be "DD/MM/YYYY hh:mm:ss"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I2" authorId="0">
      <text>
        <r>
          <rPr>
            <b/>
            <sz val="8"/>
            <color indexed="81"/>
            <rFont val="Tahoma"/>
            <family val="2"/>
          </rPr>
          <t>Enter report Start Date: 
Format should be "DD/MM/YYYY hh:mm:ss"</t>
        </r>
      </text>
    </comment>
    <comment ref="I3" authorId="0">
      <text>
        <r>
          <rPr>
            <b/>
            <sz val="8"/>
            <color indexed="81"/>
            <rFont val="Tahoma"/>
            <family val="2"/>
          </rPr>
          <t>Enter report End Date: 
Format should be "DD/MM/YYYY hh:mm:ss"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I2" authorId="0">
      <text>
        <r>
          <rPr>
            <b/>
            <sz val="8"/>
            <color indexed="81"/>
            <rFont val="Tahoma"/>
            <family val="2"/>
          </rPr>
          <t>Enter report Start Date: 
Format should be "DD/MM/YYYY hh:mm:ss"</t>
        </r>
      </text>
    </comment>
    <comment ref="I3" authorId="0">
      <text>
        <r>
          <rPr>
            <b/>
            <sz val="8"/>
            <color indexed="81"/>
            <rFont val="Tahoma"/>
            <family val="2"/>
          </rPr>
          <t>Enter report End Date: 
Format should be "DD/MM/YYYY hh:mm:ss"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I2" authorId="0">
      <text>
        <r>
          <rPr>
            <b/>
            <sz val="8"/>
            <color indexed="81"/>
            <rFont val="Tahoma"/>
            <family val="2"/>
          </rPr>
          <t>Enter report Start Date: 
Format should be "DD/MM/YYYY hh:mm:ss"</t>
        </r>
      </text>
    </comment>
    <comment ref="I3" authorId="0">
      <text>
        <r>
          <rPr>
            <b/>
            <sz val="8"/>
            <color indexed="81"/>
            <rFont val="Tahoma"/>
            <family val="2"/>
          </rPr>
          <t>Enter report End Date: 
Format should be "DD/MM/YYYY hh:mm:ss"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I2" authorId="0">
      <text>
        <r>
          <rPr>
            <b/>
            <sz val="8"/>
            <color indexed="81"/>
            <rFont val="Tahoma"/>
            <family val="2"/>
          </rPr>
          <t>Enter report Start Date: 
Format should be "DD/MM/YYYY hh:mm:ss"</t>
        </r>
      </text>
    </comment>
    <comment ref="I3" authorId="0">
      <text>
        <r>
          <rPr>
            <b/>
            <sz val="8"/>
            <color indexed="81"/>
            <rFont val="Tahoma"/>
            <family val="2"/>
          </rPr>
          <t>Enter report End Date: 
Format should be "DD/MM/YYYY hh:mm:ss"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I2" authorId="0">
      <text>
        <r>
          <rPr>
            <b/>
            <sz val="8"/>
            <color indexed="81"/>
            <rFont val="Tahoma"/>
            <family val="2"/>
          </rPr>
          <t>Enter report Start Date: 
Format should be "DD/MM/YYYY hh:mm:ss"</t>
        </r>
      </text>
    </comment>
    <comment ref="I3" authorId="0">
      <text>
        <r>
          <rPr>
            <b/>
            <sz val="8"/>
            <color indexed="81"/>
            <rFont val="Tahoma"/>
            <family val="2"/>
          </rPr>
          <t>Enter report End Date: 
Format should be "DD/MM/YYYY hh:mm:ss"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I2" authorId="0">
      <text>
        <r>
          <rPr>
            <b/>
            <sz val="8"/>
            <color indexed="81"/>
            <rFont val="Tahoma"/>
            <family val="2"/>
          </rPr>
          <t>Enter report Start Date: 
Format should be "DD/MM/YYYY hh:mm:ss"</t>
        </r>
      </text>
    </comment>
    <comment ref="I3" authorId="0">
      <text>
        <r>
          <rPr>
            <b/>
            <sz val="8"/>
            <color indexed="81"/>
            <rFont val="Tahoma"/>
            <family val="2"/>
          </rPr>
          <t>Enter report End Date: 
Format should be "DD/MM/YYYY hh:mm:ss"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I2" authorId="0">
      <text>
        <r>
          <rPr>
            <b/>
            <sz val="8"/>
            <color indexed="81"/>
            <rFont val="Tahoma"/>
            <family val="2"/>
          </rPr>
          <t>Enter report Start Date: 
Format should be "DD/MM/YYYY hh:mm:ss"</t>
        </r>
      </text>
    </comment>
    <comment ref="I3" authorId="0">
      <text>
        <r>
          <rPr>
            <b/>
            <sz val="8"/>
            <color indexed="81"/>
            <rFont val="Tahoma"/>
            <family val="2"/>
          </rPr>
          <t>Enter report End Date: 
Format should be "DD/MM/YYYY hh:mm:ss"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I2" authorId="0">
      <text>
        <r>
          <rPr>
            <b/>
            <sz val="8"/>
            <color indexed="81"/>
            <rFont val="Tahoma"/>
            <family val="2"/>
          </rPr>
          <t>Enter report Start Date: 
Format should be "DD/MM/YYYY hh:mm:ss"</t>
        </r>
      </text>
    </comment>
    <comment ref="I3" authorId="0">
      <text>
        <r>
          <rPr>
            <b/>
            <sz val="8"/>
            <color indexed="81"/>
            <rFont val="Tahoma"/>
            <family val="2"/>
          </rPr>
          <t>Enter report End Date: 
Format should be "DD/MM/YYYY hh:mm:ss"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I2" authorId="0">
      <text>
        <r>
          <rPr>
            <b/>
            <sz val="8"/>
            <color indexed="81"/>
            <rFont val="Tahoma"/>
            <family val="2"/>
          </rPr>
          <t>Enter report Start Date: 
Format should be "DD/MM/YYYY hh:mm:ss"</t>
        </r>
      </text>
    </comment>
    <comment ref="I3" authorId="0">
      <text>
        <r>
          <rPr>
            <b/>
            <sz val="8"/>
            <color indexed="81"/>
            <rFont val="Tahoma"/>
            <family val="2"/>
          </rPr>
          <t>Enter report End Date: 
Format should be "DD/MM/YYYY hh:mm:ss"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I2" authorId="0">
      <text>
        <r>
          <rPr>
            <b/>
            <sz val="8"/>
            <color indexed="81"/>
            <rFont val="Tahoma"/>
            <family val="2"/>
          </rPr>
          <t>Enter report Start Date: 
Format should be "DD/MM/YYYY hh:mm:ss"</t>
        </r>
      </text>
    </comment>
    <comment ref="I3" authorId="0">
      <text>
        <r>
          <rPr>
            <b/>
            <sz val="8"/>
            <color indexed="81"/>
            <rFont val="Tahoma"/>
            <family val="2"/>
          </rPr>
          <t>Enter report End Date: 
Format should be "DD/MM/YYYY hh:mm:ss"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I2" authorId="0">
      <text>
        <r>
          <rPr>
            <b/>
            <sz val="8"/>
            <color indexed="81"/>
            <rFont val="Tahoma"/>
            <family val="2"/>
          </rPr>
          <t>Enter report Start Date: 
Format should be "DD/MM/YYYY hh:mm:ss"</t>
        </r>
      </text>
    </comment>
    <comment ref="I3" authorId="0">
      <text>
        <r>
          <rPr>
            <b/>
            <sz val="8"/>
            <color indexed="81"/>
            <rFont val="Tahoma"/>
            <family val="2"/>
          </rPr>
          <t>Enter report End Date: 
Format should be "DD/MM/YYYY hh:mm:ss"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I2" authorId="0">
      <text>
        <r>
          <rPr>
            <b/>
            <sz val="8"/>
            <color indexed="81"/>
            <rFont val="Tahoma"/>
            <family val="2"/>
          </rPr>
          <t>Enter report Start Date: 
Format should be "DD/MM/YYYY hh:mm:ss"</t>
        </r>
      </text>
    </comment>
    <comment ref="I3" authorId="0">
      <text>
        <r>
          <rPr>
            <b/>
            <sz val="8"/>
            <color indexed="81"/>
            <rFont val="Tahoma"/>
            <family val="2"/>
          </rPr>
          <t>Enter report End Date: 
Format should be "DD/MM/YYYY hh:mm:ss"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I2" authorId="0">
      <text>
        <r>
          <rPr>
            <b/>
            <sz val="8"/>
            <color indexed="81"/>
            <rFont val="Tahoma"/>
            <family val="2"/>
          </rPr>
          <t>Enter report Start Date: 
Format should be "DD/MM/YYYY hh:mm:ss"</t>
        </r>
      </text>
    </comment>
    <comment ref="I3" authorId="0">
      <text>
        <r>
          <rPr>
            <b/>
            <sz val="8"/>
            <color indexed="81"/>
            <rFont val="Tahoma"/>
            <family val="2"/>
          </rPr>
          <t>Enter report End Date: 
Format should be "DD/MM/YYYY hh:mm:ss"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I2" authorId="0">
      <text>
        <r>
          <rPr>
            <b/>
            <sz val="8"/>
            <color indexed="81"/>
            <rFont val="Tahoma"/>
            <family val="2"/>
          </rPr>
          <t>Enter report Start Date: 
Format should be "DD/MM/YYYY hh:mm:ss"</t>
        </r>
      </text>
    </comment>
    <comment ref="I3" authorId="0">
      <text>
        <r>
          <rPr>
            <b/>
            <sz val="8"/>
            <color indexed="81"/>
            <rFont val="Tahoma"/>
            <family val="2"/>
          </rPr>
          <t>Enter report End Date: 
Format should be "DD/MM/YYYY hh:mm:ss"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I2" authorId="0">
      <text>
        <r>
          <rPr>
            <b/>
            <sz val="8"/>
            <color indexed="81"/>
            <rFont val="Tahoma"/>
            <family val="2"/>
          </rPr>
          <t>Enter report Start Date: 
Format should be "DD/MM/YYYY hh:mm:ss"</t>
        </r>
      </text>
    </comment>
    <comment ref="I3" authorId="0">
      <text>
        <r>
          <rPr>
            <b/>
            <sz val="8"/>
            <color indexed="81"/>
            <rFont val="Tahoma"/>
            <family val="2"/>
          </rPr>
          <t>Enter report End Date: 
Format should be "DD/MM/YYYY hh:mm:ss"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I2" authorId="0">
      <text>
        <r>
          <rPr>
            <b/>
            <sz val="8"/>
            <color indexed="81"/>
            <rFont val="Tahoma"/>
            <family val="2"/>
          </rPr>
          <t>Enter report Start Date: 
Format should be "DD/MM/YYYY hh:mm:ss"</t>
        </r>
      </text>
    </comment>
    <comment ref="I3" authorId="0">
      <text>
        <r>
          <rPr>
            <b/>
            <sz val="8"/>
            <color indexed="81"/>
            <rFont val="Tahoma"/>
            <family val="2"/>
          </rPr>
          <t>Enter report End Date: 
Format should be "DD/MM/YYYY hh:mm:ss"</t>
        </r>
      </text>
    </comment>
  </commentList>
</comments>
</file>

<file path=xl/sharedStrings.xml><?xml version="1.0" encoding="utf-8"?>
<sst xmlns="http://schemas.openxmlformats.org/spreadsheetml/2006/main" count="1281" uniqueCount="85">
  <si>
    <t>Patient ID</t>
  </si>
  <si>
    <t>Sample ID</t>
  </si>
  <si>
    <t>#</t>
  </si>
  <si>
    <t>Deployment</t>
  </si>
  <si>
    <t>Test Date</t>
  </si>
  <si>
    <t>MTB</t>
  </si>
  <si>
    <t>Rif</t>
  </si>
  <si>
    <t>Test Notes</t>
  </si>
  <si>
    <t>HIV</t>
  </si>
  <si>
    <t>Age</t>
  </si>
  <si>
    <t>Gender</t>
  </si>
  <si>
    <t>Previously Treated for TB</t>
  </si>
  <si>
    <t>Microscopy Result</t>
  </si>
  <si>
    <t>Negative</t>
  </si>
  <si>
    <t>Male</t>
  </si>
  <si>
    <t>Unknown</t>
  </si>
  <si>
    <t>Female</t>
  </si>
  <si>
    <t xml:space="preserve">Date                      </t>
  </si>
  <si>
    <t xml:space="preserve">Designation       </t>
  </si>
  <si>
    <t xml:space="preserve">Name                  </t>
  </si>
  <si>
    <t xml:space="preserve">Sign                      </t>
  </si>
  <si>
    <t>Remark : Error and Invalid result Cartridge</t>
  </si>
  <si>
    <t>Closing balance</t>
  </si>
  <si>
    <t>Used</t>
  </si>
  <si>
    <t xml:space="preserve"> </t>
  </si>
  <si>
    <t>Received during this month</t>
  </si>
  <si>
    <t>Opening balance</t>
  </si>
  <si>
    <t>Expire date</t>
  </si>
  <si>
    <t>Amount</t>
  </si>
  <si>
    <t>6. Test kit Balance</t>
  </si>
  <si>
    <t>Microscopy AFB (Not Done)</t>
  </si>
  <si>
    <t>Microscopy AFB (Negative)</t>
  </si>
  <si>
    <t>Microscopy AFB (Positive)</t>
  </si>
  <si>
    <t>Total</t>
  </si>
  <si>
    <t>X pert Negative</t>
  </si>
  <si>
    <t>X pert +</t>
  </si>
  <si>
    <t>5. Compare with sputum microscopy</t>
  </si>
  <si>
    <t>TB with RIF- Inderterminate</t>
  </si>
  <si>
    <t>TB with RIF- Resistance</t>
  </si>
  <si>
    <t>TB with NO RIF- Resistance</t>
  </si>
  <si>
    <t>X pert MTB/RIF</t>
  </si>
  <si>
    <t>Not Done</t>
  </si>
  <si>
    <t>AFB (Negative)</t>
  </si>
  <si>
    <t>AFB (Positive)</t>
  </si>
  <si>
    <t>Sputum
microscopy</t>
  </si>
  <si>
    <t>HIV
(-)</t>
  </si>
  <si>
    <t>HIV 
(+)</t>
  </si>
  <si>
    <t>3. Test results and HIV status</t>
  </si>
  <si>
    <t>TB with RIF- Indeterminate</t>
  </si>
  <si>
    <t>Retreatment</t>
  </si>
  <si>
    <t>New</t>
  </si>
  <si>
    <t>2. Test results and previous history of TB</t>
  </si>
  <si>
    <t>&lt;15</t>
  </si>
  <si>
    <t>1. Age and sex distribution of tested patient</t>
  </si>
  <si>
    <t xml:space="preserve">Reporting Unit  </t>
  </si>
  <si>
    <t>Report End Date</t>
  </si>
  <si>
    <t>Year</t>
  </si>
  <si>
    <t xml:space="preserve">Monthly report for the month of </t>
  </si>
  <si>
    <t>Report Start Date</t>
  </si>
  <si>
    <t>DD/MMM/YYYY</t>
  </si>
  <si>
    <t>Gene X pert MTE/RIF Testing Report</t>
  </si>
  <si>
    <t>&gt;=15</t>
  </si>
  <si>
    <t>TB with Rif-Resistance detected</t>
  </si>
  <si>
    <t xml:space="preserve">                   No Results or Demages Cartridge</t>
  </si>
  <si>
    <t>Reporting Period</t>
  </si>
  <si>
    <t>1st Quarter</t>
  </si>
  <si>
    <t>2nd Quarter</t>
  </si>
  <si>
    <t xml:space="preserve">Bi Annual </t>
  </si>
  <si>
    <t>3rd Quarter</t>
  </si>
  <si>
    <t>4th Quarter</t>
  </si>
  <si>
    <t>Annual</t>
  </si>
  <si>
    <t>​</t>
  </si>
  <si>
    <t>Yes</t>
  </si>
  <si>
    <t>Positive</t>
  </si>
  <si>
    <t>No</t>
  </si>
  <si>
    <t>16-6-2016</t>
  </si>
  <si>
    <t>Not done</t>
  </si>
  <si>
    <t>Patient 1</t>
  </si>
  <si>
    <t>Patient 2</t>
  </si>
  <si>
    <t>Patient 3</t>
  </si>
  <si>
    <t>Patient 4</t>
  </si>
  <si>
    <t>SMP-123</t>
  </si>
  <si>
    <t>SMP-124</t>
  </si>
  <si>
    <t>SMP-125</t>
  </si>
  <si>
    <t>SMP-126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</si>
</sst>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-mm\-yyyy;@"/>
    <numFmt numFmtId="165" formatCode="[$-409]d\-mmm\-yy;@"/>
    <numFmt numFmtId="166" formatCode="[$-C09]dd\-mmm\-yy;@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2" fillId="0" borderId="0"/>
    <xf numFmtId="0" fontId="8" fillId="0" borderId="0" applyNumberFormat="0" applyFill="0" applyAlignment="0" applyProtection="0"/>
    <xf numFmtId="0" fontId="2" fillId="0" borderId="0" applyNumberFormat="0" applyFill="0" applyAlignment="0" applyProtection="0"/>
    <xf numFmtId="0" fontId="8" fillId="0" borderId="0" applyNumberFormat="0" applyFill="0" applyAlignment="0" applyProtection="0"/>
    <xf numFmtId="0" fontId="8" fillId="0" borderId="0" applyNumberFormat="0" applyFill="0" applyAlignment="0" applyProtection="0"/>
    <xf numFmtId="0" fontId="8" fillId="0" borderId="0" applyNumberFormat="0" applyFill="0" applyAlignment="0" applyProtection="0"/>
    <xf numFmtId="0" fontId="8" fillId="0" borderId="0" applyNumberFormat="0" applyFill="0" applyAlignment="0" applyProtection="0"/>
    <xf numFmtId="0" fontId="8" fillId="0" borderId="0" applyNumberFormat="0" applyFill="0" applyAlignment="0" applyProtection="0"/>
    <xf numFmtId="0" fontId="8" fillId="0" borderId="0" applyNumberFormat="0" applyFill="0" applyAlignment="0" applyProtection="0"/>
    <xf numFmtId="0" fontId="8" fillId="0" borderId="0" applyNumberFormat="0" applyFill="0" applyAlignment="0" applyProtection="0"/>
  </cellStyleXfs>
  <cellXfs count="77">
    <xf numFmtId="0" fontId="0" fillId="0" borderId="0" xfId="0"/>
    <xf numFmtId="164" fontId="2" fillId="0" borderId="1" xfId="1" applyNumberFormat="1" applyBorder="1"/>
    <xf numFmtId="0" fontId="0" fillId="0" borderId="0" xfId="0"/>
    <xf numFmtId="0" fontId="0" fillId="0" borderId="2" xfId="0" applyBorder="1"/>
    <xf numFmtId="0" fontId="0" fillId="0" borderId="3" xfId="0" applyBorder="1"/>
    <xf numFmtId="0" fontId="5" fillId="0" borderId="0" xfId="0" applyFont="1"/>
    <xf numFmtId="0" fontId="0" fillId="0" borderId="0" xfId="0" applyBorder="1" applyAlignment="1"/>
    <xf numFmtId="0" fontId="0" fillId="0" borderId="0" xfId="0" applyFill="1"/>
    <xf numFmtId="0" fontId="0" fillId="0" borderId="1" xfId="0" applyFill="1" applyBorder="1" applyProtection="1">
      <protection hidden="1"/>
    </xf>
    <xf numFmtId="0" fontId="0" fillId="0" borderId="1" xfId="0" applyFill="1" applyBorder="1" applyAlignment="1">
      <alignment horizontal="center"/>
    </xf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4" fillId="0" borderId="0" xfId="0" applyFont="1"/>
    <xf numFmtId="17" fontId="4" fillId="0" borderId="0" xfId="0" applyNumberFormat="1" applyFont="1"/>
    <xf numFmtId="0" fontId="0" fillId="0" borderId="0" xfId="0" quotePrefix="1"/>
    <xf numFmtId="0" fontId="3" fillId="2" borderId="10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 wrapText="1"/>
    </xf>
    <xf numFmtId="0" fontId="5" fillId="0" borderId="0" xfId="0" applyFont="1" applyProtection="1">
      <protection hidden="1"/>
    </xf>
    <xf numFmtId="0" fontId="0" fillId="0" borderId="7" xfId="0" applyBorder="1"/>
    <xf numFmtId="0" fontId="0" fillId="0" borderId="12" xfId="0" applyBorder="1"/>
    <xf numFmtId="14" fontId="0" fillId="0" borderId="0" xfId="0" applyNumberFormat="1"/>
    <xf numFmtId="0" fontId="0" fillId="0" borderId="1" xfId="0" applyBorder="1" applyAlignment="1">
      <alignment horizontal="center" vertical="center"/>
    </xf>
    <xf numFmtId="164" fontId="2" fillId="0" borderId="1" xfId="1" applyNumberFormat="1" applyBorder="1"/>
    <xf numFmtId="0" fontId="5" fillId="0" borderId="0" xfId="0" applyFont="1" applyProtection="1"/>
    <xf numFmtId="164" fontId="2" fillId="0" borderId="1" xfId="1" applyNumberFormat="1" applyBorder="1" applyProtection="1"/>
    <xf numFmtId="0" fontId="2" fillId="0" borderId="1" xfId="0" applyFont="1" applyBorder="1"/>
    <xf numFmtId="0" fontId="2" fillId="0" borderId="13" xfId="0" applyFont="1" applyBorder="1" applyAlignment="1">
      <alignment horizontal="center"/>
    </xf>
    <xf numFmtId="1" fontId="2" fillId="0" borderId="1" xfId="0" applyNumberFormat="1" applyFont="1" applyBorder="1"/>
    <xf numFmtId="165" fontId="3" fillId="2" borderId="11" xfId="1" applyNumberFormat="1" applyFont="1" applyFill="1" applyBorder="1" applyAlignment="1">
      <alignment horizontal="center" vertical="center"/>
    </xf>
    <xf numFmtId="165" fontId="2" fillId="0" borderId="1" xfId="0" applyNumberFormat="1" applyFont="1" applyBorder="1"/>
    <xf numFmtId="165" fontId="0" fillId="0" borderId="0" xfId="0" applyNumberFormat="1"/>
    <xf numFmtId="166" fontId="2" fillId="0" borderId="1" xfId="8" applyNumberFormat="1" applyFont="1" applyBorder="1"/>
    <xf numFmtId="0" fontId="2" fillId="0" borderId="1" xfId="8" applyFont="1" applyBorder="1"/>
    <xf numFmtId="0" fontId="2" fillId="0" borderId="13" xfId="8" applyFont="1" applyBorder="1" applyAlignment="1">
      <alignment horizontal="center"/>
    </xf>
    <xf numFmtId="1" fontId="2" fillId="0" borderId="1" xfId="8" applyNumberFormat="1" applyFont="1" applyBorder="1"/>
    <xf numFmtId="164" fontId="2" fillId="0" borderId="1" xfId="10" applyNumberFormat="1" applyFont="1" applyBorder="1"/>
    <xf numFmtId="0" fontId="2" fillId="0" borderId="1" xfId="10" applyFont="1" applyBorder="1"/>
    <xf numFmtId="0" fontId="2" fillId="0" borderId="13" xfId="10" applyFont="1" applyBorder="1" applyAlignment="1">
      <alignment horizontal="center"/>
    </xf>
    <xf numFmtId="1" fontId="2" fillId="0" borderId="1" xfId="10" applyNumberFormat="1" applyFont="1" applyBorder="1"/>
    <xf numFmtId="0" fontId="2" fillId="0" borderId="1" xfId="10" applyFont="1" applyFill="1" applyBorder="1"/>
    <xf numFmtId="165" fontId="0" fillId="0" borderId="1" xfId="0" applyNumberFormat="1" applyBorder="1"/>
    <xf numFmtId="1" fontId="2" fillId="0" borderId="1" xfId="10" applyNumberFormat="1" applyFont="1" applyFill="1" applyBorder="1"/>
    <xf numFmtId="0" fontId="0" fillId="0" borderId="6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5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Fill="1" applyBorder="1" applyAlignment="1" applyProtection="1">
      <alignment horizontal="center"/>
      <protection hidden="1"/>
    </xf>
    <xf numFmtId="0" fontId="0" fillId="0" borderId="4" xfId="0" applyFill="1" applyBorder="1" applyAlignment="1" applyProtection="1">
      <alignment horizontal="center"/>
      <protection hidden="1"/>
    </xf>
    <xf numFmtId="0" fontId="0" fillId="0" borderId="6" xfId="0" applyFont="1" applyFill="1" applyBorder="1" applyAlignment="1" applyProtection="1">
      <alignment horizontal="center" vertical="center" wrapText="1"/>
      <protection hidden="1"/>
    </xf>
    <xf numFmtId="0" fontId="0" fillId="0" borderId="0" xfId="0" applyFont="1" applyFill="1" applyBorder="1" applyAlignment="1" applyProtection="1">
      <alignment horizontal="center" vertical="center" wrapText="1"/>
      <protection hidden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 applyProtection="1">
      <alignment horizontal="center"/>
      <protection hidden="1"/>
    </xf>
    <xf numFmtId="0" fontId="4" fillId="0" borderId="5" xfId="0" applyFont="1" applyBorder="1" applyAlignment="1" applyProtection="1">
      <alignment horizontal="center"/>
      <protection hidden="1"/>
    </xf>
    <xf numFmtId="0" fontId="4" fillId="0" borderId="4" xfId="0" applyFont="1" applyBorder="1" applyAlignment="1" applyProtection="1">
      <alignment horizontal="center"/>
      <protection hidden="1"/>
    </xf>
    <xf numFmtId="0" fontId="1" fillId="0" borderId="1" xfId="10" applyFont="1" applyFill="1" applyBorder="1"/>
    <xf numFmtId="0" fontId="1" fillId="0" borderId="1" xfId="0" applyFont="1" applyFill="1" applyBorder="1"/>
    <xf numFmtId="0" fontId="1" fillId="0" borderId="13" xfId="0" applyFont="1" applyBorder="1" applyAlignment="1">
      <alignment horizontal="center"/>
    </xf>
    <xf numFmtId="0" fontId="1" fillId="0" borderId="0" xfId="0" applyFont="1" applyFill="1"/>
    <xf numFmtId="165" fontId="1" fillId="0" borderId="1" xfId="0" applyNumberFormat="1" applyFont="1" applyFill="1" applyBorder="1"/>
    <xf numFmtId="0" fontId="1" fillId="0" borderId="1" xfId="0" applyFont="1" applyBorder="1"/>
    <xf numFmtId="0" fontId="1" fillId="0" borderId="0" xfId="0" applyFont="1"/>
  </cellXfs>
  <cellStyles count="11">
    <cellStyle name="Normal" xfId="0" builtinId="0"/>
    <cellStyle name="Normal 10" xfId="10"/>
    <cellStyle name="Normal 2" xfId="1"/>
    <cellStyle name="Normal 2 2" xfId="3"/>
    <cellStyle name="Normal 3" xfId="2"/>
    <cellStyle name="Normal 4" xfId="4"/>
    <cellStyle name="Normal 5" xfId="5"/>
    <cellStyle name="Normal 6" xfId="6"/>
    <cellStyle name="Normal 7" xfId="7"/>
    <cellStyle name="Normal 8" xfId="8"/>
    <cellStyle name="Normal 9" xfId="9"/>
  </cellStyles>
  <dxfs count="108"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Relationship Id="rId2" Type="http://schemas.openxmlformats.org/officeDocument/2006/relationships/vmlDrawing" Target="../drawings/vmlDrawing3.vml"/><Relationship Id="rId3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Relationship Id="rId2" Type="http://schemas.openxmlformats.org/officeDocument/2006/relationships/vmlDrawing" Target="../drawings/vmlDrawing4.vml"/><Relationship Id="rId3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Relationship Id="rId2" Type="http://schemas.openxmlformats.org/officeDocument/2006/relationships/vmlDrawing" Target="../drawings/vmlDrawing5.vml"/><Relationship Id="rId3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Relationship Id="rId2" Type="http://schemas.openxmlformats.org/officeDocument/2006/relationships/vmlDrawing" Target="../drawings/vmlDrawing6.vml"/><Relationship Id="rId3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Relationship Id="rId2" Type="http://schemas.openxmlformats.org/officeDocument/2006/relationships/vmlDrawing" Target="../drawings/vmlDrawing7.vml"/><Relationship Id="rId3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Relationship Id="rId2" Type="http://schemas.openxmlformats.org/officeDocument/2006/relationships/vmlDrawing" Target="../drawings/vmlDrawing8.vml"/><Relationship Id="rId3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Relationship Id="rId2" Type="http://schemas.openxmlformats.org/officeDocument/2006/relationships/vmlDrawing" Target="../drawings/vmlDrawing9.vml"/><Relationship Id="rId3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Relationship Id="rId2" Type="http://schemas.openxmlformats.org/officeDocument/2006/relationships/vmlDrawing" Target="../drawings/vmlDrawing10.vml"/><Relationship Id="rId3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Relationship Id="rId2" Type="http://schemas.openxmlformats.org/officeDocument/2006/relationships/vmlDrawing" Target="../drawings/vmlDrawing11.vml"/><Relationship Id="rId3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Relationship Id="rId2" Type="http://schemas.openxmlformats.org/officeDocument/2006/relationships/vmlDrawing" Target="../drawings/vmlDrawing12.vml"/><Relationship Id="rId3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Relationship Id="rId2" Type="http://schemas.openxmlformats.org/officeDocument/2006/relationships/vmlDrawing" Target="../drawings/vmlDrawing13.vml"/><Relationship Id="rId3" Type="http://schemas.openxmlformats.org/officeDocument/2006/relationships/comments" Target="../comments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Relationship Id="rId2" Type="http://schemas.openxmlformats.org/officeDocument/2006/relationships/vmlDrawing" Target="../drawings/vmlDrawing14.vml"/><Relationship Id="rId3" Type="http://schemas.openxmlformats.org/officeDocument/2006/relationships/comments" Target="../comments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Relationship Id="rId2" Type="http://schemas.openxmlformats.org/officeDocument/2006/relationships/vmlDrawing" Target="../drawings/vmlDrawing15.vml"/><Relationship Id="rId3" Type="http://schemas.openxmlformats.org/officeDocument/2006/relationships/comments" Target="../comments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Relationship Id="rId2" Type="http://schemas.openxmlformats.org/officeDocument/2006/relationships/vmlDrawing" Target="../drawings/vmlDrawing16.vml"/><Relationship Id="rId3" Type="http://schemas.openxmlformats.org/officeDocument/2006/relationships/comments" Target="../comments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Relationship Id="rId2" Type="http://schemas.openxmlformats.org/officeDocument/2006/relationships/vmlDrawing" Target="../drawings/vmlDrawing17.vml"/><Relationship Id="rId3" Type="http://schemas.openxmlformats.org/officeDocument/2006/relationships/comments" Target="../comments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Relationship Id="rId2" Type="http://schemas.openxmlformats.org/officeDocument/2006/relationships/vmlDrawing" Target="../drawings/vmlDrawing18.vml"/><Relationship Id="rId3" Type="http://schemas.openxmlformats.org/officeDocument/2006/relationships/comments" Target="../comments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7.5" customWidth="1"/>
    <col min="2" max="2" width="38.1640625" bestFit="1" customWidth="1"/>
    <col min="3" max="3" width="32" bestFit="1" customWidth="1"/>
    <col min="4" max="4" width="25.6640625" hidden="1" customWidth="1"/>
    <col min="5" max="5" width="11.5" style="36" bestFit="1" customWidth="1"/>
    <col min="6" max="6" width="9.33203125" bestFit="1" customWidth="1"/>
    <col min="7" max="7" width="14.1640625" bestFit="1" customWidth="1"/>
    <col min="8" max="8" width="9.5" bestFit="1" customWidth="1"/>
    <col min="9" max="9" width="8.1640625" bestFit="1" customWidth="1"/>
    <col min="10" max="10" width="26.5" bestFit="1" customWidth="1"/>
    <col min="11" max="11" width="15.1640625" bestFit="1" customWidth="1"/>
    <col min="12" max="12" width="12.33203125" bestFit="1" customWidth="1"/>
    <col min="13" max="13" width="25.1640625" hidden="1" customWidth="1"/>
    <col min="14" max="14" width="20.83203125" customWidth="1"/>
    <col min="15" max="15" width="11" customWidth="1"/>
  </cols>
  <sheetData>
    <row r="1" spans="1:19" ht="32" x14ac:dyDescent="0.2">
      <c r="A1" s="20" t="s">
        <v>2</v>
      </c>
      <c r="B1" s="21" t="s">
        <v>0</v>
      </c>
      <c r="C1" s="21" t="s">
        <v>1</v>
      </c>
      <c r="D1" s="22" t="s">
        <v>3</v>
      </c>
      <c r="E1" s="34" t="s">
        <v>4</v>
      </c>
      <c r="F1" s="22" t="s">
        <v>5</v>
      </c>
      <c r="G1" s="22" t="s">
        <v>6</v>
      </c>
      <c r="H1" s="22" t="s">
        <v>8</v>
      </c>
      <c r="I1" s="22" t="s">
        <v>10</v>
      </c>
      <c r="J1" s="22" t="s">
        <v>9</v>
      </c>
      <c r="K1" s="22" t="s">
        <v>11</v>
      </c>
      <c r="L1" s="22" t="s">
        <v>12</v>
      </c>
      <c r="M1" s="21" t="s">
        <v>7</v>
      </c>
      <c r="Q1">
        <v>33</v>
      </c>
      <c r="R1">
        <v>1601</v>
      </c>
      <c r="S1">
        <f>Q1/R1%</f>
        <v>2.0612117426608401</v>
      </c>
    </row>
    <row r="2" spans="1:19" s="76" customFormat="1" ht="16" x14ac:dyDescent="0.2">
      <c r="A2" s="72">
        <v>1</v>
      </c>
      <c r="B2" s="71" t="s">
        <v>77</v>
      </c>
      <c r="C2" s="71" t="s">
        <v>81</v>
      </c>
      <c r="D2" s="73"/>
      <c r="E2" s="74" t="s">
        <v>75</v>
      </c>
      <c r="F2" s="71" t="s">
        <v>13</v>
      </c>
      <c r="G2" s="71" t="s">
        <v>13</v>
      </c>
      <c r="H2" s="71" t="s">
        <v>73</v>
      </c>
      <c r="I2" s="71" t="s">
        <v>16</v>
      </c>
      <c r="J2" s="71">
        <v>54</v>
      </c>
      <c r="K2" s="71" t="s">
        <v>72</v>
      </c>
      <c r="L2" s="71" t="s">
        <v>76</v>
      </c>
      <c r="M2" s="75"/>
      <c r="N2" s="75"/>
    </row>
    <row r="3" spans="1:19" ht="16" x14ac:dyDescent="0.2">
      <c r="A3" s="32">
        <v>2</v>
      </c>
      <c r="B3" s="70" t="s">
        <v>78</v>
      </c>
      <c r="C3" s="71" t="s">
        <v>82</v>
      </c>
      <c r="E3" s="46" t="s">
        <v>75</v>
      </c>
      <c r="F3" s="45" t="s">
        <v>13</v>
      </c>
      <c r="G3" s="45" t="s">
        <v>13</v>
      </c>
      <c r="H3" s="45" t="s">
        <v>13</v>
      </c>
      <c r="I3" s="70" t="s">
        <v>14</v>
      </c>
      <c r="J3" s="47">
        <v>16</v>
      </c>
      <c r="K3" s="45" t="s">
        <v>74</v>
      </c>
      <c r="L3" s="45" t="s">
        <v>76</v>
      </c>
      <c r="M3" s="31"/>
      <c r="N3" s="31"/>
    </row>
    <row r="4" spans="1:19" ht="16" x14ac:dyDescent="0.2">
      <c r="A4" s="32">
        <v>3</v>
      </c>
      <c r="B4" s="70" t="s">
        <v>79</v>
      </c>
      <c r="C4" s="71" t="s">
        <v>83</v>
      </c>
      <c r="E4" s="46" t="s">
        <v>75</v>
      </c>
      <c r="F4" s="45" t="s">
        <v>13</v>
      </c>
      <c r="G4" s="45" t="s">
        <v>13</v>
      </c>
      <c r="H4" s="70" t="s">
        <v>73</v>
      </c>
      <c r="I4" s="45" t="s">
        <v>14</v>
      </c>
      <c r="J4" s="47">
        <v>67</v>
      </c>
      <c r="K4" s="45" t="s">
        <v>72</v>
      </c>
      <c r="L4" s="45" t="s">
        <v>76</v>
      </c>
      <c r="M4" s="31"/>
      <c r="N4" s="31"/>
    </row>
    <row r="5" spans="1:19" ht="16" x14ac:dyDescent="0.2">
      <c r="A5" s="32">
        <v>4</v>
      </c>
      <c r="B5" s="70" t="s">
        <v>80</v>
      </c>
      <c r="C5" s="71" t="s">
        <v>84</v>
      </c>
      <c r="E5" s="46" t="s">
        <v>75</v>
      </c>
      <c r="F5" s="45" t="s">
        <v>13</v>
      </c>
      <c r="G5" s="45" t="s">
        <v>13</v>
      </c>
      <c r="H5" s="45" t="s">
        <v>13</v>
      </c>
      <c r="I5" s="70" t="s">
        <v>16</v>
      </c>
      <c r="J5" s="47">
        <v>34</v>
      </c>
      <c r="K5" s="45" t="s">
        <v>74</v>
      </c>
      <c r="L5" s="45" t="s">
        <v>76</v>
      </c>
      <c r="M5" s="31"/>
      <c r="N5" s="31"/>
    </row>
    <row r="6" spans="1:19" ht="16" x14ac:dyDescent="0.2">
      <c r="A6" s="32">
        <v>5</v>
      </c>
      <c r="B6" s="31"/>
      <c r="C6" s="31"/>
      <c r="D6" s="31"/>
      <c r="E6" s="35"/>
      <c r="F6" s="31"/>
      <c r="G6" s="31"/>
      <c r="H6" s="31"/>
      <c r="I6" s="31"/>
      <c r="J6" s="33"/>
      <c r="K6" s="31"/>
      <c r="L6" s="31"/>
      <c r="M6" s="31"/>
      <c r="N6" s="31"/>
    </row>
    <row r="7" spans="1:19" ht="16" x14ac:dyDescent="0.2">
      <c r="A7" s="32">
        <v>6</v>
      </c>
      <c r="B7" s="31"/>
      <c r="C7" s="31"/>
      <c r="D7" s="31"/>
      <c r="E7" s="35"/>
      <c r="F7" s="31"/>
      <c r="G7" s="31"/>
      <c r="H7" s="31"/>
      <c r="I7" s="31"/>
      <c r="J7" s="33"/>
      <c r="K7" s="31"/>
      <c r="L7" s="31"/>
      <c r="M7" s="31"/>
      <c r="N7" s="31"/>
    </row>
    <row r="8" spans="1:19" ht="16" x14ac:dyDescent="0.2">
      <c r="A8" s="32">
        <v>7</v>
      </c>
      <c r="B8" s="31"/>
      <c r="C8" s="31"/>
      <c r="D8" s="31"/>
      <c r="E8" s="35"/>
      <c r="F8" s="31"/>
      <c r="G8" s="31"/>
      <c r="H8" s="31"/>
      <c r="I8" s="31"/>
      <c r="J8" s="33"/>
      <c r="K8" s="31"/>
      <c r="L8" s="31"/>
      <c r="M8" s="31"/>
      <c r="N8" s="31"/>
    </row>
    <row r="9" spans="1:19" ht="16" x14ac:dyDescent="0.2">
      <c r="A9" s="32">
        <v>8</v>
      </c>
      <c r="B9" s="31"/>
      <c r="C9" s="31"/>
      <c r="D9" s="31"/>
      <c r="E9" s="35"/>
      <c r="F9" s="31"/>
      <c r="G9" s="31"/>
      <c r="H9" s="31"/>
      <c r="I9" s="31"/>
      <c r="J9" s="33"/>
      <c r="K9" s="31"/>
      <c r="L9" s="31"/>
      <c r="M9" s="31"/>
      <c r="N9" s="31"/>
    </row>
    <row r="10" spans="1:19" ht="16" x14ac:dyDescent="0.2">
      <c r="A10" s="32">
        <v>9</v>
      </c>
      <c r="B10" s="31"/>
      <c r="C10" s="31"/>
      <c r="D10" s="31"/>
      <c r="E10" s="35"/>
      <c r="F10" s="31"/>
      <c r="G10" s="31"/>
      <c r="H10" s="31"/>
      <c r="I10" s="31"/>
      <c r="J10" s="33"/>
      <c r="K10" s="31"/>
      <c r="L10" s="31"/>
      <c r="M10" s="31"/>
      <c r="N10" s="31"/>
    </row>
    <row r="11" spans="1:19" ht="16" x14ac:dyDescent="0.2">
      <c r="A11" s="32">
        <v>10</v>
      </c>
      <c r="B11" s="31"/>
      <c r="C11" s="31"/>
      <c r="D11" s="31"/>
      <c r="E11" s="35"/>
      <c r="F11" s="31"/>
      <c r="G11" s="31"/>
      <c r="H11" s="31"/>
      <c r="I11" s="31"/>
      <c r="J11" s="33"/>
      <c r="K11" s="31"/>
      <c r="L11" s="31"/>
      <c r="M11" s="31"/>
      <c r="N11" s="31"/>
    </row>
    <row r="12" spans="1:19" ht="16" x14ac:dyDescent="0.2">
      <c r="A12" s="32">
        <v>11</v>
      </c>
      <c r="B12" s="31"/>
      <c r="C12" s="31"/>
      <c r="D12" s="31"/>
      <c r="E12" s="35"/>
      <c r="F12" s="31"/>
      <c r="G12" s="31"/>
      <c r="H12" s="31"/>
      <c r="I12" s="31"/>
      <c r="J12" s="33"/>
      <c r="K12" s="31"/>
      <c r="L12" s="31"/>
      <c r="M12" s="31"/>
      <c r="N12" s="31"/>
    </row>
    <row r="13" spans="1:19" ht="16" x14ac:dyDescent="0.2">
      <c r="A13" s="32">
        <v>12</v>
      </c>
      <c r="B13" s="31"/>
      <c r="C13" s="31"/>
      <c r="D13" s="31"/>
      <c r="E13" s="35"/>
      <c r="F13" s="31"/>
      <c r="G13" s="31"/>
      <c r="H13" s="31"/>
      <c r="I13" s="31"/>
      <c r="J13" s="33"/>
      <c r="K13" s="31"/>
      <c r="L13" s="31"/>
      <c r="M13" s="31"/>
      <c r="N13" s="31"/>
    </row>
    <row r="14" spans="1:19" ht="16" x14ac:dyDescent="0.2">
      <c r="A14" s="32">
        <v>13</v>
      </c>
      <c r="B14" s="31"/>
      <c r="C14" s="31"/>
      <c r="D14" s="31"/>
      <c r="E14" s="35"/>
      <c r="F14" s="31"/>
      <c r="G14" s="31"/>
      <c r="H14" s="31"/>
      <c r="I14" s="31"/>
      <c r="J14" s="33"/>
      <c r="K14" s="31"/>
      <c r="L14" s="31"/>
      <c r="M14" s="31"/>
      <c r="N14" s="31"/>
    </row>
    <row r="15" spans="1:19" ht="16" x14ac:dyDescent="0.2">
      <c r="A15" s="32">
        <v>14</v>
      </c>
      <c r="B15" s="31"/>
      <c r="C15" s="31"/>
      <c r="D15" s="31"/>
      <c r="E15" s="35"/>
      <c r="F15" s="31"/>
      <c r="G15" s="31"/>
      <c r="H15" s="31"/>
      <c r="I15" s="31"/>
      <c r="J15" s="33"/>
      <c r="K15" s="31"/>
      <c r="L15" s="31"/>
      <c r="M15" s="31"/>
      <c r="N15" s="31"/>
    </row>
    <row r="16" spans="1:19" ht="16" x14ac:dyDescent="0.2">
      <c r="A16" s="32">
        <v>15</v>
      </c>
      <c r="B16" s="31"/>
      <c r="C16" s="31"/>
      <c r="D16" s="31"/>
      <c r="E16" s="35"/>
      <c r="F16" s="31"/>
      <c r="G16" s="31"/>
      <c r="H16" s="31"/>
      <c r="I16" s="31"/>
      <c r="J16" s="33"/>
      <c r="K16" s="31"/>
      <c r="L16" s="31"/>
      <c r="M16" s="31"/>
      <c r="N16" s="31"/>
    </row>
    <row r="17" spans="1:14" ht="16" x14ac:dyDescent="0.2">
      <c r="A17" s="39">
        <v>1</v>
      </c>
      <c r="B17" s="38"/>
      <c r="C17" s="38"/>
      <c r="D17" s="38"/>
      <c r="E17" s="37"/>
      <c r="F17" s="38"/>
      <c r="G17" s="38"/>
      <c r="H17" s="38"/>
      <c r="I17" s="38"/>
      <c r="J17" s="40"/>
      <c r="K17" s="38"/>
      <c r="L17" s="38"/>
      <c r="M17" s="38"/>
      <c r="N17" s="38"/>
    </row>
    <row r="18" spans="1:14" ht="16" x14ac:dyDescent="0.2">
      <c r="A18" s="39">
        <v>2</v>
      </c>
      <c r="B18" s="38"/>
      <c r="C18" s="38"/>
      <c r="D18" s="38"/>
      <c r="E18" s="37"/>
      <c r="F18" s="38"/>
      <c r="G18" s="38"/>
      <c r="H18" s="38"/>
      <c r="I18" s="38"/>
      <c r="J18" s="40"/>
      <c r="K18" s="38"/>
      <c r="L18" s="38"/>
      <c r="M18" s="38"/>
      <c r="N18" s="38"/>
    </row>
    <row r="19" spans="1:14" ht="16" x14ac:dyDescent="0.2">
      <c r="A19" s="39">
        <v>3</v>
      </c>
      <c r="B19" s="38"/>
      <c r="C19" s="38"/>
      <c r="D19" s="38"/>
      <c r="E19" s="37"/>
      <c r="F19" s="38"/>
      <c r="G19" s="38"/>
      <c r="H19" s="38"/>
      <c r="I19" s="38"/>
      <c r="J19" s="40"/>
      <c r="K19" s="38"/>
      <c r="L19" s="38"/>
      <c r="M19" s="38"/>
      <c r="N19" s="38"/>
    </row>
    <row r="20" spans="1:14" ht="16" x14ac:dyDescent="0.2">
      <c r="A20" s="39">
        <v>4</v>
      </c>
      <c r="B20" s="38"/>
      <c r="C20" s="38"/>
      <c r="D20" s="38"/>
      <c r="E20" s="37"/>
      <c r="F20" s="38"/>
      <c r="G20" s="38"/>
      <c r="H20" s="38"/>
      <c r="I20" s="38"/>
      <c r="J20" s="40"/>
      <c r="K20" s="38"/>
      <c r="L20" s="38"/>
      <c r="M20" s="38"/>
      <c r="N20" s="38"/>
    </row>
    <row r="21" spans="1:14" ht="16" x14ac:dyDescent="0.2">
      <c r="A21" s="39">
        <v>5</v>
      </c>
      <c r="B21" s="38"/>
      <c r="C21" s="38"/>
      <c r="D21" s="38"/>
      <c r="E21" s="37"/>
      <c r="F21" s="38"/>
      <c r="G21" s="38"/>
      <c r="H21" s="38"/>
      <c r="I21" s="38"/>
      <c r="J21" s="40"/>
      <c r="K21" s="38"/>
      <c r="L21" s="38"/>
      <c r="M21" s="38"/>
      <c r="N21" s="38"/>
    </row>
    <row r="22" spans="1:14" ht="16" x14ac:dyDescent="0.2">
      <c r="A22" s="39">
        <v>6</v>
      </c>
      <c r="B22" s="38"/>
      <c r="C22" s="38"/>
      <c r="D22" s="38"/>
      <c r="E22" s="37"/>
      <c r="F22" s="38"/>
      <c r="G22" s="38"/>
      <c r="H22" s="38"/>
      <c r="I22" s="38"/>
      <c r="J22" s="40"/>
      <c r="K22" s="38"/>
      <c r="L22" s="38"/>
      <c r="M22" s="38"/>
      <c r="N22" s="38"/>
    </row>
    <row r="23" spans="1:14" ht="16" x14ac:dyDescent="0.2">
      <c r="A23" s="39">
        <v>7</v>
      </c>
      <c r="B23" s="38"/>
      <c r="C23" s="38"/>
      <c r="D23" s="38"/>
      <c r="E23" s="37"/>
      <c r="F23" s="38"/>
      <c r="G23" s="38"/>
      <c r="H23" s="38"/>
      <c r="I23" s="38"/>
      <c r="J23" s="40"/>
      <c r="K23" s="38"/>
      <c r="L23" s="38"/>
      <c r="M23" s="38"/>
      <c r="N23" s="38"/>
    </row>
    <row r="24" spans="1:14" ht="16" x14ac:dyDescent="0.2">
      <c r="A24" s="39">
        <v>8</v>
      </c>
      <c r="B24" s="38"/>
      <c r="C24" s="38"/>
      <c r="D24" s="38"/>
      <c r="E24" s="37"/>
      <c r="F24" s="38"/>
      <c r="G24" s="38"/>
      <c r="H24" s="38"/>
      <c r="I24" s="38"/>
      <c r="J24" s="40"/>
      <c r="K24" s="38"/>
      <c r="L24" s="38"/>
      <c r="M24" s="38"/>
      <c r="N24" s="38"/>
    </row>
    <row r="25" spans="1:14" ht="16" x14ac:dyDescent="0.2">
      <c r="A25" s="39">
        <v>9</v>
      </c>
      <c r="B25" s="38"/>
      <c r="C25" s="38"/>
      <c r="D25" s="38"/>
      <c r="E25" s="37"/>
      <c r="F25" s="38"/>
      <c r="G25" s="38"/>
      <c r="H25" s="38"/>
      <c r="I25" s="38"/>
      <c r="J25" s="40"/>
      <c r="K25" s="38"/>
      <c r="L25" s="38"/>
      <c r="M25" s="38"/>
      <c r="N25" s="38"/>
    </row>
    <row r="26" spans="1:14" ht="16" x14ac:dyDescent="0.2">
      <c r="A26" s="39">
        <v>10</v>
      </c>
      <c r="B26" s="38"/>
      <c r="C26" s="38"/>
      <c r="D26" s="38"/>
      <c r="E26" s="37"/>
      <c r="F26" s="38"/>
      <c r="G26" s="38"/>
      <c r="H26" s="38"/>
      <c r="I26" s="38"/>
      <c r="J26" s="40"/>
      <c r="K26" s="38"/>
      <c r="L26" s="38"/>
      <c r="M26" s="38"/>
      <c r="N26" s="38"/>
    </row>
    <row r="27" spans="1:14" ht="16" x14ac:dyDescent="0.2">
      <c r="A27" s="39">
        <v>11</v>
      </c>
      <c r="B27" s="38"/>
      <c r="C27" s="38"/>
      <c r="D27" s="38"/>
      <c r="E27" s="37"/>
      <c r="F27" s="38"/>
      <c r="G27" s="38"/>
      <c r="H27" s="38"/>
      <c r="I27" s="38"/>
      <c r="J27" s="40"/>
      <c r="K27" s="38"/>
      <c r="L27" s="38"/>
      <c r="M27" s="38"/>
      <c r="N27" s="38"/>
    </row>
    <row r="28" spans="1:14" ht="16" x14ac:dyDescent="0.2">
      <c r="A28" s="39">
        <v>12</v>
      </c>
      <c r="B28" s="38"/>
      <c r="C28" s="38"/>
      <c r="D28" s="38"/>
      <c r="E28" s="37"/>
      <c r="F28" s="38"/>
      <c r="G28" s="38"/>
      <c r="H28" s="38"/>
      <c r="I28" s="38"/>
      <c r="J28" s="40"/>
      <c r="K28" s="38"/>
      <c r="L28" s="38"/>
      <c r="M28" s="38"/>
      <c r="N28" s="38"/>
    </row>
    <row r="29" spans="1:14" ht="16" x14ac:dyDescent="0.2">
      <c r="A29" s="39">
        <v>13</v>
      </c>
      <c r="B29" s="38"/>
      <c r="C29" s="38"/>
      <c r="D29" s="38"/>
      <c r="E29" s="37"/>
      <c r="F29" s="38"/>
      <c r="G29" s="38"/>
      <c r="H29" s="38"/>
      <c r="I29" s="38"/>
      <c r="J29" s="40"/>
      <c r="K29" s="38"/>
      <c r="L29" s="38"/>
      <c r="M29" s="38"/>
      <c r="N29" s="38"/>
    </row>
    <row r="30" spans="1:14" ht="16" x14ac:dyDescent="0.2">
      <c r="A30" s="39">
        <v>14</v>
      </c>
      <c r="B30" s="38"/>
      <c r="C30" s="38"/>
      <c r="D30" s="38"/>
      <c r="E30" s="37"/>
      <c r="F30" s="38"/>
      <c r="G30" s="38"/>
      <c r="H30" s="38"/>
      <c r="I30" s="38"/>
      <c r="J30" s="40"/>
      <c r="K30" s="38"/>
      <c r="L30" s="38"/>
      <c r="M30" s="38"/>
      <c r="N30" s="38"/>
    </row>
    <row r="31" spans="1:14" ht="16" x14ac:dyDescent="0.2">
      <c r="A31" s="39">
        <v>15</v>
      </c>
      <c r="B31" s="38"/>
      <c r="C31" s="38"/>
      <c r="D31" s="38"/>
      <c r="E31" s="37"/>
      <c r="F31" s="38"/>
      <c r="G31" s="38"/>
      <c r="H31" s="38"/>
      <c r="I31" s="38"/>
      <c r="J31" s="40"/>
      <c r="K31" s="38"/>
      <c r="L31" s="38"/>
      <c r="M31" s="38"/>
      <c r="N31" s="38"/>
    </row>
    <row r="32" spans="1:14" ht="16" x14ac:dyDescent="0.2">
      <c r="A32" s="39">
        <v>16</v>
      </c>
      <c r="B32" s="38"/>
      <c r="C32" s="38"/>
      <c r="D32" s="38"/>
      <c r="E32" s="37"/>
      <c r="F32" s="38"/>
      <c r="G32" s="38"/>
      <c r="H32" s="38"/>
      <c r="I32" s="38"/>
      <c r="J32" s="40"/>
      <c r="K32" s="38"/>
      <c r="L32" s="38"/>
      <c r="M32" s="38"/>
      <c r="N32" s="38"/>
    </row>
    <row r="33" spans="1:14" ht="16" x14ac:dyDescent="0.2">
      <c r="A33" s="39">
        <v>17</v>
      </c>
      <c r="B33" s="38"/>
      <c r="C33" s="38"/>
      <c r="D33" s="38"/>
      <c r="E33" s="37"/>
      <c r="F33" s="38"/>
      <c r="G33" s="38"/>
      <c r="H33" s="38"/>
      <c r="I33" s="38"/>
      <c r="J33" s="40"/>
      <c r="K33" s="38"/>
      <c r="L33" s="38"/>
      <c r="M33" s="38"/>
      <c r="N33" s="38"/>
    </row>
    <row r="34" spans="1:14" ht="16" x14ac:dyDescent="0.2">
      <c r="A34" s="39">
        <v>18</v>
      </c>
      <c r="B34" s="38"/>
      <c r="C34" s="38"/>
      <c r="D34" s="38"/>
      <c r="E34" s="37"/>
      <c r="F34" s="38"/>
      <c r="G34" s="38"/>
      <c r="H34" s="38"/>
      <c r="I34" s="38"/>
      <c r="J34" s="40"/>
      <c r="K34" s="38"/>
      <c r="L34" s="38"/>
      <c r="M34" s="38"/>
      <c r="N34" s="38"/>
    </row>
    <row r="35" spans="1:14" ht="16" x14ac:dyDescent="0.2">
      <c r="A35" s="39">
        <v>19</v>
      </c>
      <c r="B35" s="38"/>
      <c r="C35" s="38"/>
      <c r="D35" s="38"/>
      <c r="E35" s="37"/>
      <c r="F35" s="38"/>
      <c r="G35" s="38"/>
      <c r="H35" s="38"/>
      <c r="I35" s="38"/>
      <c r="J35" s="40"/>
      <c r="K35" s="38"/>
      <c r="L35" s="38"/>
      <c r="M35" s="38"/>
      <c r="N35" s="38"/>
    </row>
    <row r="36" spans="1:14" ht="16" x14ac:dyDescent="0.2">
      <c r="A36" s="39">
        <v>20</v>
      </c>
      <c r="B36" s="38"/>
      <c r="C36" s="38"/>
      <c r="D36" s="38"/>
      <c r="E36" s="37"/>
      <c r="F36" s="38"/>
      <c r="G36" s="38"/>
      <c r="H36" s="38"/>
      <c r="I36" s="38"/>
      <c r="J36" s="40"/>
      <c r="K36" s="38"/>
      <c r="L36" s="38"/>
      <c r="M36" s="38"/>
      <c r="N36" s="38"/>
    </row>
    <row r="37" spans="1:14" ht="16" x14ac:dyDescent="0.2">
      <c r="A37" s="39">
        <v>21</v>
      </c>
      <c r="B37" s="38"/>
      <c r="C37" s="38"/>
      <c r="D37" s="38"/>
      <c r="E37" s="37"/>
      <c r="F37" s="38"/>
      <c r="G37" s="38"/>
      <c r="H37" s="38"/>
      <c r="I37" s="38"/>
      <c r="J37" s="40"/>
      <c r="K37" s="38"/>
      <c r="L37" s="38"/>
      <c r="M37" s="38"/>
      <c r="N37" s="38"/>
    </row>
    <row r="38" spans="1:14" ht="16" x14ac:dyDescent="0.2">
      <c r="A38" s="39">
        <v>22</v>
      </c>
      <c r="B38" s="38"/>
      <c r="C38" s="38"/>
      <c r="D38" s="38"/>
      <c r="E38" s="37"/>
      <c r="F38" s="38"/>
      <c r="G38" s="38"/>
      <c r="H38" s="38"/>
      <c r="I38" s="38"/>
      <c r="J38" s="40"/>
      <c r="K38" s="38"/>
      <c r="L38" s="38"/>
      <c r="M38" s="38"/>
      <c r="N38" s="38"/>
    </row>
    <row r="39" spans="1:14" ht="16" x14ac:dyDescent="0.2">
      <c r="A39" s="39">
        <v>23</v>
      </c>
      <c r="B39" s="38"/>
      <c r="C39" s="38"/>
      <c r="D39" s="38"/>
      <c r="E39" s="37"/>
      <c r="F39" s="38"/>
      <c r="G39" s="38"/>
      <c r="H39" s="38"/>
      <c r="I39" s="38"/>
      <c r="J39" s="40"/>
      <c r="K39" s="38"/>
      <c r="L39" s="38"/>
      <c r="M39" s="38"/>
      <c r="N39" s="38"/>
    </row>
    <row r="40" spans="1:14" ht="16" x14ac:dyDescent="0.2">
      <c r="A40" s="39">
        <v>24</v>
      </c>
      <c r="B40" s="38"/>
      <c r="C40" s="38"/>
      <c r="D40" s="38"/>
      <c r="E40" s="37"/>
      <c r="F40" s="38"/>
      <c r="G40" s="38"/>
      <c r="H40" s="38"/>
      <c r="I40" s="38"/>
      <c r="J40" s="40"/>
      <c r="K40" s="38"/>
      <c r="L40" s="38"/>
      <c r="M40" s="38"/>
      <c r="N40" s="38"/>
    </row>
    <row r="41" spans="1:14" ht="16" x14ac:dyDescent="0.2">
      <c r="A41" s="39">
        <v>25</v>
      </c>
      <c r="B41" s="38"/>
      <c r="C41" s="38"/>
      <c r="D41" s="38"/>
      <c r="E41" s="37"/>
      <c r="F41" s="38"/>
      <c r="G41" s="38"/>
      <c r="H41" s="38"/>
      <c r="I41" s="38"/>
      <c r="J41" s="40"/>
      <c r="K41" s="38"/>
      <c r="L41" s="38"/>
      <c r="M41" s="38"/>
      <c r="N41" s="38"/>
    </row>
    <row r="42" spans="1:14" ht="16" x14ac:dyDescent="0.2">
      <c r="A42" s="39">
        <v>26</v>
      </c>
      <c r="B42" s="38"/>
      <c r="C42" s="38"/>
      <c r="D42" s="38"/>
      <c r="E42" s="37"/>
      <c r="F42" s="38"/>
      <c r="G42" s="38"/>
      <c r="H42" s="38"/>
      <c r="I42" s="38"/>
      <c r="J42" s="40"/>
      <c r="K42" s="38"/>
      <c r="L42" s="38"/>
      <c r="M42" s="38"/>
      <c r="N42" s="38"/>
    </row>
    <row r="43" spans="1:14" ht="16" x14ac:dyDescent="0.2">
      <c r="A43" s="39">
        <v>27</v>
      </c>
      <c r="B43" s="38"/>
      <c r="C43" s="38"/>
      <c r="D43" s="38"/>
      <c r="E43" s="37"/>
      <c r="F43" s="38"/>
      <c r="G43" s="38"/>
      <c r="H43" s="38"/>
      <c r="I43" s="38"/>
      <c r="J43" s="40"/>
      <c r="K43" s="38"/>
      <c r="L43" s="38"/>
      <c r="M43" s="38"/>
      <c r="N43" s="38"/>
    </row>
    <row r="44" spans="1:14" ht="16" x14ac:dyDescent="0.2">
      <c r="A44" s="39">
        <v>28</v>
      </c>
      <c r="B44" s="38"/>
      <c r="C44" s="38"/>
      <c r="D44" s="38"/>
      <c r="E44" s="37"/>
      <c r="F44" s="38"/>
      <c r="G44" s="38"/>
      <c r="H44" s="38"/>
      <c r="I44" s="38"/>
      <c r="J44" s="40"/>
      <c r="K44" s="38"/>
      <c r="L44" s="38"/>
      <c r="M44" s="38"/>
      <c r="N44" s="38"/>
    </row>
    <row r="45" spans="1:14" ht="16" x14ac:dyDescent="0.2">
      <c r="A45" s="39">
        <v>29</v>
      </c>
      <c r="B45" s="38"/>
      <c r="C45" s="38"/>
      <c r="D45" s="38"/>
      <c r="E45" s="37"/>
      <c r="F45" s="38"/>
      <c r="G45" s="38"/>
      <c r="H45" s="38"/>
      <c r="I45" s="38"/>
      <c r="J45" s="40"/>
      <c r="K45" s="38"/>
      <c r="L45" s="38"/>
      <c r="M45" s="38"/>
      <c r="N45" s="38"/>
    </row>
    <row r="46" spans="1:14" ht="16" x14ac:dyDescent="0.2">
      <c r="A46" s="39">
        <v>30</v>
      </c>
      <c r="B46" s="38"/>
      <c r="C46" s="38"/>
      <c r="D46" s="38"/>
      <c r="E46" s="37"/>
      <c r="F46" s="38"/>
      <c r="G46" s="38"/>
      <c r="H46" s="38"/>
      <c r="I46" s="38"/>
      <c r="J46" s="40"/>
      <c r="K46" s="38"/>
      <c r="L46" s="38"/>
      <c r="M46" s="38"/>
      <c r="N46" s="38"/>
    </row>
    <row r="47" spans="1:14" ht="16" x14ac:dyDescent="0.2">
      <c r="A47" s="39">
        <v>31</v>
      </c>
      <c r="B47" s="38"/>
      <c r="C47" s="38"/>
      <c r="D47" s="38"/>
      <c r="E47" s="37"/>
      <c r="F47" s="38"/>
      <c r="G47" s="38"/>
      <c r="H47" s="38"/>
      <c r="I47" s="38"/>
      <c r="J47" s="40"/>
      <c r="K47" s="38"/>
      <c r="L47" s="38"/>
      <c r="M47" s="38"/>
      <c r="N47" s="38"/>
    </row>
    <row r="48" spans="1:14" ht="16" x14ac:dyDescent="0.2">
      <c r="A48" s="39">
        <v>32</v>
      </c>
      <c r="B48" s="38"/>
      <c r="C48" s="38"/>
      <c r="D48" s="38"/>
      <c r="E48" s="37"/>
      <c r="F48" s="38"/>
      <c r="G48" s="38"/>
      <c r="H48" s="38"/>
      <c r="I48" s="38"/>
      <c r="J48" s="40"/>
      <c r="K48" s="38"/>
      <c r="L48" s="38"/>
      <c r="M48" s="38"/>
      <c r="N48" s="38"/>
    </row>
    <row r="49" spans="1:14" ht="16" x14ac:dyDescent="0.2">
      <c r="A49" s="39">
        <v>33</v>
      </c>
      <c r="B49" s="38"/>
      <c r="C49" s="38"/>
      <c r="D49" s="38"/>
      <c r="E49" s="37"/>
      <c r="F49" s="38"/>
      <c r="G49" s="38"/>
      <c r="H49" s="38"/>
      <c r="I49" s="38"/>
      <c r="J49" s="40"/>
      <c r="K49" s="38"/>
      <c r="L49" s="38"/>
      <c r="M49" s="38"/>
      <c r="N49" s="38"/>
    </row>
    <row r="50" spans="1:14" ht="16" x14ac:dyDescent="0.2">
      <c r="A50" s="39">
        <v>34</v>
      </c>
      <c r="B50" s="38"/>
      <c r="C50" s="38"/>
      <c r="D50" s="38"/>
      <c r="E50" s="37"/>
      <c r="F50" s="38"/>
      <c r="G50" s="38"/>
      <c r="H50" s="38"/>
      <c r="I50" s="38"/>
      <c r="J50" s="40"/>
      <c r="K50" s="38"/>
      <c r="L50" s="38"/>
      <c r="M50" s="38"/>
      <c r="N50" s="38"/>
    </row>
    <row r="51" spans="1:14" ht="16" x14ac:dyDescent="0.2">
      <c r="A51" s="39">
        <v>35</v>
      </c>
      <c r="B51" s="38"/>
      <c r="C51" s="38"/>
      <c r="D51" s="38"/>
      <c r="E51" s="37"/>
      <c r="F51" s="38"/>
      <c r="G51" s="38"/>
      <c r="H51" s="38"/>
      <c r="I51" s="38"/>
      <c r="J51" s="40"/>
      <c r="K51" s="38"/>
      <c r="L51" s="38"/>
      <c r="M51" s="38"/>
      <c r="N51" s="38"/>
    </row>
    <row r="52" spans="1:14" ht="16" x14ac:dyDescent="0.2">
      <c r="A52" s="39">
        <v>36</v>
      </c>
      <c r="B52" s="38"/>
      <c r="C52" s="38"/>
      <c r="D52" s="38"/>
      <c r="E52" s="37"/>
      <c r="F52" s="38"/>
      <c r="G52" s="38"/>
      <c r="H52" s="38"/>
      <c r="I52" s="38"/>
      <c r="J52" s="40"/>
      <c r="K52" s="38"/>
      <c r="L52" s="38"/>
      <c r="M52" s="38"/>
      <c r="N52" s="38"/>
    </row>
    <row r="53" spans="1:14" ht="16" x14ac:dyDescent="0.2">
      <c r="A53" s="39">
        <v>37</v>
      </c>
      <c r="B53" s="38"/>
      <c r="C53" s="38"/>
      <c r="D53" s="38"/>
      <c r="E53" s="37"/>
      <c r="F53" s="38"/>
      <c r="G53" s="38"/>
      <c r="H53" s="38"/>
      <c r="I53" s="38"/>
      <c r="J53" s="40"/>
      <c r="K53" s="38"/>
      <c r="L53" s="38"/>
      <c r="M53" s="38"/>
      <c r="N53" s="38"/>
    </row>
    <row r="54" spans="1:14" ht="16" x14ac:dyDescent="0.2">
      <c r="A54" s="39">
        <v>38</v>
      </c>
      <c r="B54" s="38"/>
      <c r="C54" s="38"/>
      <c r="D54" s="38"/>
      <c r="E54" s="37"/>
      <c r="F54" s="38"/>
      <c r="G54" s="38"/>
      <c r="H54" s="38"/>
      <c r="I54" s="38"/>
      <c r="J54" s="40"/>
      <c r="K54" s="38"/>
      <c r="L54" s="38"/>
      <c r="M54" s="38"/>
      <c r="N54" s="38"/>
    </row>
    <row r="55" spans="1:14" ht="16" x14ac:dyDescent="0.2">
      <c r="A55" s="39">
        <v>39</v>
      </c>
      <c r="B55" s="38"/>
      <c r="C55" s="38"/>
      <c r="D55" s="38"/>
      <c r="E55" s="37"/>
      <c r="F55" s="38"/>
      <c r="G55" s="38"/>
      <c r="H55" s="38"/>
      <c r="I55" s="38"/>
      <c r="J55" s="40"/>
      <c r="K55" s="38"/>
      <c r="L55" s="38"/>
      <c r="M55" s="38"/>
      <c r="N55" s="38"/>
    </row>
    <row r="56" spans="1:14" ht="16" x14ac:dyDescent="0.2">
      <c r="A56" s="39">
        <v>40</v>
      </c>
      <c r="B56" s="38"/>
      <c r="C56" s="38"/>
      <c r="D56" s="38"/>
      <c r="E56" s="37"/>
      <c r="F56" s="38"/>
      <c r="G56" s="38"/>
      <c r="H56" s="38"/>
      <c r="I56" s="38"/>
      <c r="J56" s="40"/>
      <c r="K56" s="38"/>
      <c r="L56" s="38"/>
      <c r="M56" s="38"/>
      <c r="N56" s="38"/>
    </row>
    <row r="57" spans="1:14" ht="16" x14ac:dyDescent="0.2">
      <c r="A57" s="39">
        <v>41</v>
      </c>
      <c r="B57" s="38"/>
      <c r="C57" s="38"/>
      <c r="D57" s="38"/>
      <c r="E57" s="37"/>
      <c r="F57" s="38"/>
      <c r="G57" s="38"/>
      <c r="H57" s="38"/>
      <c r="I57" s="38"/>
      <c r="J57" s="40"/>
      <c r="K57" s="38"/>
      <c r="L57" s="38"/>
      <c r="M57" s="38"/>
      <c r="N57" s="38"/>
    </row>
    <row r="58" spans="1:14" ht="16" x14ac:dyDescent="0.2">
      <c r="A58" s="39">
        <v>42</v>
      </c>
      <c r="B58" s="38"/>
      <c r="C58" s="38"/>
      <c r="D58" s="38"/>
      <c r="E58" s="37"/>
      <c r="F58" s="38"/>
      <c r="G58" s="38"/>
      <c r="H58" s="38"/>
      <c r="I58" s="38"/>
      <c r="J58" s="40"/>
      <c r="K58" s="38"/>
      <c r="L58" s="38"/>
      <c r="M58" s="38"/>
      <c r="N58" s="38"/>
    </row>
    <row r="59" spans="1:14" ht="16" x14ac:dyDescent="0.2">
      <c r="A59" s="39">
        <v>43</v>
      </c>
      <c r="B59" s="38"/>
      <c r="C59" s="38"/>
      <c r="D59" s="38"/>
      <c r="E59" s="37"/>
      <c r="F59" s="38"/>
      <c r="G59" s="38"/>
      <c r="H59" s="38"/>
      <c r="I59" s="38"/>
      <c r="J59" s="40"/>
      <c r="K59" s="38"/>
      <c r="L59" s="38"/>
      <c r="M59" s="38"/>
      <c r="N59" s="38"/>
    </row>
    <row r="60" spans="1:14" ht="16" x14ac:dyDescent="0.2">
      <c r="A60" s="39">
        <v>44</v>
      </c>
      <c r="B60" s="38"/>
      <c r="C60" s="38"/>
      <c r="D60" s="38"/>
      <c r="E60" s="37"/>
      <c r="F60" s="38"/>
      <c r="G60" s="38"/>
      <c r="H60" s="38"/>
      <c r="I60" s="38"/>
      <c r="J60" s="40"/>
      <c r="K60" s="38"/>
      <c r="L60" s="38"/>
      <c r="M60" s="38"/>
      <c r="N60" s="38"/>
    </row>
    <row r="61" spans="1:14" ht="16" x14ac:dyDescent="0.2">
      <c r="A61" s="39">
        <v>45</v>
      </c>
      <c r="B61" s="38"/>
      <c r="C61" s="38"/>
      <c r="D61" s="38"/>
      <c r="E61" s="37"/>
      <c r="F61" s="38"/>
      <c r="G61" s="38"/>
      <c r="H61" s="38"/>
      <c r="I61" s="38"/>
      <c r="J61" s="40"/>
      <c r="K61" s="38"/>
      <c r="L61" s="38"/>
      <c r="M61" s="38"/>
      <c r="N61" s="38"/>
    </row>
    <row r="62" spans="1:14" ht="16" x14ac:dyDescent="0.2">
      <c r="A62" s="39">
        <v>46</v>
      </c>
      <c r="B62" s="38"/>
      <c r="C62" s="38"/>
      <c r="D62" s="38"/>
      <c r="E62" s="37"/>
      <c r="F62" s="38"/>
      <c r="G62" s="38"/>
      <c r="H62" s="38"/>
      <c r="I62" s="38"/>
      <c r="J62" s="40"/>
      <c r="K62" s="38"/>
      <c r="L62" s="38"/>
      <c r="M62" s="38"/>
      <c r="N62" s="38"/>
    </row>
    <row r="63" spans="1:14" ht="16" x14ac:dyDescent="0.2">
      <c r="A63" s="39">
        <v>47</v>
      </c>
      <c r="B63" s="38"/>
      <c r="C63" s="38"/>
      <c r="D63" s="38"/>
      <c r="E63" s="37"/>
      <c r="F63" s="38"/>
      <c r="G63" s="38"/>
      <c r="H63" s="38"/>
      <c r="I63" s="38"/>
      <c r="J63" s="40"/>
      <c r="K63" s="38"/>
      <c r="L63" s="38"/>
      <c r="M63" s="38"/>
      <c r="N63" s="38"/>
    </row>
    <row r="64" spans="1:14" ht="16" x14ac:dyDescent="0.2">
      <c r="A64" s="39">
        <v>48</v>
      </c>
      <c r="B64" s="38"/>
      <c r="C64" s="38"/>
      <c r="D64" s="38"/>
      <c r="E64" s="37"/>
      <c r="F64" s="38"/>
      <c r="G64" s="38"/>
      <c r="H64" s="38"/>
      <c r="I64" s="38"/>
      <c r="J64" s="40"/>
      <c r="K64" s="38"/>
      <c r="L64" s="38"/>
      <c r="M64" s="38"/>
      <c r="N64" s="38"/>
    </row>
    <row r="65" spans="1:14" ht="16" x14ac:dyDescent="0.2">
      <c r="A65" s="39">
        <v>49</v>
      </c>
      <c r="B65" s="38"/>
      <c r="C65" s="38"/>
      <c r="D65" s="38"/>
      <c r="E65" s="37"/>
      <c r="F65" s="38"/>
      <c r="G65" s="38"/>
      <c r="H65" s="38"/>
      <c r="I65" s="38"/>
      <c r="J65" s="40"/>
      <c r="K65" s="38"/>
      <c r="L65" s="38"/>
      <c r="M65" s="38"/>
      <c r="N65" s="38"/>
    </row>
    <row r="66" spans="1:14" ht="16" x14ac:dyDescent="0.2">
      <c r="A66" s="39">
        <v>50</v>
      </c>
      <c r="B66" s="38"/>
      <c r="C66" s="38"/>
      <c r="D66" s="38"/>
      <c r="E66" s="37"/>
      <c r="F66" s="38"/>
      <c r="G66" s="38"/>
      <c r="H66" s="38"/>
      <c r="I66" s="38"/>
      <c r="J66" s="40"/>
      <c r="K66" s="38"/>
      <c r="L66" s="38"/>
      <c r="M66" s="38"/>
      <c r="N66" s="38"/>
    </row>
    <row r="67" spans="1:14" ht="16" x14ac:dyDescent="0.2">
      <c r="A67" s="39">
        <v>51</v>
      </c>
      <c r="B67" s="38"/>
      <c r="C67" s="38"/>
      <c r="D67" s="38"/>
      <c r="E67" s="37"/>
      <c r="F67" s="38"/>
      <c r="G67" s="38"/>
      <c r="H67" s="38"/>
      <c r="I67" s="38"/>
      <c r="J67" s="40"/>
      <c r="K67" s="38"/>
      <c r="L67" s="38"/>
      <c r="M67" s="38"/>
      <c r="N67" s="38"/>
    </row>
    <row r="68" spans="1:14" ht="16" x14ac:dyDescent="0.2">
      <c r="A68" s="39">
        <v>52</v>
      </c>
      <c r="B68" s="38"/>
      <c r="C68" s="38"/>
      <c r="D68" s="38"/>
      <c r="E68" s="37"/>
      <c r="F68" s="38"/>
      <c r="G68" s="38"/>
      <c r="H68" s="38"/>
      <c r="I68" s="38"/>
      <c r="J68" s="40"/>
      <c r="K68" s="38"/>
      <c r="L68" s="38"/>
      <c r="M68" s="38"/>
      <c r="N68" s="38"/>
    </row>
    <row r="69" spans="1:14" ht="16" x14ac:dyDescent="0.2">
      <c r="A69" s="39">
        <v>53</v>
      </c>
      <c r="B69" s="38"/>
      <c r="C69" s="38"/>
      <c r="D69" s="38"/>
      <c r="E69" s="37"/>
      <c r="F69" s="38"/>
      <c r="G69" s="38"/>
      <c r="H69" s="38"/>
      <c r="I69" s="38"/>
      <c r="J69" s="40"/>
      <c r="K69" s="38"/>
      <c r="L69" s="38"/>
      <c r="M69" s="38"/>
      <c r="N69" s="38"/>
    </row>
    <row r="70" spans="1:14" ht="16" x14ac:dyDescent="0.2">
      <c r="A70" s="39">
        <v>54</v>
      </c>
      <c r="B70" s="38"/>
      <c r="C70" s="38"/>
      <c r="D70" s="38"/>
      <c r="E70" s="37"/>
      <c r="F70" s="38"/>
      <c r="G70" s="38"/>
      <c r="H70" s="38"/>
      <c r="I70" s="38"/>
      <c r="J70" s="40"/>
      <c r="K70" s="38"/>
      <c r="L70" s="38"/>
      <c r="M70" s="38"/>
      <c r="N70" s="38"/>
    </row>
    <row r="71" spans="1:14" ht="16" x14ac:dyDescent="0.2">
      <c r="A71" s="39">
        <v>55</v>
      </c>
      <c r="B71" s="38"/>
      <c r="C71" s="38"/>
      <c r="D71" s="38"/>
      <c r="E71" s="37"/>
      <c r="F71" s="38"/>
      <c r="G71" s="38"/>
      <c r="H71" s="38"/>
      <c r="I71" s="38"/>
      <c r="J71" s="40"/>
      <c r="K71" s="38"/>
      <c r="L71" s="38"/>
      <c r="M71" s="38"/>
      <c r="N71" s="38"/>
    </row>
    <row r="72" spans="1:14" ht="16" x14ac:dyDescent="0.2">
      <c r="A72" s="39">
        <v>56</v>
      </c>
      <c r="B72" s="38"/>
      <c r="C72" s="38"/>
      <c r="D72" s="38"/>
      <c r="E72" s="37"/>
      <c r="F72" s="38"/>
      <c r="G72" s="38"/>
      <c r="H72" s="38"/>
      <c r="I72" s="38"/>
      <c r="J72" s="40"/>
      <c r="K72" s="38"/>
      <c r="L72" s="38"/>
      <c r="M72" s="38"/>
      <c r="N72" s="38"/>
    </row>
    <row r="73" spans="1:14" ht="16" x14ac:dyDescent="0.2">
      <c r="A73" s="39">
        <v>57</v>
      </c>
      <c r="B73" s="38"/>
      <c r="C73" s="38"/>
      <c r="D73" s="38"/>
      <c r="E73" s="37"/>
      <c r="F73" s="38"/>
      <c r="G73" s="38"/>
      <c r="H73" s="38"/>
      <c r="I73" s="38"/>
      <c r="J73" s="40"/>
      <c r="K73" s="38"/>
      <c r="L73" s="38"/>
      <c r="M73" s="38"/>
      <c r="N73" s="38"/>
    </row>
    <row r="74" spans="1:14" ht="16" x14ac:dyDescent="0.2">
      <c r="A74" s="39">
        <v>58</v>
      </c>
      <c r="B74" s="38"/>
      <c r="C74" s="38"/>
      <c r="D74" s="38"/>
      <c r="E74" s="37"/>
      <c r="F74" s="38"/>
      <c r="G74" s="38"/>
      <c r="H74" s="38"/>
      <c r="I74" s="38"/>
      <c r="J74" s="40"/>
      <c r="K74" s="38"/>
      <c r="L74" s="38"/>
      <c r="M74" s="38"/>
      <c r="N74" s="38"/>
    </row>
    <row r="75" spans="1:14" ht="16" x14ac:dyDescent="0.2">
      <c r="A75" s="39">
        <v>59</v>
      </c>
      <c r="B75" s="38"/>
      <c r="C75" s="38"/>
      <c r="D75" s="38"/>
      <c r="E75" s="37"/>
      <c r="F75" s="38"/>
      <c r="G75" s="38"/>
      <c r="H75" s="38"/>
      <c r="I75" s="38"/>
      <c r="J75" s="40"/>
      <c r="K75" s="38"/>
      <c r="L75" s="38"/>
      <c r="M75" s="38"/>
      <c r="N75" s="38"/>
    </row>
    <row r="76" spans="1:14" ht="16" x14ac:dyDescent="0.2">
      <c r="A76" s="39">
        <v>60</v>
      </c>
      <c r="B76" s="38"/>
      <c r="C76" s="38"/>
      <c r="D76" s="38"/>
      <c r="E76" s="37"/>
      <c r="F76" s="38"/>
      <c r="G76" s="38"/>
      <c r="H76" s="38"/>
      <c r="I76" s="38"/>
      <c r="J76" s="40"/>
      <c r="K76" s="38"/>
      <c r="L76" s="38"/>
      <c r="M76" s="38"/>
      <c r="N76" s="38"/>
    </row>
    <row r="77" spans="1:14" ht="16" x14ac:dyDescent="0.2">
      <c r="A77" s="39">
        <v>61</v>
      </c>
      <c r="B77" s="38"/>
      <c r="C77" s="38"/>
      <c r="D77" s="38"/>
      <c r="E77" s="37"/>
      <c r="F77" s="38"/>
      <c r="G77" s="38"/>
      <c r="H77" s="38"/>
      <c r="I77" s="38"/>
      <c r="J77" s="40"/>
      <c r="K77" s="38"/>
      <c r="L77" s="38"/>
      <c r="M77" s="38"/>
      <c r="N77" s="38"/>
    </row>
    <row r="78" spans="1:14" ht="16" x14ac:dyDescent="0.2">
      <c r="A78" s="39">
        <v>62</v>
      </c>
      <c r="B78" s="38"/>
      <c r="C78" s="38"/>
      <c r="D78" s="38"/>
      <c r="E78" s="37"/>
      <c r="F78" s="38"/>
      <c r="G78" s="38"/>
      <c r="H78" s="38"/>
      <c r="I78" s="38"/>
      <c r="J78" s="40"/>
      <c r="K78" s="38"/>
      <c r="L78" s="38"/>
      <c r="M78" s="38"/>
      <c r="N78" s="38"/>
    </row>
    <row r="79" spans="1:14" ht="16" x14ac:dyDescent="0.2">
      <c r="A79" s="39">
        <v>63</v>
      </c>
      <c r="B79" s="38"/>
      <c r="C79" s="38"/>
      <c r="D79" s="38"/>
      <c r="E79" s="37"/>
      <c r="F79" s="38"/>
      <c r="G79" s="38"/>
      <c r="H79" s="38"/>
      <c r="I79" s="38"/>
      <c r="J79" s="40"/>
      <c r="K79" s="38"/>
      <c r="L79" s="38"/>
      <c r="M79" s="38"/>
      <c r="N79" s="38"/>
    </row>
    <row r="80" spans="1:14" ht="16" x14ac:dyDescent="0.2">
      <c r="A80" s="39">
        <v>64</v>
      </c>
      <c r="B80" s="38"/>
      <c r="C80" s="38"/>
      <c r="D80" s="38"/>
      <c r="E80" s="37"/>
      <c r="F80" s="38"/>
      <c r="G80" s="38"/>
      <c r="H80" s="38"/>
      <c r="I80" s="38"/>
      <c r="J80" s="40"/>
      <c r="K80" s="38"/>
      <c r="L80" s="38"/>
      <c r="M80" s="38"/>
      <c r="N80" s="38"/>
    </row>
    <row r="81" spans="1:14" ht="16" x14ac:dyDescent="0.2">
      <c r="A81" s="39">
        <v>65</v>
      </c>
      <c r="B81" s="38"/>
      <c r="C81" s="38"/>
      <c r="D81" s="38"/>
      <c r="E81" s="37"/>
      <c r="F81" s="38"/>
      <c r="G81" s="38"/>
      <c r="H81" s="38"/>
      <c r="I81" s="38"/>
      <c r="J81" s="40"/>
      <c r="K81" s="38"/>
      <c r="L81" s="38"/>
      <c r="M81" s="38"/>
      <c r="N81" s="38"/>
    </row>
    <row r="82" spans="1:14" ht="16" x14ac:dyDescent="0.2">
      <c r="A82" s="39">
        <v>66</v>
      </c>
      <c r="B82" s="38"/>
      <c r="C82" s="38"/>
      <c r="D82" s="38"/>
      <c r="E82" s="37"/>
      <c r="F82" s="38"/>
      <c r="G82" s="38"/>
      <c r="H82" s="38"/>
      <c r="I82" s="38"/>
      <c r="J82" s="40"/>
      <c r="K82" s="38"/>
      <c r="L82" s="38"/>
      <c r="M82" s="38"/>
      <c r="N82" s="38"/>
    </row>
    <row r="83" spans="1:14" ht="16" x14ac:dyDescent="0.2">
      <c r="A83" s="39">
        <v>67</v>
      </c>
      <c r="B83" s="38"/>
      <c r="C83" s="38"/>
      <c r="D83" s="38"/>
      <c r="E83" s="37"/>
      <c r="F83" s="38"/>
      <c r="G83" s="38"/>
      <c r="H83" s="38"/>
      <c r="I83" s="38"/>
      <c r="J83" s="40"/>
      <c r="K83" s="38"/>
      <c r="L83" s="38"/>
      <c r="M83" s="38"/>
      <c r="N83" s="38"/>
    </row>
    <row r="84" spans="1:14" ht="16" x14ac:dyDescent="0.2">
      <c r="A84" s="39">
        <v>68</v>
      </c>
      <c r="B84" s="38"/>
      <c r="C84" s="38"/>
      <c r="D84" s="38"/>
      <c r="E84" s="37"/>
      <c r="F84" s="38"/>
      <c r="G84" s="38"/>
      <c r="H84" s="38"/>
      <c r="I84" s="38"/>
      <c r="J84" s="40"/>
      <c r="K84" s="38"/>
      <c r="L84" s="38"/>
      <c r="M84" s="38"/>
      <c r="N84" s="38"/>
    </row>
    <row r="85" spans="1:14" ht="16" x14ac:dyDescent="0.2">
      <c r="A85" s="39">
        <v>69</v>
      </c>
      <c r="B85" s="38"/>
      <c r="C85" s="38"/>
      <c r="D85" s="38"/>
      <c r="E85" s="37"/>
      <c r="F85" s="38"/>
      <c r="G85" s="38"/>
      <c r="H85" s="38"/>
      <c r="I85" s="38"/>
      <c r="J85" s="40"/>
      <c r="K85" s="38"/>
      <c r="L85" s="38"/>
      <c r="M85" s="38"/>
      <c r="N85" s="38"/>
    </row>
    <row r="86" spans="1:14" ht="16" x14ac:dyDescent="0.2">
      <c r="A86" s="39">
        <v>70</v>
      </c>
      <c r="B86" s="38"/>
      <c r="C86" s="38"/>
      <c r="D86" s="38"/>
      <c r="E86" s="37"/>
      <c r="F86" s="38"/>
      <c r="G86" s="38"/>
      <c r="H86" s="38"/>
      <c r="I86" s="38"/>
      <c r="J86" s="40"/>
      <c r="K86" s="38"/>
      <c r="L86" s="38"/>
      <c r="M86" s="38"/>
      <c r="N86" s="38"/>
    </row>
    <row r="87" spans="1:14" ht="16" x14ac:dyDescent="0.2">
      <c r="A87" s="39">
        <v>71</v>
      </c>
      <c r="B87" s="38"/>
      <c r="C87" s="38"/>
      <c r="D87" s="38"/>
      <c r="E87" s="37"/>
      <c r="F87" s="38"/>
      <c r="G87" s="38"/>
      <c r="H87" s="38"/>
      <c r="I87" s="38"/>
      <c r="J87" s="40"/>
      <c r="K87" s="38"/>
      <c r="L87" s="38"/>
      <c r="M87" s="38"/>
      <c r="N87" s="38"/>
    </row>
    <row r="88" spans="1:14" ht="16" x14ac:dyDescent="0.2">
      <c r="A88" s="39">
        <v>72</v>
      </c>
      <c r="B88" s="38"/>
      <c r="C88" s="38"/>
      <c r="D88" s="38"/>
      <c r="E88" s="37"/>
      <c r="F88" s="38"/>
      <c r="G88" s="38"/>
      <c r="H88" s="38"/>
      <c r="I88" s="38"/>
      <c r="J88" s="40"/>
      <c r="K88" s="38"/>
      <c r="L88" s="38"/>
      <c r="M88" s="38"/>
      <c r="N88" s="38"/>
    </row>
    <row r="89" spans="1:14" ht="16" x14ac:dyDescent="0.2">
      <c r="A89" s="39">
        <v>73</v>
      </c>
      <c r="B89" s="38"/>
      <c r="C89" s="38"/>
      <c r="D89" s="38"/>
      <c r="E89" s="37"/>
      <c r="F89" s="38"/>
      <c r="G89" s="38"/>
      <c r="H89" s="38"/>
      <c r="I89" s="38"/>
      <c r="J89" s="40"/>
      <c r="K89" s="38"/>
      <c r="L89" s="38"/>
      <c r="M89" s="38"/>
      <c r="N89" s="38"/>
    </row>
    <row r="90" spans="1:14" ht="16" x14ac:dyDescent="0.2">
      <c r="A90" s="39">
        <v>74</v>
      </c>
      <c r="B90" s="38"/>
      <c r="C90" s="38"/>
      <c r="D90" s="38"/>
      <c r="E90" s="37"/>
      <c r="F90" s="38"/>
      <c r="G90" s="38"/>
      <c r="H90" s="38"/>
      <c r="I90" s="38"/>
      <c r="J90" s="40"/>
      <c r="K90" s="38"/>
      <c r="L90" s="38"/>
      <c r="M90" s="38"/>
      <c r="N90" s="38"/>
    </row>
    <row r="91" spans="1:14" ht="16" x14ac:dyDescent="0.2">
      <c r="A91" s="39">
        <v>75</v>
      </c>
      <c r="B91" s="38"/>
      <c r="C91" s="38"/>
      <c r="D91" s="38"/>
      <c r="E91" s="37"/>
      <c r="F91" s="38"/>
      <c r="G91" s="38"/>
      <c r="H91" s="38"/>
      <c r="I91" s="38"/>
      <c r="J91" s="40"/>
      <c r="K91" s="38"/>
      <c r="L91" s="38"/>
      <c r="M91" s="38"/>
      <c r="N91" s="38"/>
    </row>
    <row r="92" spans="1:14" ht="16" x14ac:dyDescent="0.2">
      <c r="A92" s="43">
        <v>1</v>
      </c>
      <c r="B92" s="42"/>
      <c r="C92" s="42"/>
      <c r="D92" s="42"/>
      <c r="E92" s="41"/>
      <c r="F92" s="42"/>
      <c r="G92" s="42"/>
      <c r="H92" s="42"/>
      <c r="I92" s="42"/>
      <c r="J92" s="44"/>
      <c r="K92" s="42"/>
      <c r="L92" s="42"/>
      <c r="M92" s="42"/>
      <c r="N92" s="42"/>
    </row>
    <row r="93" spans="1:14" ht="16" x14ac:dyDescent="0.2">
      <c r="A93" s="43">
        <v>2</v>
      </c>
      <c r="B93" s="42"/>
      <c r="C93" s="42"/>
      <c r="D93" s="42"/>
      <c r="E93" s="41"/>
      <c r="F93" s="42"/>
      <c r="G93" s="42"/>
      <c r="H93" s="42"/>
      <c r="I93" s="42"/>
      <c r="J93" s="44"/>
      <c r="K93" s="42"/>
      <c r="L93" s="42"/>
      <c r="M93" s="42"/>
      <c r="N93" s="42"/>
    </row>
    <row r="94" spans="1:14" ht="16" x14ac:dyDescent="0.2">
      <c r="A94" s="43">
        <v>3</v>
      </c>
      <c r="B94" s="42"/>
      <c r="C94" s="42"/>
      <c r="D94" s="42"/>
      <c r="E94" s="41"/>
      <c r="F94" s="42"/>
      <c r="G94" s="42"/>
      <c r="H94" s="42"/>
      <c r="I94" s="42"/>
      <c r="J94" s="44"/>
      <c r="K94" s="42"/>
      <c r="L94" s="42"/>
      <c r="M94" s="42"/>
      <c r="N94" s="42"/>
    </row>
    <row r="95" spans="1:14" ht="16" x14ac:dyDescent="0.2">
      <c r="A95" s="43">
        <v>4</v>
      </c>
      <c r="B95" s="42"/>
      <c r="C95" s="42"/>
      <c r="D95" s="42"/>
      <c r="E95" s="41"/>
      <c r="F95" s="42"/>
      <c r="G95" s="42"/>
      <c r="H95" s="42"/>
      <c r="I95" s="42"/>
      <c r="J95" s="44"/>
      <c r="K95" s="42"/>
      <c r="L95" s="42"/>
      <c r="M95" s="42"/>
      <c r="N95" s="42"/>
    </row>
    <row r="96" spans="1:14" ht="16" x14ac:dyDescent="0.2">
      <c r="A96" s="43">
        <v>5</v>
      </c>
      <c r="B96" s="42"/>
      <c r="C96" s="42"/>
      <c r="D96" s="42"/>
      <c r="E96" s="41"/>
      <c r="F96" s="42"/>
      <c r="G96" s="42"/>
      <c r="H96" s="42"/>
      <c r="I96" s="42"/>
      <c r="J96" s="44"/>
      <c r="K96" s="42"/>
      <c r="L96" s="42"/>
      <c r="M96" s="42"/>
      <c r="N96" s="42"/>
    </row>
    <row r="97" spans="1:14" ht="16" x14ac:dyDescent="0.2">
      <c r="A97" s="43">
        <v>6</v>
      </c>
      <c r="B97" s="42"/>
      <c r="C97" s="42"/>
      <c r="D97" s="42"/>
      <c r="E97" s="41"/>
      <c r="F97" s="42"/>
      <c r="G97" s="42"/>
      <c r="H97" s="42"/>
      <c r="I97" s="42"/>
      <c r="J97" s="44"/>
      <c r="K97" s="42"/>
      <c r="L97" s="42"/>
      <c r="M97" s="42"/>
      <c r="N97" s="42"/>
    </row>
    <row r="98" spans="1:14" ht="16" x14ac:dyDescent="0.2">
      <c r="A98" s="43">
        <v>7</v>
      </c>
      <c r="B98" s="42"/>
      <c r="C98" s="42"/>
      <c r="D98" s="42"/>
      <c r="E98" s="41"/>
      <c r="F98" s="42"/>
      <c r="G98" s="42"/>
      <c r="H98" s="42"/>
      <c r="I98" s="42"/>
      <c r="J98" s="44"/>
      <c r="K98" s="42"/>
      <c r="L98" s="42"/>
      <c r="M98" s="42"/>
      <c r="N98" s="42"/>
    </row>
    <row r="99" spans="1:14" ht="16" x14ac:dyDescent="0.2">
      <c r="A99" s="43">
        <v>8</v>
      </c>
      <c r="B99" s="42"/>
      <c r="C99" s="42"/>
      <c r="D99" s="42"/>
      <c r="E99" s="41"/>
      <c r="F99" s="42"/>
      <c r="G99" s="42"/>
      <c r="H99" s="42"/>
      <c r="I99" s="42"/>
      <c r="J99" s="44"/>
      <c r="K99" s="42"/>
      <c r="L99" s="42"/>
      <c r="M99" s="42"/>
      <c r="N99" s="42"/>
    </row>
    <row r="100" spans="1:14" ht="16" x14ac:dyDescent="0.2">
      <c r="A100" s="43">
        <v>9</v>
      </c>
      <c r="B100" s="42"/>
      <c r="C100" s="42"/>
      <c r="D100" s="42"/>
      <c r="E100" s="41"/>
      <c r="F100" s="42"/>
      <c r="G100" s="42"/>
      <c r="H100" s="42"/>
      <c r="I100" s="42"/>
      <c r="J100" s="44"/>
      <c r="K100" s="42"/>
      <c r="L100" s="42"/>
      <c r="M100" s="42"/>
      <c r="N100" s="42"/>
    </row>
    <row r="101" spans="1:14" s="7" customFormat="1" x14ac:dyDescent="0.2"/>
  </sheetData>
  <autoFilter ref="A1:M100">
    <sortState ref="A1444:M2766">
      <sortCondition ref="F1:F2769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J52"/>
  <sheetViews>
    <sheetView topLeftCell="A4" workbookViewId="0">
      <selection activeCell="F24" sqref="F24"/>
    </sheetView>
  </sheetViews>
  <sheetFormatPr baseColWidth="10" defaultColWidth="9.1640625" defaultRowHeight="15" x14ac:dyDescent="0.2"/>
  <cols>
    <col min="1" max="1" width="14" style="2" customWidth="1"/>
    <col min="2" max="2" width="25.1640625" style="2" bestFit="1" customWidth="1"/>
    <col min="3" max="3" width="9.1640625" style="2" customWidth="1"/>
    <col min="4" max="4" width="12.33203125" style="2" bestFit="1" customWidth="1"/>
    <col min="5" max="7" width="9.6640625" style="2" customWidth="1"/>
    <col min="8" max="8" width="20.33203125" style="2" customWidth="1"/>
    <col min="9" max="9" width="20.6640625" style="2" customWidth="1"/>
    <col min="10" max="10" width="14.5" style="2" customWidth="1"/>
    <col min="11" max="16384" width="9.1640625" style="2"/>
  </cols>
  <sheetData>
    <row r="1" spans="1:9" ht="19" x14ac:dyDescent="0.25">
      <c r="A1" s="63" t="s">
        <v>60</v>
      </c>
      <c r="B1" s="63"/>
      <c r="C1" s="63"/>
      <c r="D1" s="63"/>
      <c r="E1" s="63"/>
      <c r="F1" s="63"/>
      <c r="I1" s="16" t="s">
        <v>59</v>
      </c>
    </row>
    <row r="2" spans="1:9" ht="16" x14ac:dyDescent="0.2">
      <c r="H2" s="16" t="s">
        <v>58</v>
      </c>
      <c r="I2" s="1">
        <v>42370</v>
      </c>
    </row>
    <row r="3" spans="1:9" ht="16" x14ac:dyDescent="0.2">
      <c r="A3" s="2" t="s">
        <v>57</v>
      </c>
      <c r="C3" s="18" t="str">
        <f>IF(MONTH($I$2)=1,"January",IF(MONTH($I$2)=2,"February",IF(MONTH($I$2)=3,"March",IF(MONTH($I$2)=4,"April",IF(MONTH($I$2)=5,"May",IF(MONTH($I$2)=6,"June",IF(MONTH($I$2)=7,"July",IF(MONTH($I$2)=8,"Auguest",IF(MONTH($I$2)=9,"September",IF(MONTH($I$2)=10,"October",IF(MONTH($I$2)=11,"November",IF(MONTH($I$2)=12,"December",A3))))))))))))</f>
        <v>January</v>
      </c>
      <c r="E3" s="2" t="s">
        <v>56</v>
      </c>
      <c r="F3" s="17">
        <f>YEAR($I$2)</f>
        <v>2016</v>
      </c>
      <c r="H3" s="16" t="s">
        <v>55</v>
      </c>
      <c r="I3" s="1">
        <v>42400.999988425901</v>
      </c>
    </row>
    <row r="4" spans="1:9" x14ac:dyDescent="0.2">
      <c r="A4" s="2" t="s">
        <v>54</v>
      </c>
    </row>
    <row r="6" spans="1:9" x14ac:dyDescent="0.2">
      <c r="A6" s="2" t="s">
        <v>53</v>
      </c>
    </row>
    <row r="7" spans="1:9" x14ac:dyDescent="0.2">
      <c r="A7" s="66"/>
      <c r="B7" s="66" t="s">
        <v>14</v>
      </c>
      <c r="C7" s="66"/>
      <c r="D7" s="66" t="s">
        <v>16</v>
      </c>
      <c r="E7" s="66"/>
      <c r="F7" s="57" t="s">
        <v>33</v>
      </c>
    </row>
    <row r="8" spans="1:9" x14ac:dyDescent="0.2">
      <c r="A8" s="66"/>
      <c r="B8" s="15" t="s">
        <v>52</v>
      </c>
      <c r="C8" s="15" t="s">
        <v>61</v>
      </c>
      <c r="D8" s="15" t="s">
        <v>52</v>
      </c>
      <c r="E8" s="15" t="s">
        <v>61</v>
      </c>
      <c r="F8" s="57"/>
    </row>
    <row r="9" spans="1:9" x14ac:dyDescent="0.2">
      <c r="A9" s="12"/>
      <c r="B9" s="11">
        <f>COUNTIFS(GeneDate,"&gt;="&amp;$I$2,GeneDate,"&lt;="&amp;$I$3,GeneAge,"&lt;15",GeneSex,"Male",GeneMTB,"*tive")</f>
        <v>0</v>
      </c>
      <c r="C9" s="11">
        <f>COUNTIFS(GeneDate,"&gt;="&amp;$I$2,GeneDate,"&lt;="&amp;$I$3,GeneAge,"&gt;=15",GeneSex,"M*",GeneMTB,"*tive")</f>
        <v>0</v>
      </c>
      <c r="D9" s="11">
        <f>COUNTIFS(GeneDate,"&gt;="&amp;$I$2,GeneDate,"&lt;="&amp;$I$3,GeneAge,"&lt;15",GeneSex,"F*",GeneMTB,"*tive")</f>
        <v>0</v>
      </c>
      <c r="E9" s="8">
        <f>COUNTIFS(GeneDate,"&gt;="&amp;$I$2,GeneDate,"&lt;="&amp;$I$3,GeneAge,"&gt;=15",GeneSex,"F*",GeneMTB,"*tive")</f>
        <v>0</v>
      </c>
      <c r="F9" s="8">
        <f>COUNTIFS(GeneDate,"&gt;="&amp;$I$2,GeneDate,"&lt;="&amp;$I$3,GeneMTB,"*tive")</f>
        <v>0</v>
      </c>
      <c r="G9" s="7" t="str">
        <f>IF(SUM(B9:E9)=F9,"","Check Total Vaue &amp; Category")</f>
        <v/>
      </c>
      <c r="H9" s="26"/>
    </row>
    <row r="10" spans="1:9" ht="12" customHeight="1" x14ac:dyDescent="0.2">
      <c r="B10" s="19"/>
      <c r="E10" s="7"/>
      <c r="F10" s="7"/>
      <c r="G10" s="7"/>
    </row>
    <row r="11" spans="1:9" x14ac:dyDescent="0.2">
      <c r="A11" s="2" t="s">
        <v>51</v>
      </c>
      <c r="E11" s="7"/>
      <c r="F11" s="7"/>
      <c r="G11" s="7"/>
    </row>
    <row r="12" spans="1:9" x14ac:dyDescent="0.2">
      <c r="A12" s="12"/>
      <c r="B12" s="12"/>
      <c r="C12" s="15" t="s">
        <v>50</v>
      </c>
      <c r="D12" s="15" t="s">
        <v>49</v>
      </c>
      <c r="E12" s="13" t="s">
        <v>15</v>
      </c>
      <c r="F12" s="13" t="s">
        <v>33</v>
      </c>
      <c r="G12" s="7"/>
    </row>
    <row r="13" spans="1:9" ht="15" customHeight="1" x14ac:dyDescent="0.2">
      <c r="A13" s="58" t="s">
        <v>44</v>
      </c>
      <c r="B13" s="12" t="s">
        <v>43</v>
      </c>
      <c r="C13" s="11">
        <f>COUNTIFS(GeneDate,"&gt;="&amp;$I$2,GeneDate,"&lt;="&amp;$I$3,GeneMicroscope,"Pos*",GenePreviousHistory,"N*",GeneMTB,"*tive")</f>
        <v>0</v>
      </c>
      <c r="D13" s="11">
        <f>COUNTIFS(GeneDate,"&gt;="&amp;$I$2,GeneDate,"&lt;="&amp;$I$3,GeneMicroscope,"Pos*",GenePreviousHistory,"Y*",GeneMTB,"*tive")</f>
        <v>0</v>
      </c>
      <c r="E13" s="8">
        <f>COUNTIFS(GeneDate,"&gt;="&amp;$I$2,GeneDate,"&lt;="&amp;$I$3,GeneMicroscope,"Pos*",GenePreviousHistory,"Un*",GeneMTB,"*tive")</f>
        <v>0</v>
      </c>
      <c r="F13" s="8">
        <f>COUNTIFS(GeneDate,"&gt;="&amp;$I$2,GeneDate,"&lt;="&amp;$I$3,GeneMicroscope,"Pos*",GeneMTB,"*tive")</f>
        <v>0</v>
      </c>
      <c r="G13" s="48" t="str">
        <f>IF($F$9=SUM(F13:F15),"","Error! Possibly there were be Error or Missing information at Microscopy Result")</f>
        <v/>
      </c>
      <c r="H13" s="49"/>
      <c r="I13" s="10" t="str">
        <f t="shared" ref="I13:I19" si="0">IF(SUM(C13:E13)=F13,"","Check Total Vaue &amp; Category")</f>
        <v/>
      </c>
    </row>
    <row r="14" spans="1:9" x14ac:dyDescent="0.2">
      <c r="A14" s="59"/>
      <c r="B14" s="12" t="s">
        <v>42</v>
      </c>
      <c r="C14" s="11">
        <f>COUNTIFS(GeneDate,"&gt;="&amp;$I$2,GeneDate,"&lt;="&amp;$I$3,GeneMicroscope,"Neg*",GenePreviousHistory,"N*",GeneMTB,"*tive")</f>
        <v>0</v>
      </c>
      <c r="D14" s="11">
        <f>COUNTIFS(GeneDate,"&gt;="&amp;$I$2,GeneDate,"&lt;="&amp;$I$3,GeneMicroscope,"Neg*",GenePreviousHistory,"Y*",GeneMTB,"*tive")</f>
        <v>0</v>
      </c>
      <c r="E14" s="8">
        <f>COUNTIFS(GeneDate,"&gt;="&amp;$I$2,GeneDate,"&lt;="&amp;$I$3,GeneMicroscope,"Neg*",GenePreviousHistory,"Un*",GeneMTB,"*tive")</f>
        <v>0</v>
      </c>
      <c r="F14" s="8">
        <f>COUNTIFS(GeneDate,"&gt;="&amp;$I$2,GeneDate,"&lt;="&amp;$I$3,GeneMicroscope,"Neg*",GeneMTB,"*tive")</f>
        <v>0</v>
      </c>
      <c r="G14" s="48"/>
      <c r="H14" s="49"/>
      <c r="I14" s="10" t="str">
        <f t="shared" si="0"/>
        <v/>
      </c>
    </row>
    <row r="15" spans="1:9" x14ac:dyDescent="0.2">
      <c r="A15" s="60"/>
      <c r="B15" s="12" t="s">
        <v>41</v>
      </c>
      <c r="C15" s="11">
        <f>COUNTIFS(GeneDate,"&gt;="&amp;$I$2,GeneDate,"&lt;="&amp;$I$3,GeneMicroscope,"Not*",GenePreviousHistory,"N*",GeneMTB,"*tive")</f>
        <v>0</v>
      </c>
      <c r="D15" s="11">
        <f>COUNTIFS(GeneDate,"&gt;="&amp;$I$2,GeneDate,"&lt;="&amp;$I$3,GeneMicroscope,"Not*",GenePreviousHistory,"Y*",GeneMTB,"*tive")</f>
        <v>0</v>
      </c>
      <c r="E15" s="8">
        <f>COUNTIFS(GeneDate,"&gt;="&amp;$I$2,GeneDate,"&lt;="&amp;$I$3,GeneMicroscope,"Not*",GenePreviousHistory,"Un*",GeneMTB,"*tive")</f>
        <v>0</v>
      </c>
      <c r="F15" s="8">
        <f>COUNTIFS(GeneDate,"&gt;="&amp;$I$2,GeneDate,"&lt;="&amp;$I$3,GeneMicroscope,"Not*",GeneMTB,"*tive")</f>
        <v>0</v>
      </c>
      <c r="G15" s="48"/>
      <c r="H15" s="49"/>
      <c r="I15" s="10" t="str">
        <f t="shared" si="0"/>
        <v/>
      </c>
    </row>
    <row r="16" spans="1:9" x14ac:dyDescent="0.2">
      <c r="A16" s="57" t="s">
        <v>40</v>
      </c>
      <c r="B16" s="12" t="s">
        <v>13</v>
      </c>
      <c r="C16" s="11">
        <f>COUNTIFS(GeneDate,"&gt;="&amp;$I$2,GeneDate,"&lt;="&amp;$I$3,GenePreviousHistory,"N*",GeneMTB,"Neg*")</f>
        <v>0</v>
      </c>
      <c r="D16" s="11">
        <f>COUNTIFS(GeneDate,"&gt;="&amp;$I$2,GeneDate,"&lt;="&amp;$I$3,GenePreviousHistory,"Y*",GeneMTB,"Neg*")</f>
        <v>0</v>
      </c>
      <c r="E16" s="8">
        <f>F16-(C16+D16)</f>
        <v>0</v>
      </c>
      <c r="F16" s="8">
        <f>COUNTIFS(GeneDate,"&gt;="&amp;$I$2,GeneDate,"&lt;="&amp;$I$3,GeneMTB,"Neg*")</f>
        <v>0</v>
      </c>
      <c r="G16" s="48" t="str">
        <f>IF($F$9=SUM(F16:F19),"","Error! Cross information between Xpert result and treatment category are not match; possibly there will be Erorr or missing information on MTB result OR RIF result")</f>
        <v/>
      </c>
      <c r="H16" s="49"/>
      <c r="I16" s="10" t="str">
        <f t="shared" si="0"/>
        <v/>
      </c>
    </row>
    <row r="17" spans="1:9" x14ac:dyDescent="0.2">
      <c r="A17" s="57"/>
      <c r="B17" s="12" t="s">
        <v>39</v>
      </c>
      <c r="C17" s="11">
        <f>COUNTIFS(GeneDate,"&gt;="&amp;$I$2,GeneDate,"&lt;="&amp;$I$3,GenePreviousHistory,"N*",GeneMTB,"Pos*",GeneRif,"Neg*")</f>
        <v>0</v>
      </c>
      <c r="D17" s="11">
        <f>COUNTIFS(GeneDate,"&gt;="&amp;$I$2,GeneDate,"&lt;="&amp;$I$3,GenePreviousHistory,"Y*",GeneMTB,"Pos*",GeneRif,"Neg*")</f>
        <v>0</v>
      </c>
      <c r="E17" s="8">
        <f>F17-(C17+D17)</f>
        <v>0</v>
      </c>
      <c r="F17" s="8">
        <f>COUNTIFS(GeneDate,"&gt;="&amp;$I$2,GeneDate,"&lt;="&amp;$I$3,GeneMTB,"Pos*",GeneRif,"Neg*")</f>
        <v>0</v>
      </c>
      <c r="G17" s="48"/>
      <c r="H17" s="49"/>
      <c r="I17" s="10" t="str">
        <f t="shared" si="0"/>
        <v/>
      </c>
    </row>
    <row r="18" spans="1:9" x14ac:dyDescent="0.2">
      <c r="A18" s="57"/>
      <c r="B18" s="12" t="s">
        <v>38</v>
      </c>
      <c r="C18" s="11">
        <f>COUNTIFS(GeneDate,"&gt;="&amp;$I$2,GeneDate,"&lt;="&amp;$I$3,GenePreviousHistory,"N*",GeneMTB,"Pos*",GeneRif,"Pos*")</f>
        <v>0</v>
      </c>
      <c r="D18" s="11">
        <f>COUNTIFS(GeneDate,"&gt;="&amp;$I$2,GeneDate,"&lt;="&amp;$I$3,GenePreviousHistory,"Y*",GeneMTB,"Pos*",GeneRif,"Pos*")</f>
        <v>0</v>
      </c>
      <c r="E18" s="8">
        <f>F18-(C18+D18)</f>
        <v>0</v>
      </c>
      <c r="F18" s="8">
        <f>COUNTIFS(GeneDate,"&gt;="&amp;$I$2,GeneDate,"&lt;="&amp;$I$3,GeneMTB,"Pos*",GeneRif,"Pos*")</f>
        <v>0</v>
      </c>
      <c r="G18" s="48"/>
      <c r="H18" s="49"/>
      <c r="I18" s="10" t="str">
        <f t="shared" si="0"/>
        <v/>
      </c>
    </row>
    <row r="19" spans="1:9" x14ac:dyDescent="0.2">
      <c r="A19" s="57"/>
      <c r="B19" s="12" t="s">
        <v>48</v>
      </c>
      <c r="C19" s="11">
        <f>COUNTIFS(GeneDate,"&gt;="&amp;$I$2,GeneDate,"&lt;="&amp;$I$3,GenePreviousHistory,"N*",GeneMTB,"Pos*",GeneRif,"IND*")</f>
        <v>0</v>
      </c>
      <c r="D19" s="11">
        <f>COUNTIFS(GeneDate,"&gt;="&amp;$I$2,GeneDate,"&lt;="&amp;$I$3,GenePreviousHistory,"Y*",GeneMTB,"Pos*",GeneRif,"IND*")</f>
        <v>0</v>
      </c>
      <c r="E19" s="8">
        <f>F19-(C19+D19)</f>
        <v>0</v>
      </c>
      <c r="F19" s="8">
        <f>COUNTIFS(GeneDate,"&gt;="&amp;$I$2,GeneDate,"&lt;="&amp;$I$3,GeneMTB,"Pos*",GeneRif,"IND*")</f>
        <v>0</v>
      </c>
      <c r="G19" s="48"/>
      <c r="H19" s="49"/>
      <c r="I19" s="10" t="str">
        <f t="shared" si="0"/>
        <v/>
      </c>
    </row>
    <row r="20" spans="1:9" ht="12" customHeight="1" x14ac:dyDescent="0.2">
      <c r="E20" s="7"/>
      <c r="F20" s="7"/>
      <c r="G20" s="7"/>
    </row>
    <row r="21" spans="1:9" x14ac:dyDescent="0.2">
      <c r="A21" s="2" t="s">
        <v>47</v>
      </c>
      <c r="E21" s="7"/>
      <c r="F21" s="7"/>
      <c r="G21" s="7"/>
    </row>
    <row r="22" spans="1:9" ht="30" x14ac:dyDescent="0.2">
      <c r="A22" s="12"/>
      <c r="B22" s="12"/>
      <c r="C22" s="14" t="s">
        <v>46</v>
      </c>
      <c r="D22" s="14" t="s">
        <v>45</v>
      </c>
      <c r="E22" s="13" t="s">
        <v>15</v>
      </c>
      <c r="F22" s="13" t="s">
        <v>33</v>
      </c>
      <c r="G22" s="7"/>
    </row>
    <row r="23" spans="1:9" ht="15" customHeight="1" x14ac:dyDescent="0.2">
      <c r="A23" s="58" t="s">
        <v>44</v>
      </c>
      <c r="B23" s="12" t="s">
        <v>43</v>
      </c>
      <c r="C23" s="11">
        <f>COUNTIFS(GeneDate,"&gt;="&amp;$I$2,GeneDate,"&lt;="&amp;$I$3,GeneMicroscope,"Pos*",GeneHIV,"Pos*",GeneMTB,"*tive")</f>
        <v>0</v>
      </c>
      <c r="D23" s="11">
        <f>COUNTIFS(GeneDate,"&gt;="&amp;$I$2,GeneDate,"&lt;="&amp;$I$3,GeneMicroscope,"Pos*",GeneHIV,"Neg*",GeneMTB,"*tive")</f>
        <v>0</v>
      </c>
      <c r="E23" s="8">
        <f>COUNTIFS(GeneDate,"&gt;="&amp;$I$2,GeneDate,"&lt;="&amp;$I$3,GeneMicroscope,"Pos*",GeneHIV,"Un*",GeneMTB,"*tive")</f>
        <v>0</v>
      </c>
      <c r="F23" s="8">
        <f>COUNTIFS(GeneDate,"&gt;="&amp;$I$2,GeneDate,"&lt;="&amp;$I$3,GeneMicroscope,"Pos*",GeneMTB,"*tive")</f>
        <v>0</v>
      </c>
      <c r="G23" s="48" t="str">
        <f>IF($F$9=SUM(F23:F25),"","Error! Cross information between Microscope Result and HIV Status are not match; possibly there will be Erorr or missing information on Microscope Result OR HIV Status")</f>
        <v/>
      </c>
      <c r="H23" s="49"/>
      <c r="I23" s="10" t="str">
        <f t="shared" ref="I23:I29" si="1">IF(SUM(C23:E23)=F23,"","Check Total Vaue &amp; Category")</f>
        <v/>
      </c>
    </row>
    <row r="24" spans="1:9" x14ac:dyDescent="0.2">
      <c r="A24" s="59"/>
      <c r="B24" s="12" t="s">
        <v>42</v>
      </c>
      <c r="C24" s="11">
        <f>COUNTIFS(GeneDate,"&gt;="&amp;$I$2,GeneDate,"&lt;="&amp;$I$3,GeneMicroscope,"Neg*",GeneHIV,"Pos*",GeneMTB,"*tive")</f>
        <v>0</v>
      </c>
      <c r="D24" s="11">
        <f>COUNTIFS(GeneDate,"&gt;="&amp;$I$2,GeneDate,"&lt;="&amp;$I$3,GeneMicroscope,"Neg*",GeneHIV,"Neg*",GeneMTB,"*tive")</f>
        <v>0</v>
      </c>
      <c r="E24" s="8">
        <f>COUNTIFS(GeneDate,"&gt;="&amp;$I$2,GeneDate,"&lt;="&amp;$I$3,GeneMicroscope,"Neg*",GeneHIV,"Un*",GeneMTB,"*tive")</f>
        <v>0</v>
      </c>
      <c r="F24" s="8">
        <f>COUNTIFS(GeneDate,"&gt;="&amp;$I$2,GeneDate,"&lt;="&amp;$I$3,GeneMicroscope,"Neg*",GeneMTB,"*tive")</f>
        <v>0</v>
      </c>
      <c r="G24" s="48"/>
      <c r="H24" s="49"/>
      <c r="I24" s="10" t="str">
        <f t="shared" si="1"/>
        <v/>
      </c>
    </row>
    <row r="25" spans="1:9" x14ac:dyDescent="0.2">
      <c r="A25" s="60"/>
      <c r="B25" s="12" t="s">
        <v>41</v>
      </c>
      <c r="C25" s="11">
        <f>COUNTIFS(GeneDate,"&gt;="&amp;$I$2,GeneDate,"&lt;="&amp;$I$3,GeneMicroscope,"Not*",GeneHIV,"Pos*",GeneMTB,"*tive")</f>
        <v>0</v>
      </c>
      <c r="D25" s="11">
        <f>COUNTIFS(GeneDate,"&gt;="&amp;$I$2,GeneDate,"&lt;="&amp;$I$3,GeneMicroscope,"Not*",GeneHIV,"Neg*",GeneMTB,"*tive")</f>
        <v>0</v>
      </c>
      <c r="E25" s="8">
        <f>COUNTIFS(GeneDate,"&gt;="&amp;$I$2,GeneDate,"&lt;="&amp;$I$3,GeneMicroscope,"Not*",GeneHIV,"Un*",GeneMTB,"*tive")</f>
        <v>0</v>
      </c>
      <c r="F25" s="8">
        <f>COUNTIFS(GeneDate,"&gt;="&amp;$I$2,GeneDate,"&lt;="&amp;$I$3,GeneMicroscope,"Not*",GeneMTB,"*tive")</f>
        <v>0</v>
      </c>
      <c r="G25" s="48"/>
      <c r="H25" s="49"/>
      <c r="I25" s="10" t="str">
        <f t="shared" si="1"/>
        <v/>
      </c>
    </row>
    <row r="26" spans="1:9" x14ac:dyDescent="0.2">
      <c r="A26" s="57" t="s">
        <v>40</v>
      </c>
      <c r="B26" s="12" t="s">
        <v>13</v>
      </c>
      <c r="C26" s="11">
        <f>COUNTIFS(GeneDate,"&gt;="&amp;$I$2,GeneDate,"&lt;="&amp;$I$3,GeneHIV,"Pos*",GeneMTB,"Neg*")</f>
        <v>0</v>
      </c>
      <c r="D26" s="11">
        <f>COUNTIFS(GeneDate,"&gt;="&amp;$I$2,GeneDate,"&lt;="&amp;$I$3,GeneHIV,"Neg*",GeneMTB,"Neg*")</f>
        <v>0</v>
      </c>
      <c r="E26" s="8">
        <f>COUNTIFS(GeneDate,"&gt;="&amp;$I$2,GeneDate,"&lt;="&amp;$I$3,GeneHIV,"Un*",GeneMTB,"Neg*")</f>
        <v>0</v>
      </c>
      <c r="F26" s="8">
        <f>COUNTIFS(GeneDate,"&gt;="&amp;$I$2,GeneDate,"&lt;="&amp;$I$3,GeneMTB,"*tive",GeneMTB,"Neg*")</f>
        <v>0</v>
      </c>
      <c r="G26" s="48" t="str">
        <f>IF($F$9=SUM(F26:F29),"","Error! Cross information between Xpert result and HIV Status are not match; possibly there will be Erorr or missing information on MTB result OR HIV Status")</f>
        <v/>
      </c>
      <c r="H26" s="49"/>
      <c r="I26" s="10" t="str">
        <f t="shared" si="1"/>
        <v/>
      </c>
    </row>
    <row r="27" spans="1:9" x14ac:dyDescent="0.2">
      <c r="A27" s="57"/>
      <c r="B27" s="12" t="s">
        <v>39</v>
      </c>
      <c r="C27" s="11">
        <f>COUNTIFS(GeneDate,"&gt;="&amp;$I$2,GeneDate,"&lt;="&amp;$I$3,GeneHIV,"Pos*",GeneMTB,"Pos*",GeneRif,"Neg*")</f>
        <v>0</v>
      </c>
      <c r="D27" s="11">
        <f>COUNTIFS(GeneDate,"&gt;="&amp;$I$2,GeneDate,"&lt;="&amp;$I$3,GeneHIV,"Neg*",GeneMTB,"Pos*",GeneRif,"Neg*")</f>
        <v>0</v>
      </c>
      <c r="E27" s="8">
        <f>COUNTIFS(GeneDate,"&gt;="&amp;$I$2,GeneDate,"&lt;="&amp;$I$3,GeneHIV,"Un*",GeneMTB,"Pos*",GeneRif,"Neg*")</f>
        <v>0</v>
      </c>
      <c r="F27" s="8">
        <f>COUNTIFS(GeneDate,"&gt;="&amp;$I$2,GeneDate,"&lt;="&amp;$I$3,GeneMTB,"Pos*",GeneRif,"Neg*")</f>
        <v>0</v>
      </c>
      <c r="G27" s="48"/>
      <c r="H27" s="49"/>
      <c r="I27" s="10" t="str">
        <f t="shared" si="1"/>
        <v/>
      </c>
    </row>
    <row r="28" spans="1:9" x14ac:dyDescent="0.2">
      <c r="A28" s="57"/>
      <c r="B28" s="12" t="s">
        <v>38</v>
      </c>
      <c r="C28" s="11">
        <f>COUNTIFS(GeneDate,"&gt;="&amp;$I$2,GeneDate,"&lt;="&amp;$I$3,GeneHIV,"Pos*",GeneMTB,"Pos*",GeneRif,"Pos*")</f>
        <v>0</v>
      </c>
      <c r="D28" s="11">
        <f>COUNTIFS(GeneDate,"&gt;="&amp;$I$2,GeneDate,"&lt;="&amp;$I$3,GeneHIV,"Neg*",GeneMTB,"Pos*",GeneRif,"Pos*")</f>
        <v>0</v>
      </c>
      <c r="E28" s="8">
        <f>COUNTIFS(GeneDate,"&gt;="&amp;$I$2,GeneDate,"&lt;="&amp;$I$3,GeneHIV,"Un*",GeneMTB,"Pos*",GeneRif,"Pos*")</f>
        <v>0</v>
      </c>
      <c r="F28" s="8">
        <f>COUNTIFS(GeneDate,"&gt;="&amp;$I$2,GeneDate,"&lt;="&amp;$I$3,GeneMTB,"Pos*",GeneRif,"Pos*")</f>
        <v>0</v>
      </c>
      <c r="G28" s="48"/>
      <c r="H28" s="49"/>
      <c r="I28" s="10" t="str">
        <f t="shared" si="1"/>
        <v/>
      </c>
    </row>
    <row r="29" spans="1:9" x14ac:dyDescent="0.2">
      <c r="A29" s="57"/>
      <c r="B29" s="12" t="s">
        <v>37</v>
      </c>
      <c r="C29" s="11">
        <f>COUNTIFS(GeneDate,"&gt;="&amp;$I$2,GeneDate,"&lt;="&amp;$I$3,GeneHIV,"Pos*",GeneMTB,"Pos*",GeneRif,"IND*")</f>
        <v>0</v>
      </c>
      <c r="D29" s="11">
        <f>COUNTIFS(GeneDate,"&gt;="&amp;$I$2,GeneDate,"&lt;="&amp;$I$3,GeneHIV,"Neg*",GeneMTB,"Pos*",GeneRif,"IND*")</f>
        <v>0</v>
      </c>
      <c r="E29" s="8">
        <f>COUNTIFS(GeneDate,"&gt;="&amp;$I$2,GeneDate,"&lt;="&amp;$I$3,GeneHIV,"Un*",GeneMTB,"Pos*",GeneRif,"IND*")</f>
        <v>0</v>
      </c>
      <c r="F29" s="8">
        <f>COUNTIFS(GeneDate,"&gt;="&amp;$I$2,GeneDate,"&lt;="&amp;$I$3,GeneMTB,"Pos*",GeneRif,"IND*")</f>
        <v>0</v>
      </c>
      <c r="G29" s="48"/>
      <c r="H29" s="49"/>
      <c r="I29" s="10" t="str">
        <f t="shared" si="1"/>
        <v/>
      </c>
    </row>
    <row r="30" spans="1:9" ht="12" customHeight="1" x14ac:dyDescent="0.2">
      <c r="E30" s="7"/>
      <c r="F30" s="7"/>
      <c r="G30" s="7"/>
    </row>
    <row r="31" spans="1:9" x14ac:dyDescent="0.2">
      <c r="A31" s="4"/>
      <c r="B31" s="25"/>
      <c r="C31" s="61" t="s">
        <v>14</v>
      </c>
      <c r="D31" s="62"/>
      <c r="E31" s="61" t="s">
        <v>16</v>
      </c>
      <c r="F31" s="62"/>
      <c r="G31" s="9" t="s">
        <v>33</v>
      </c>
    </row>
    <row r="32" spans="1:9" x14ac:dyDescent="0.2">
      <c r="A32" s="24" t="s">
        <v>62</v>
      </c>
      <c r="B32" s="24"/>
      <c r="C32" s="61">
        <f>COUNTIFS(GeneDate,"&gt;="&amp;$I$2,GeneDate,"&lt;="&amp;$I$3,GeneMTB,"Pos*",GeneRif,"Pos*",GeneSex,"Male")</f>
        <v>0</v>
      </c>
      <c r="D32" s="62"/>
      <c r="E32" s="64">
        <f>COUNTIFS(GeneDate,"&gt;="&amp;$I$2,GeneDate,"&lt;="&amp;$I$3,GeneMTB,"Pos*",GeneRif,"Pos*",GeneSex,"Female")</f>
        <v>0</v>
      </c>
      <c r="F32" s="65"/>
      <c r="G32" s="8">
        <f>COUNTIFS(GeneDate,"&gt;="&amp;$I$2,GeneDate,"&lt;="&amp;$I$3,GeneMTB,"Pos*",GeneRif,"Pos*")</f>
        <v>0</v>
      </c>
    </row>
    <row r="33" spans="1:10" ht="12" customHeight="1" x14ac:dyDescent="0.2">
      <c r="E33" s="7"/>
      <c r="F33" s="7"/>
      <c r="G33" s="7"/>
    </row>
    <row r="34" spans="1:10" x14ac:dyDescent="0.2">
      <c r="A34" s="2" t="s">
        <v>36</v>
      </c>
      <c r="E34" s="7"/>
      <c r="F34" s="7"/>
      <c r="G34" s="7"/>
    </row>
    <row r="35" spans="1:10" x14ac:dyDescent="0.2">
      <c r="A35" s="61"/>
      <c r="B35" s="62"/>
      <c r="C35" s="61" t="s">
        <v>35</v>
      </c>
      <c r="D35" s="62"/>
      <c r="E35" s="64" t="s">
        <v>34</v>
      </c>
      <c r="F35" s="65"/>
      <c r="G35" s="9" t="s">
        <v>33</v>
      </c>
    </row>
    <row r="36" spans="1:10" x14ac:dyDescent="0.2">
      <c r="A36" s="50" t="s">
        <v>32</v>
      </c>
      <c r="B36" s="50"/>
      <c r="C36" s="51">
        <f>COUNTIFS(GeneDate,"&gt;="&amp;$I$2,GeneDate,"&lt;="&amp;$I$3,GeneMTB,"Pos*",GeneMicroscope,"Pos*")</f>
        <v>0</v>
      </c>
      <c r="D36" s="52"/>
      <c r="E36" s="53">
        <f>COUNTIFS(GeneDate,"&gt;="&amp;$I$2,GeneDate,"&lt;="&amp;$I$3,GeneMTB,"Neg*",GeneMicroscope,"Pos*")</f>
        <v>0</v>
      </c>
      <c r="F36" s="54"/>
      <c r="G36" s="8">
        <f>COUNTIFS(GeneDate,"&gt;="&amp;$I$2,GeneDate,"&lt;="&amp;$I$3,GeneMicroscope,"Pos*",GeneMTB,"*tive")</f>
        <v>0</v>
      </c>
      <c r="H36" s="55" t="str">
        <f>IF($F$9=SUM(G36:G38),"","Error! Cross information between Xpert result and Microscope result are not match; possibly there will be Erorr or missing information on MTB result OR Microscope result")</f>
        <v/>
      </c>
      <c r="I36" s="56"/>
      <c r="J36" s="2" t="str">
        <f>IF(SUM(C36:F36)=G36,"","Check Total Vaue &amp; Category")</f>
        <v/>
      </c>
    </row>
    <row r="37" spans="1:10" x14ac:dyDescent="0.2">
      <c r="A37" s="50" t="s">
        <v>31</v>
      </c>
      <c r="B37" s="50"/>
      <c r="C37" s="51">
        <f>COUNTIFS(GeneDate,"&gt;="&amp;$I$2,GeneDate,"&lt;="&amp;$I$3,GeneMTB,"Pos*",GeneMicroscope,"Neg*")</f>
        <v>0</v>
      </c>
      <c r="D37" s="52"/>
      <c r="E37" s="53">
        <f>COUNTIFS(GeneDate,"&gt;="&amp;$I$2,GeneDate,"&lt;="&amp;$I$3,GeneMTB,"Neg*",GeneMicroscope,"Neg*")</f>
        <v>0</v>
      </c>
      <c r="F37" s="54"/>
      <c r="G37" s="8">
        <f>COUNTIFS(GeneDate,"&gt;="&amp;$I$2,GeneDate,"&lt;="&amp;$I$3,GeneMicroscope,"Neg*",GeneMTB,"*tive")</f>
        <v>0</v>
      </c>
      <c r="H37" s="55"/>
      <c r="I37" s="56"/>
      <c r="J37" s="2" t="str">
        <f>IF(SUM(C37:F37)=G37,"","Check Total Vaue &amp; Category")</f>
        <v/>
      </c>
    </row>
    <row r="38" spans="1:10" x14ac:dyDescent="0.2">
      <c r="A38" s="50" t="s">
        <v>30</v>
      </c>
      <c r="B38" s="50"/>
      <c r="C38" s="51">
        <f>COUNTIFS(GeneDate,"&gt;="&amp;$I$2,GeneDate,"&lt;="&amp;$I$3,GeneMTB,"Pos*",GeneMicroscope,"Not*")</f>
        <v>0</v>
      </c>
      <c r="D38" s="52"/>
      <c r="E38" s="53">
        <f>COUNTIFS(GeneDate,"&gt;="&amp;$I$2,GeneDate,"&lt;="&amp;$I$3,GeneMTB,"Neg*",GeneMicroscope,"Not*")</f>
        <v>0</v>
      </c>
      <c r="F38" s="54"/>
      <c r="G38" s="8">
        <f>COUNTIFS(GeneDate,"&gt;="&amp;$I$2,GeneDate,"&lt;="&amp;$I$3,GeneMTB,"*tive",GeneMicroscope,"Not*")</f>
        <v>0</v>
      </c>
      <c r="H38" s="55"/>
      <c r="I38" s="56"/>
      <c r="J38" s="2" t="str">
        <f>IF(SUM(C38:F38)=G38,"","Check Total Vaue &amp; Category")</f>
        <v/>
      </c>
    </row>
    <row r="39" spans="1:10" ht="12" customHeight="1" x14ac:dyDescent="0.2">
      <c r="D39" s="2" t="str">
        <f>IF(SUM(C36:D38)=SUM(F27:F29),"","Error")</f>
        <v/>
      </c>
      <c r="E39" s="7"/>
      <c r="F39" s="7"/>
      <c r="G39" s="7"/>
    </row>
    <row r="40" spans="1:10" x14ac:dyDescent="0.2">
      <c r="A40" s="2" t="s">
        <v>29</v>
      </c>
    </row>
    <row r="41" spans="1:10" x14ac:dyDescent="0.2">
      <c r="A41" s="66"/>
      <c r="B41" s="66"/>
      <c r="C41" s="61" t="s">
        <v>28</v>
      </c>
      <c r="D41" s="62"/>
      <c r="E41" s="66" t="s">
        <v>27</v>
      </c>
      <c r="F41" s="66"/>
    </row>
    <row r="42" spans="1:10" x14ac:dyDescent="0.2">
      <c r="A42" s="50" t="s">
        <v>26</v>
      </c>
      <c r="B42" s="50"/>
      <c r="C42" s="51"/>
      <c r="D42" s="52"/>
      <c r="E42" s="67"/>
      <c r="F42" s="67"/>
    </row>
    <row r="43" spans="1:10" x14ac:dyDescent="0.2">
      <c r="A43" s="50" t="s">
        <v>25</v>
      </c>
      <c r="B43" s="50"/>
      <c r="C43" s="51"/>
      <c r="D43" s="52"/>
      <c r="E43" s="67" t="s">
        <v>24</v>
      </c>
      <c r="F43" s="67"/>
    </row>
    <row r="44" spans="1:10" x14ac:dyDescent="0.2">
      <c r="A44" s="50" t="s">
        <v>23</v>
      </c>
      <c r="B44" s="50"/>
      <c r="C44" s="68">
        <f>C46+F9+C47</f>
        <v>0</v>
      </c>
      <c r="D44" s="69"/>
      <c r="E44" s="67"/>
      <c r="F44" s="67"/>
      <c r="G44" s="6"/>
    </row>
    <row r="45" spans="1:10" x14ac:dyDescent="0.2">
      <c r="A45" s="50" t="s">
        <v>22</v>
      </c>
      <c r="B45" s="50"/>
      <c r="C45" s="68">
        <f>SUM(C42+C43)-C44</f>
        <v>0</v>
      </c>
      <c r="D45" s="69"/>
      <c r="E45" s="67"/>
      <c r="F45" s="67"/>
    </row>
    <row r="46" spans="1:10" x14ac:dyDescent="0.2">
      <c r="A46" s="5" t="s">
        <v>21</v>
      </c>
      <c r="B46" s="5"/>
      <c r="C46" s="23">
        <f>COUNTIFS(GeneDate,"&gt;="&amp;$I$2,GeneDate,"&lt;="&amp;$I$3,GeneMTB,"Error")+COUNTIFS(GeneDate,"&gt;="&amp;$I$2,GeneDate,"&lt;="&amp;$I$3,GeneMTB,"Invalid")+COUNTIFS(GeneDate,"&gt;="&amp;$I$2,GeneDate,"&lt;="&amp;$I$3,GeneMTB,"*Result*")</f>
        <v>0</v>
      </c>
    </row>
    <row r="47" spans="1:10" x14ac:dyDescent="0.2">
      <c r="A47" s="5" t="s">
        <v>63</v>
      </c>
      <c r="C47" s="5">
        <v>0</v>
      </c>
    </row>
    <row r="49" spans="5:7" x14ac:dyDescent="0.2">
      <c r="E49" s="2" t="s">
        <v>20</v>
      </c>
      <c r="F49" s="4"/>
      <c r="G49" s="4"/>
    </row>
    <row r="50" spans="5:7" x14ac:dyDescent="0.2">
      <c r="E50" s="2" t="s">
        <v>19</v>
      </c>
      <c r="F50" s="3"/>
      <c r="G50" s="3"/>
    </row>
    <row r="51" spans="5:7" x14ac:dyDescent="0.2">
      <c r="E51" s="2" t="s">
        <v>18</v>
      </c>
      <c r="F51" s="3"/>
      <c r="G51" s="3"/>
    </row>
    <row r="52" spans="5:7" x14ac:dyDescent="0.2">
      <c r="E52" s="2" t="s">
        <v>17</v>
      </c>
      <c r="F52" s="3"/>
      <c r="G52" s="3"/>
    </row>
  </sheetData>
  <sheetProtection algorithmName="SHA-512" hashValue="amm8OuRaR4pYaIPrBLnNoqQBXSk06NHZH1OQ0NJtGM9iFaUKk8xdRo5UL8U8CHIn6MBlj2Ifb58YTBzeGeJJCQ==" saltValue="jbpK4A/kCZF1hyFnRewtig==" spinCount="100000" sheet="1" objects="1" scenarios="1"/>
  <protectedRanges>
    <protectedRange sqref="B4" name="Range3"/>
    <protectedRange sqref="I2:I3" name="Range2"/>
    <protectedRange sqref="C42:F43 C45 E44:F45 C47" name="Range1"/>
  </protectedRanges>
  <mergeCells count="45">
    <mergeCell ref="A45:B45"/>
    <mergeCell ref="C45:D45"/>
    <mergeCell ref="E45:F45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1:F1"/>
    <mergeCell ref="A35:B35"/>
    <mergeCell ref="C35:D35"/>
    <mergeCell ref="E35:F35"/>
    <mergeCell ref="A36:B36"/>
    <mergeCell ref="C36:D36"/>
    <mergeCell ref="E36:F36"/>
    <mergeCell ref="A7:A8"/>
    <mergeCell ref="B7:C7"/>
    <mergeCell ref="D7:E7"/>
    <mergeCell ref="F7:F8"/>
    <mergeCell ref="C32:D32"/>
    <mergeCell ref="E31:F31"/>
    <mergeCell ref="E32:F32"/>
    <mergeCell ref="G13:H15"/>
    <mergeCell ref="G16:H19"/>
    <mergeCell ref="A38:B38"/>
    <mergeCell ref="C38:D38"/>
    <mergeCell ref="E38:F38"/>
    <mergeCell ref="H36:I38"/>
    <mergeCell ref="A37:B37"/>
    <mergeCell ref="C37:D37"/>
    <mergeCell ref="E37:F37"/>
    <mergeCell ref="A26:A29"/>
    <mergeCell ref="A16:A19"/>
    <mergeCell ref="A23:A25"/>
    <mergeCell ref="G26:H29"/>
    <mergeCell ref="G23:H25"/>
    <mergeCell ref="A13:A15"/>
    <mergeCell ref="C31:D31"/>
  </mergeCells>
  <conditionalFormatting sqref="G13">
    <cfRule type="notContainsBlanks" dxfId="107" priority="6">
      <formula>LEN(TRIM(G13))&gt;0</formula>
    </cfRule>
  </conditionalFormatting>
  <conditionalFormatting sqref="G16">
    <cfRule type="notContainsBlanks" dxfId="106" priority="5">
      <formula>LEN(TRIM(G16))&gt;0</formula>
    </cfRule>
  </conditionalFormatting>
  <conditionalFormatting sqref="G23">
    <cfRule type="notContainsBlanks" dxfId="105" priority="4">
      <formula>LEN(TRIM(G23))&gt;0</formula>
    </cfRule>
  </conditionalFormatting>
  <conditionalFormatting sqref="G26">
    <cfRule type="notContainsBlanks" dxfId="104" priority="3">
      <formula>LEN(TRIM(G26))&gt;0</formula>
    </cfRule>
  </conditionalFormatting>
  <conditionalFormatting sqref="H36">
    <cfRule type="notContainsBlanks" dxfId="103" priority="2">
      <formula>LEN(TRIM(H36))&gt;0</formula>
    </cfRule>
  </conditionalFormatting>
  <conditionalFormatting sqref="I13:I19 I23:I29 J36:J38">
    <cfRule type="notContainsBlanks" dxfId="102" priority="1">
      <formula>LEN(TRIM(I13))&gt;0</formula>
    </cfRule>
  </conditionalFormatting>
  <pageMargins left="0.7" right="0.5" top="0.5" bottom="0.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J52"/>
  <sheetViews>
    <sheetView workbookViewId="0">
      <selection activeCell="B30" sqref="B30"/>
    </sheetView>
  </sheetViews>
  <sheetFormatPr baseColWidth="10" defaultColWidth="9.1640625" defaultRowHeight="15" x14ac:dyDescent="0.2"/>
  <cols>
    <col min="1" max="1" width="14" style="2" customWidth="1"/>
    <col min="2" max="2" width="25.1640625" style="2" bestFit="1" customWidth="1"/>
    <col min="3" max="3" width="9.1640625" style="2" customWidth="1"/>
    <col min="4" max="4" width="12.33203125" style="2" bestFit="1" customWidth="1"/>
    <col min="5" max="7" width="9.6640625" style="2" customWidth="1"/>
    <col min="8" max="8" width="20.33203125" style="2" customWidth="1"/>
    <col min="9" max="9" width="20.6640625" style="2" customWidth="1"/>
    <col min="10" max="10" width="14.5" style="2" customWidth="1"/>
    <col min="11" max="16384" width="9.1640625" style="2"/>
  </cols>
  <sheetData>
    <row r="1" spans="1:9" ht="19" x14ac:dyDescent="0.25">
      <c r="A1" s="63" t="s">
        <v>60</v>
      </c>
      <c r="B1" s="63"/>
      <c r="C1" s="63"/>
      <c r="D1" s="63"/>
      <c r="E1" s="63"/>
      <c r="F1" s="63"/>
      <c r="I1" s="16" t="s">
        <v>59</v>
      </c>
    </row>
    <row r="2" spans="1:9" ht="16" x14ac:dyDescent="0.2">
      <c r="H2" s="16" t="s">
        <v>58</v>
      </c>
      <c r="I2" s="28">
        <v>42401.000011574099</v>
      </c>
    </row>
    <row r="3" spans="1:9" ht="16" x14ac:dyDescent="0.2">
      <c r="A3" s="2" t="s">
        <v>57</v>
      </c>
      <c r="C3" s="18" t="str">
        <f>IF(MONTH($I$2)=1,"January",IF(MONTH($I$2)=2,"February",IF(MONTH($I$2)=3,"March",IF(MONTH($I$2)=4,"April",IF(MONTH($I$2)=5,"May",IF(MONTH($I$2)=6,"June",IF(MONTH($I$2)=7,"July",IF(MONTH($I$2)=8,"Auguest",IF(MONTH($I$2)=9,"September",IF(MONTH($I$2)=10,"October",IF(MONTH($I$2)=11,"November",IF(MONTH($I$2)=12,"December",A3))))))))))))</f>
        <v>February</v>
      </c>
      <c r="E3" s="2" t="s">
        <v>56</v>
      </c>
      <c r="F3" s="17">
        <f>YEAR($I$2)</f>
        <v>2016</v>
      </c>
      <c r="H3" s="16" t="s">
        <v>55</v>
      </c>
      <c r="I3" s="28">
        <v>42428.999988425901</v>
      </c>
    </row>
    <row r="4" spans="1:9" x14ac:dyDescent="0.2">
      <c r="A4" s="2" t="s">
        <v>54</v>
      </c>
      <c r="B4" s="2" t="s">
        <v>24</v>
      </c>
    </row>
    <row r="6" spans="1:9" x14ac:dyDescent="0.2">
      <c r="A6" s="2" t="s">
        <v>53</v>
      </c>
    </row>
    <row r="7" spans="1:9" x14ac:dyDescent="0.2">
      <c r="A7" s="66"/>
      <c r="B7" s="66" t="s">
        <v>14</v>
      </c>
      <c r="C7" s="66"/>
      <c r="D7" s="66" t="s">
        <v>16</v>
      </c>
      <c r="E7" s="66"/>
      <c r="F7" s="57" t="s">
        <v>33</v>
      </c>
    </row>
    <row r="8" spans="1:9" x14ac:dyDescent="0.2">
      <c r="A8" s="66"/>
      <c r="B8" s="27" t="s">
        <v>52</v>
      </c>
      <c r="C8" s="27" t="s">
        <v>61</v>
      </c>
      <c r="D8" s="27" t="s">
        <v>52</v>
      </c>
      <c r="E8" s="27" t="s">
        <v>61</v>
      </c>
      <c r="F8" s="57"/>
    </row>
    <row r="9" spans="1:9" x14ac:dyDescent="0.2">
      <c r="A9" s="12"/>
      <c r="B9" s="11">
        <f>COUNTIFS(GeneDate,"&gt;="&amp;$I$2,GeneDate,"&lt;="&amp;$I$3,GeneAge,"&lt;15",GeneSex,"Male",GeneMTB,"*tive")</f>
        <v>0</v>
      </c>
      <c r="C9" s="11">
        <f>COUNTIFS(GeneDate,"&gt;="&amp;$I$2,GeneDate,"&lt;="&amp;$I$3,GeneAge,"&gt;=15",GeneSex,"M*",GeneMTB,"*tive")</f>
        <v>0</v>
      </c>
      <c r="D9" s="11">
        <f>COUNTIFS(GeneDate,"&gt;="&amp;$I$2,GeneDate,"&lt;="&amp;$I$3,GeneAge,"&lt;15",GeneSex,"F*",GeneMTB,"*tive")</f>
        <v>0</v>
      </c>
      <c r="E9" s="8">
        <f>COUNTIFS(GeneDate,"&gt;="&amp;$I$2,GeneDate,"&lt;="&amp;$I$3,GeneAge,"&gt;=15",GeneSex,"F*",GeneMTB,"*tive")</f>
        <v>0</v>
      </c>
      <c r="F9" s="8">
        <f>COUNTIFS(GeneDate,"&gt;="&amp;$I$2,GeneDate,"&lt;="&amp;$I$3,GeneMTB,"*tive")</f>
        <v>0</v>
      </c>
      <c r="G9" s="7" t="str">
        <f>IF(SUM(B9:E9)=F9,"","Check Total Vaue &amp; Category")</f>
        <v/>
      </c>
      <c r="H9" s="26"/>
    </row>
    <row r="10" spans="1:9" ht="12" customHeight="1" x14ac:dyDescent="0.2">
      <c r="B10" s="19"/>
      <c r="E10" s="7"/>
      <c r="F10" s="7"/>
      <c r="G10" s="7"/>
    </row>
    <row r="11" spans="1:9" x14ac:dyDescent="0.2">
      <c r="A11" s="2" t="s">
        <v>51</v>
      </c>
      <c r="E11" s="7"/>
      <c r="F11" s="7"/>
      <c r="G11" s="7"/>
    </row>
    <row r="12" spans="1:9" x14ac:dyDescent="0.2">
      <c r="A12" s="12"/>
      <c r="B12" s="12"/>
      <c r="C12" s="27" t="s">
        <v>50</v>
      </c>
      <c r="D12" s="27" t="s">
        <v>49</v>
      </c>
      <c r="E12" s="13" t="s">
        <v>15</v>
      </c>
      <c r="F12" s="13" t="s">
        <v>33</v>
      </c>
      <c r="G12" s="7"/>
    </row>
    <row r="13" spans="1:9" ht="15" customHeight="1" x14ac:dyDescent="0.2">
      <c r="A13" s="58" t="s">
        <v>44</v>
      </c>
      <c r="B13" s="12" t="s">
        <v>43</v>
      </c>
      <c r="C13" s="11">
        <f>COUNTIFS(GeneDate,"&gt;="&amp;$I$2,GeneDate,"&lt;="&amp;$I$3,GeneMicroscope,"Pos*",GenePreviousHistory,"N*",GeneMTB,"*tive")</f>
        <v>0</v>
      </c>
      <c r="D13" s="11">
        <f>COUNTIFS(GeneDate,"&gt;="&amp;$I$2,GeneDate,"&lt;="&amp;$I$3,GeneMicroscope,"Pos*",GenePreviousHistory,"Y*",GeneMTB,"*tive")</f>
        <v>0</v>
      </c>
      <c r="E13" s="8">
        <f>COUNTIFS(GeneDate,"&gt;="&amp;$I$2,GeneDate,"&lt;="&amp;$I$3,GeneMicroscope,"Pos*",GenePreviousHistory,"Un*",GeneMTB,"*tive")</f>
        <v>0</v>
      </c>
      <c r="F13" s="8">
        <f>COUNTIFS(GeneDate,"&gt;="&amp;$I$2,GeneDate,"&lt;="&amp;$I$3,GeneMicroscope,"Pos*",GeneMTB,"*tive")</f>
        <v>0</v>
      </c>
      <c r="G13" s="48" t="str">
        <f>IF($F$9=SUM(F13:F15),"","Error! Possibly there were be Error or Missing information at Microscopy Result")</f>
        <v/>
      </c>
      <c r="H13" s="49"/>
      <c r="I13" s="10" t="str">
        <f t="shared" ref="I13:I19" si="0">IF(SUM(C13:E13)=F13,"","Check Total Vaue &amp; Category")</f>
        <v/>
      </c>
    </row>
    <row r="14" spans="1:9" x14ac:dyDescent="0.2">
      <c r="A14" s="59"/>
      <c r="B14" s="12" t="s">
        <v>42</v>
      </c>
      <c r="C14" s="11">
        <f>COUNTIFS(GeneDate,"&gt;="&amp;$I$2,GeneDate,"&lt;="&amp;$I$3,GeneMicroscope,"Neg*",GenePreviousHistory,"N*",GeneMTB,"*tive")</f>
        <v>0</v>
      </c>
      <c r="D14" s="11">
        <f>COUNTIFS(GeneDate,"&gt;="&amp;$I$2,GeneDate,"&lt;="&amp;$I$3,GeneMicroscope,"Neg*",GenePreviousHistory,"Y*",GeneMTB,"*tive")</f>
        <v>0</v>
      </c>
      <c r="E14" s="8">
        <f>COUNTIFS(GeneDate,"&gt;="&amp;$I$2,GeneDate,"&lt;="&amp;$I$3,GeneMicroscope,"Neg*",GenePreviousHistory,"Un*",GeneMTB,"*tive")</f>
        <v>0</v>
      </c>
      <c r="F14" s="8">
        <f>COUNTIFS(GeneDate,"&gt;="&amp;$I$2,GeneDate,"&lt;="&amp;$I$3,GeneMicroscope,"Neg*",GeneMTB,"*tive")</f>
        <v>0</v>
      </c>
      <c r="G14" s="48"/>
      <c r="H14" s="49"/>
      <c r="I14" s="10" t="str">
        <f t="shared" si="0"/>
        <v/>
      </c>
    </row>
    <row r="15" spans="1:9" x14ac:dyDescent="0.2">
      <c r="A15" s="60"/>
      <c r="B15" s="12" t="s">
        <v>41</v>
      </c>
      <c r="C15" s="11">
        <f>COUNTIFS(GeneDate,"&gt;="&amp;$I$2,GeneDate,"&lt;="&amp;$I$3,GeneMicroscope,"Not*",GenePreviousHistory,"N*",GeneMTB,"*tive")</f>
        <v>0</v>
      </c>
      <c r="D15" s="11">
        <f>COUNTIFS(GeneDate,"&gt;="&amp;$I$2,GeneDate,"&lt;="&amp;$I$3,GeneMicroscope,"Not*",GenePreviousHistory,"Y*",GeneMTB,"*tive")</f>
        <v>0</v>
      </c>
      <c r="E15" s="8">
        <f>COUNTIFS(GeneDate,"&gt;="&amp;$I$2,GeneDate,"&lt;="&amp;$I$3,GeneMicroscope,"Not*",GenePreviousHistory,"Un*",GeneMTB,"*tive")</f>
        <v>0</v>
      </c>
      <c r="F15" s="8">
        <f>COUNTIFS(GeneDate,"&gt;="&amp;$I$2,GeneDate,"&lt;="&amp;$I$3,GeneMicroscope,"Not*",GeneMTB,"*tive")</f>
        <v>0</v>
      </c>
      <c r="G15" s="48"/>
      <c r="H15" s="49"/>
      <c r="I15" s="10" t="str">
        <f t="shared" si="0"/>
        <v/>
      </c>
    </row>
    <row r="16" spans="1:9" x14ac:dyDescent="0.2">
      <c r="A16" s="57" t="s">
        <v>40</v>
      </c>
      <c r="B16" s="12" t="s">
        <v>13</v>
      </c>
      <c r="C16" s="11">
        <f>COUNTIFS(GeneDate,"&gt;="&amp;$I$2,GeneDate,"&lt;="&amp;$I$3,GenePreviousHistory,"N*",GeneMTB,"Neg*")</f>
        <v>0</v>
      </c>
      <c r="D16" s="11">
        <f>COUNTIFS(GeneDate,"&gt;="&amp;$I$2,GeneDate,"&lt;="&amp;$I$3,GenePreviousHistory,"Y*",GeneMTB,"Neg*")</f>
        <v>0</v>
      </c>
      <c r="E16" s="8">
        <f>F16-(C16+D16)</f>
        <v>0</v>
      </c>
      <c r="F16" s="8">
        <f>COUNTIFS(GeneDate,"&gt;="&amp;$I$2,GeneDate,"&lt;="&amp;$I$3,GeneMTB,"Neg*")</f>
        <v>0</v>
      </c>
      <c r="G16" s="48" t="str">
        <f>IF($F$9=SUM(F16:F19),"","Error! Cross information between Xpert result and treatment category are not match; possibly there will be Erorr or missing information on MTB result OR RIF result")</f>
        <v/>
      </c>
      <c r="H16" s="49"/>
      <c r="I16" s="10" t="str">
        <f t="shared" si="0"/>
        <v/>
      </c>
    </row>
    <row r="17" spans="1:9" x14ac:dyDescent="0.2">
      <c r="A17" s="57"/>
      <c r="B17" s="12" t="s">
        <v>39</v>
      </c>
      <c r="C17" s="11">
        <f>COUNTIFS(GeneDate,"&gt;="&amp;$I$2,GeneDate,"&lt;="&amp;$I$3,GenePreviousHistory,"N*",GeneMTB,"Pos*",GeneRif,"Neg*")</f>
        <v>0</v>
      </c>
      <c r="D17" s="11">
        <f>COUNTIFS(GeneDate,"&gt;="&amp;$I$2,GeneDate,"&lt;="&amp;$I$3,GenePreviousHistory,"Y*",GeneMTB,"Pos*",GeneRif,"Neg*")</f>
        <v>0</v>
      </c>
      <c r="E17" s="8">
        <f>F17-(C17+D17)</f>
        <v>0</v>
      </c>
      <c r="F17" s="8">
        <f>COUNTIFS(GeneDate,"&gt;="&amp;$I$2,GeneDate,"&lt;="&amp;$I$3,GeneMTB,"Pos*",GeneRif,"Neg*")</f>
        <v>0</v>
      </c>
      <c r="G17" s="48"/>
      <c r="H17" s="49"/>
      <c r="I17" s="10" t="str">
        <f t="shared" si="0"/>
        <v/>
      </c>
    </row>
    <row r="18" spans="1:9" x14ac:dyDescent="0.2">
      <c r="A18" s="57"/>
      <c r="B18" s="12" t="s">
        <v>38</v>
      </c>
      <c r="C18" s="11">
        <f>COUNTIFS(GeneDate,"&gt;="&amp;$I$2,GeneDate,"&lt;="&amp;$I$3,GenePreviousHistory,"N*",GeneMTB,"Pos*",GeneRif,"Pos*")</f>
        <v>0</v>
      </c>
      <c r="D18" s="11">
        <f>COUNTIFS(GeneDate,"&gt;="&amp;$I$2,GeneDate,"&lt;="&amp;$I$3,GenePreviousHistory,"Y*",GeneMTB,"Pos*",GeneRif,"Pos*")</f>
        <v>0</v>
      </c>
      <c r="E18" s="8">
        <f>F18-(C18+D18)</f>
        <v>0</v>
      </c>
      <c r="F18" s="8">
        <f>COUNTIFS(GeneDate,"&gt;="&amp;$I$2,GeneDate,"&lt;="&amp;$I$3,GeneMTB,"Pos*",GeneRif,"Pos*")</f>
        <v>0</v>
      </c>
      <c r="G18" s="48"/>
      <c r="H18" s="49"/>
      <c r="I18" s="10" t="str">
        <f t="shared" si="0"/>
        <v/>
      </c>
    </row>
    <row r="19" spans="1:9" x14ac:dyDescent="0.2">
      <c r="A19" s="57"/>
      <c r="B19" s="12" t="s">
        <v>48</v>
      </c>
      <c r="C19" s="11">
        <f>COUNTIFS(GeneDate,"&gt;="&amp;$I$2,GeneDate,"&lt;="&amp;$I$3,GenePreviousHistory,"N*",GeneMTB,"Pos*",GeneRif,"IND*")</f>
        <v>0</v>
      </c>
      <c r="D19" s="11">
        <f>COUNTIFS(GeneDate,"&gt;="&amp;$I$2,GeneDate,"&lt;="&amp;$I$3,GenePreviousHistory,"Y*",GeneMTB,"Pos*",GeneRif,"IND*")</f>
        <v>0</v>
      </c>
      <c r="E19" s="8">
        <f>F19-(C19+D19)</f>
        <v>0</v>
      </c>
      <c r="F19" s="8">
        <f>COUNTIFS(GeneDate,"&gt;="&amp;$I$2,GeneDate,"&lt;="&amp;$I$3,GeneMTB,"Pos*",GeneRif,"IND*")</f>
        <v>0</v>
      </c>
      <c r="G19" s="48"/>
      <c r="H19" s="49"/>
      <c r="I19" s="10" t="str">
        <f t="shared" si="0"/>
        <v/>
      </c>
    </row>
    <row r="20" spans="1:9" ht="12" customHeight="1" x14ac:dyDescent="0.2">
      <c r="E20" s="7"/>
      <c r="F20" s="7"/>
      <c r="G20" s="7"/>
    </row>
    <row r="21" spans="1:9" x14ac:dyDescent="0.2">
      <c r="A21" s="2" t="s">
        <v>47</v>
      </c>
      <c r="E21" s="7"/>
      <c r="F21" s="7"/>
      <c r="G21" s="7"/>
    </row>
    <row r="22" spans="1:9" ht="30" x14ac:dyDescent="0.2">
      <c r="A22" s="12"/>
      <c r="B22" s="12"/>
      <c r="C22" s="14" t="s">
        <v>46</v>
      </c>
      <c r="D22" s="14" t="s">
        <v>45</v>
      </c>
      <c r="E22" s="13" t="s">
        <v>15</v>
      </c>
      <c r="F22" s="13" t="s">
        <v>33</v>
      </c>
      <c r="G22" s="7"/>
    </row>
    <row r="23" spans="1:9" ht="15" customHeight="1" x14ac:dyDescent="0.2">
      <c r="A23" s="58" t="s">
        <v>44</v>
      </c>
      <c r="B23" s="12" t="s">
        <v>43</v>
      </c>
      <c r="C23" s="11">
        <f>COUNTIFS(GeneDate,"&gt;="&amp;$I$2,GeneDate,"&lt;="&amp;$I$3,GeneMicroscope,"Pos*",GeneHIV,"Pos*",GeneMTB,"*tive")</f>
        <v>0</v>
      </c>
      <c r="D23" s="11">
        <f>COUNTIFS(GeneDate,"&gt;="&amp;$I$2,GeneDate,"&lt;="&amp;$I$3,GeneMicroscope,"Pos*",GeneHIV,"Neg*",GeneMTB,"*tive")</f>
        <v>0</v>
      </c>
      <c r="E23" s="8">
        <f>COUNTIFS(GeneDate,"&gt;="&amp;$I$2,GeneDate,"&lt;="&amp;$I$3,GeneMicroscope,"Pos*",GeneHIV,"Un*",GeneMTB,"*tive")</f>
        <v>0</v>
      </c>
      <c r="F23" s="8">
        <f>COUNTIFS(GeneDate,"&gt;="&amp;$I$2,GeneDate,"&lt;="&amp;$I$3,GeneMicroscope,"Pos*",GeneMTB,"*tive")</f>
        <v>0</v>
      </c>
      <c r="G23" s="48" t="str">
        <f>IF($F$9=SUM(F23:F25),"","Error! Cross information between Microscope Result and HIV Status are not match; possibly there will be Erorr or missing information on Microscope Result OR HIV Status")</f>
        <v/>
      </c>
      <c r="H23" s="49"/>
      <c r="I23" s="10" t="str">
        <f t="shared" ref="I23:I29" si="1">IF(SUM(C23:E23)=F23,"","Check Total Vaue &amp; Category")</f>
        <v/>
      </c>
    </row>
    <row r="24" spans="1:9" x14ac:dyDescent="0.2">
      <c r="A24" s="59"/>
      <c r="B24" s="12" t="s">
        <v>42</v>
      </c>
      <c r="C24" s="11">
        <f>COUNTIFS(GeneDate,"&gt;="&amp;$I$2,GeneDate,"&lt;="&amp;$I$3,GeneMicroscope,"Neg*",GeneHIV,"Pos*",GeneMTB,"*tive")</f>
        <v>0</v>
      </c>
      <c r="D24" s="11">
        <f>COUNTIFS(GeneDate,"&gt;="&amp;$I$2,GeneDate,"&lt;="&amp;$I$3,GeneMicroscope,"Neg*",GeneHIV,"Neg*",GeneMTB,"*tive")</f>
        <v>0</v>
      </c>
      <c r="E24" s="8">
        <f>COUNTIFS(GeneDate,"&gt;="&amp;$I$2,GeneDate,"&lt;="&amp;$I$3,GeneMicroscope,"Neg*",GeneHIV,"Un*",GeneMTB,"*tive")</f>
        <v>0</v>
      </c>
      <c r="F24" s="8">
        <f>COUNTIFS(GeneDate,"&gt;="&amp;$I$2,GeneDate,"&lt;="&amp;$I$3,GeneMicroscope,"Neg*",GeneMTB,"*tive")</f>
        <v>0</v>
      </c>
      <c r="G24" s="48"/>
      <c r="H24" s="49"/>
      <c r="I24" s="10" t="str">
        <f t="shared" si="1"/>
        <v/>
      </c>
    </row>
    <row r="25" spans="1:9" x14ac:dyDescent="0.2">
      <c r="A25" s="60"/>
      <c r="B25" s="12" t="s">
        <v>41</v>
      </c>
      <c r="C25" s="11">
        <f>COUNTIFS(GeneDate,"&gt;="&amp;$I$2,GeneDate,"&lt;="&amp;$I$3,GeneMicroscope,"Not*",GeneHIV,"Pos*",GeneMTB,"*tive")</f>
        <v>0</v>
      </c>
      <c r="D25" s="11">
        <f>COUNTIFS(GeneDate,"&gt;="&amp;$I$2,GeneDate,"&lt;="&amp;$I$3,GeneMicroscope,"Not*",GeneHIV,"Neg*",GeneMTB,"*tive")</f>
        <v>0</v>
      </c>
      <c r="E25" s="8">
        <f>COUNTIFS(GeneDate,"&gt;="&amp;$I$2,GeneDate,"&lt;="&amp;$I$3,GeneMicroscope,"Not*",GeneHIV,"Un*",GeneMTB,"*tive")</f>
        <v>0</v>
      </c>
      <c r="F25" s="8">
        <f>COUNTIFS(GeneDate,"&gt;="&amp;$I$2,GeneDate,"&lt;="&amp;$I$3,GeneMicroscope,"Not*",GeneMTB,"*tive")</f>
        <v>0</v>
      </c>
      <c r="G25" s="48"/>
      <c r="H25" s="49"/>
      <c r="I25" s="10" t="str">
        <f t="shared" si="1"/>
        <v/>
      </c>
    </row>
    <row r="26" spans="1:9" x14ac:dyDescent="0.2">
      <c r="A26" s="57" t="s">
        <v>40</v>
      </c>
      <c r="B26" s="12" t="s">
        <v>13</v>
      </c>
      <c r="C26" s="11">
        <f>COUNTIFS(GeneDate,"&gt;="&amp;$I$2,GeneDate,"&lt;="&amp;$I$3,GeneHIV,"Pos*",GeneMTB,"Neg*")</f>
        <v>0</v>
      </c>
      <c r="D26" s="11">
        <f>COUNTIFS(GeneDate,"&gt;="&amp;$I$2,GeneDate,"&lt;="&amp;$I$3,GeneHIV,"Neg*",GeneMTB,"Neg*")</f>
        <v>0</v>
      </c>
      <c r="E26" s="8">
        <f>COUNTIFS(GeneDate,"&gt;="&amp;$I$2,GeneDate,"&lt;="&amp;$I$3,GeneHIV,"Un*",GeneMTB,"Neg*")</f>
        <v>0</v>
      </c>
      <c r="F26" s="8">
        <f>COUNTIFS(GeneDate,"&gt;="&amp;$I$2,GeneDate,"&lt;="&amp;$I$3,GeneMTB,"*tive",GeneMTB,"Neg*")</f>
        <v>0</v>
      </c>
      <c r="G26" s="48" t="str">
        <f>IF($F$9=SUM(F26:F29),"","Error! Cross information between Xpert result and HIV Status are not match; possibly there will be Erorr or missing information on MTB result OR HIV Status")</f>
        <v/>
      </c>
      <c r="H26" s="49"/>
      <c r="I26" s="10" t="str">
        <f t="shared" si="1"/>
        <v/>
      </c>
    </row>
    <row r="27" spans="1:9" x14ac:dyDescent="0.2">
      <c r="A27" s="57"/>
      <c r="B27" s="12" t="s">
        <v>39</v>
      </c>
      <c r="C27" s="11">
        <f>COUNTIFS(GeneDate,"&gt;="&amp;$I$2,GeneDate,"&lt;="&amp;$I$3,GeneHIV,"Pos*",GeneMTB,"Pos*",GeneRif,"Neg*")</f>
        <v>0</v>
      </c>
      <c r="D27" s="11">
        <f>COUNTIFS(GeneDate,"&gt;="&amp;$I$2,GeneDate,"&lt;="&amp;$I$3,GeneHIV,"Neg*",GeneMTB,"Pos*",GeneRif,"Neg*")</f>
        <v>0</v>
      </c>
      <c r="E27" s="8">
        <f>COUNTIFS(GeneDate,"&gt;="&amp;$I$2,GeneDate,"&lt;="&amp;$I$3,GeneHIV,"Un*",GeneMTB,"Pos*",GeneRif,"Neg*")</f>
        <v>0</v>
      </c>
      <c r="F27" s="8">
        <f>COUNTIFS(GeneDate,"&gt;="&amp;$I$2,GeneDate,"&lt;="&amp;$I$3,GeneMTB,"Pos*",GeneRif,"Neg*")</f>
        <v>0</v>
      </c>
      <c r="G27" s="48"/>
      <c r="H27" s="49"/>
      <c r="I27" s="10" t="str">
        <f t="shared" si="1"/>
        <v/>
      </c>
    </row>
    <row r="28" spans="1:9" x14ac:dyDescent="0.2">
      <c r="A28" s="57"/>
      <c r="B28" s="12" t="s">
        <v>38</v>
      </c>
      <c r="C28" s="11">
        <f>COUNTIFS(GeneDate,"&gt;="&amp;$I$2,GeneDate,"&lt;="&amp;$I$3,GeneHIV,"Pos*",GeneMTB,"Pos*",GeneRif,"Pos*")</f>
        <v>0</v>
      </c>
      <c r="D28" s="11">
        <f>COUNTIFS(GeneDate,"&gt;="&amp;$I$2,GeneDate,"&lt;="&amp;$I$3,GeneHIV,"Neg*",GeneMTB,"Pos*",GeneRif,"Pos*")</f>
        <v>0</v>
      </c>
      <c r="E28" s="8">
        <f>COUNTIFS(GeneDate,"&gt;="&amp;$I$2,GeneDate,"&lt;="&amp;$I$3,GeneHIV,"Un*",GeneMTB,"Pos*",GeneRif,"Pos*")</f>
        <v>0</v>
      </c>
      <c r="F28" s="8">
        <f>COUNTIFS(GeneDate,"&gt;="&amp;$I$2,GeneDate,"&lt;="&amp;$I$3,GeneMTB,"Pos*",GeneRif,"Pos*")</f>
        <v>0</v>
      </c>
      <c r="G28" s="48"/>
      <c r="H28" s="49"/>
      <c r="I28" s="10" t="str">
        <f t="shared" si="1"/>
        <v/>
      </c>
    </row>
    <row r="29" spans="1:9" x14ac:dyDescent="0.2">
      <c r="A29" s="57"/>
      <c r="B29" s="12" t="s">
        <v>37</v>
      </c>
      <c r="C29" s="11">
        <f>COUNTIFS(GeneDate,"&gt;="&amp;$I$2,GeneDate,"&lt;="&amp;$I$3,GeneHIV,"Pos*",GeneMTB,"Pos*",GeneRif,"IND*")</f>
        <v>0</v>
      </c>
      <c r="D29" s="11">
        <f>COUNTIFS(GeneDate,"&gt;="&amp;$I$2,GeneDate,"&lt;="&amp;$I$3,GeneHIV,"Neg*",GeneMTB,"Pos*",GeneRif,"IND*")</f>
        <v>0</v>
      </c>
      <c r="E29" s="8">
        <f>COUNTIFS(GeneDate,"&gt;="&amp;$I$2,GeneDate,"&lt;="&amp;$I$3,GeneHIV,"Un*",GeneMTB,"Pos*",GeneRif,"IND*")</f>
        <v>0</v>
      </c>
      <c r="F29" s="8">
        <f>COUNTIFS(GeneDate,"&gt;="&amp;$I$2,GeneDate,"&lt;="&amp;$I$3,GeneMTB,"Pos*",GeneRif,"IND*")</f>
        <v>0</v>
      </c>
      <c r="G29" s="48"/>
      <c r="H29" s="49"/>
      <c r="I29" s="10" t="str">
        <f t="shared" si="1"/>
        <v/>
      </c>
    </row>
    <row r="30" spans="1:9" ht="12" customHeight="1" x14ac:dyDescent="0.2">
      <c r="E30" s="7"/>
      <c r="F30" s="7"/>
      <c r="G30" s="7"/>
    </row>
    <row r="31" spans="1:9" x14ac:dyDescent="0.2">
      <c r="A31" s="4"/>
      <c r="B31" s="25"/>
      <c r="C31" s="61" t="s">
        <v>14</v>
      </c>
      <c r="D31" s="62"/>
      <c r="E31" s="61" t="s">
        <v>16</v>
      </c>
      <c r="F31" s="62"/>
      <c r="G31" s="9" t="s">
        <v>33</v>
      </c>
    </row>
    <row r="32" spans="1:9" x14ac:dyDescent="0.2">
      <c r="A32" s="24" t="s">
        <v>62</v>
      </c>
      <c r="B32" s="24"/>
      <c r="C32" s="61">
        <f>COUNTIFS(GeneDate,"&gt;="&amp;$I$2,GeneDate,"&lt;="&amp;$I$3,GeneMTB,"Pos*",GeneRif,"Pos*",GeneSex,"Male")</f>
        <v>0</v>
      </c>
      <c r="D32" s="62"/>
      <c r="E32" s="64">
        <f>COUNTIFS(GeneDate,"&gt;="&amp;$I$2,GeneDate,"&lt;="&amp;$I$3,GeneMTB,"Pos*",GeneRif,"Pos*",GeneSex,"Female")</f>
        <v>0</v>
      </c>
      <c r="F32" s="65"/>
      <c r="G32" s="8">
        <f>COUNTIFS(GeneDate,"&gt;="&amp;$I$2,GeneDate,"&lt;="&amp;$I$3,GeneMTB,"Pos*",GeneRif,"Pos*")</f>
        <v>0</v>
      </c>
    </row>
    <row r="33" spans="1:10" ht="12" customHeight="1" x14ac:dyDescent="0.2">
      <c r="E33" s="7"/>
      <c r="F33" s="7"/>
      <c r="G33" s="7"/>
    </row>
    <row r="34" spans="1:10" x14ac:dyDescent="0.2">
      <c r="A34" s="2" t="s">
        <v>36</v>
      </c>
      <c r="E34" s="7"/>
      <c r="F34" s="7"/>
      <c r="G34" s="7"/>
    </row>
    <row r="35" spans="1:10" x14ac:dyDescent="0.2">
      <c r="A35" s="61"/>
      <c r="B35" s="62"/>
      <c r="C35" s="61" t="s">
        <v>35</v>
      </c>
      <c r="D35" s="62"/>
      <c r="E35" s="64" t="s">
        <v>34</v>
      </c>
      <c r="F35" s="65"/>
      <c r="G35" s="9" t="s">
        <v>33</v>
      </c>
    </row>
    <row r="36" spans="1:10" x14ac:dyDescent="0.2">
      <c r="A36" s="50" t="s">
        <v>32</v>
      </c>
      <c r="B36" s="50"/>
      <c r="C36" s="51">
        <f>COUNTIFS(GeneDate,"&gt;="&amp;$I$2,GeneDate,"&lt;="&amp;$I$3,GeneMTB,"Pos*",GeneMicroscope,"Pos*")</f>
        <v>0</v>
      </c>
      <c r="D36" s="52"/>
      <c r="E36" s="53">
        <f>COUNTIFS(GeneDate,"&gt;="&amp;$I$2,GeneDate,"&lt;="&amp;$I$3,GeneMTB,"Neg*",GeneMicroscope,"Pos*")</f>
        <v>0</v>
      </c>
      <c r="F36" s="54"/>
      <c r="G36" s="8">
        <f>COUNTIFS(GeneDate,"&gt;="&amp;$I$2,GeneDate,"&lt;="&amp;$I$3,GeneMicroscope,"Pos*",GeneMTB,"*tive")</f>
        <v>0</v>
      </c>
      <c r="H36" s="55" t="str">
        <f>IF($F$9=SUM(G36:G38),"","Error! Cross information between Xpert result and Microscope result are not match; possibly there will be Erorr or missing information on MTB result OR Microscope result")</f>
        <v/>
      </c>
      <c r="I36" s="56"/>
      <c r="J36" s="2" t="str">
        <f>IF(SUM(C36:F36)=G36,"","Check Total Vaue &amp; Category")</f>
        <v/>
      </c>
    </row>
    <row r="37" spans="1:10" x14ac:dyDescent="0.2">
      <c r="A37" s="50" t="s">
        <v>31</v>
      </c>
      <c r="B37" s="50"/>
      <c r="C37" s="51">
        <f>COUNTIFS(GeneDate,"&gt;="&amp;$I$2,GeneDate,"&lt;="&amp;$I$3,GeneMTB,"Pos*",GeneMicroscope,"Neg*")</f>
        <v>0</v>
      </c>
      <c r="D37" s="52"/>
      <c r="E37" s="53">
        <f>COUNTIFS(GeneDate,"&gt;="&amp;$I$2,GeneDate,"&lt;="&amp;$I$3,GeneMTB,"Neg*",GeneMicroscope,"Neg*")</f>
        <v>0</v>
      </c>
      <c r="F37" s="54"/>
      <c r="G37" s="8">
        <f>COUNTIFS(GeneDate,"&gt;="&amp;$I$2,GeneDate,"&lt;="&amp;$I$3,GeneMicroscope,"Neg*",GeneMTB,"*tive")</f>
        <v>0</v>
      </c>
      <c r="H37" s="55"/>
      <c r="I37" s="56"/>
      <c r="J37" s="2" t="str">
        <f>IF(SUM(C37:F37)=G37,"","Check Total Vaue &amp; Category")</f>
        <v/>
      </c>
    </row>
    <row r="38" spans="1:10" x14ac:dyDescent="0.2">
      <c r="A38" s="50" t="s">
        <v>30</v>
      </c>
      <c r="B38" s="50"/>
      <c r="C38" s="51">
        <f>COUNTIFS(GeneDate,"&gt;="&amp;$I$2,GeneDate,"&lt;="&amp;$I$3,GeneMTB,"Pos*",GeneMicroscope,"Not*")</f>
        <v>0</v>
      </c>
      <c r="D38" s="52"/>
      <c r="E38" s="53">
        <f>COUNTIFS(GeneDate,"&gt;="&amp;$I$2,GeneDate,"&lt;="&amp;$I$3,GeneMTB,"Neg*",GeneMicroscope,"Not*")</f>
        <v>0</v>
      </c>
      <c r="F38" s="54"/>
      <c r="G38" s="8">
        <f>COUNTIFS(GeneDate,"&gt;="&amp;$I$2,GeneDate,"&lt;="&amp;$I$3,GeneMTB,"*tive",GeneMicroscope,"Not*")</f>
        <v>0</v>
      </c>
      <c r="H38" s="55"/>
      <c r="I38" s="56"/>
      <c r="J38" s="2" t="str">
        <f>IF(SUM(C38:F38)=G38,"","Check Total Vaue &amp; Category")</f>
        <v/>
      </c>
    </row>
    <row r="39" spans="1:10" ht="12" customHeight="1" x14ac:dyDescent="0.2">
      <c r="D39" s="2" t="str">
        <f>IF(SUM(C36:D38)=SUM(F27:F29),"","Error")</f>
        <v/>
      </c>
      <c r="E39" s="7"/>
      <c r="F39" s="7"/>
      <c r="G39" s="7"/>
    </row>
    <row r="40" spans="1:10" x14ac:dyDescent="0.2">
      <c r="A40" s="2" t="s">
        <v>29</v>
      </c>
    </row>
    <row r="41" spans="1:10" x14ac:dyDescent="0.2">
      <c r="A41" s="66"/>
      <c r="B41" s="66"/>
      <c r="C41" s="61" t="s">
        <v>28</v>
      </c>
      <c r="D41" s="62"/>
      <c r="E41" s="66" t="s">
        <v>27</v>
      </c>
      <c r="F41" s="66"/>
    </row>
    <row r="42" spans="1:10" x14ac:dyDescent="0.2">
      <c r="A42" s="50" t="s">
        <v>26</v>
      </c>
      <c r="B42" s="50"/>
      <c r="C42" s="51"/>
      <c r="D42" s="52"/>
      <c r="E42" s="67"/>
      <c r="F42" s="67"/>
    </row>
    <row r="43" spans="1:10" x14ac:dyDescent="0.2">
      <c r="A43" s="50" t="s">
        <v>25</v>
      </c>
      <c r="B43" s="50"/>
      <c r="C43" s="51"/>
      <c r="D43" s="52"/>
      <c r="E43" s="67" t="s">
        <v>24</v>
      </c>
      <c r="F43" s="67"/>
    </row>
    <row r="44" spans="1:10" x14ac:dyDescent="0.2">
      <c r="A44" s="50" t="s">
        <v>23</v>
      </c>
      <c r="B44" s="50"/>
      <c r="C44" s="68">
        <f>C46+F9+C47</f>
        <v>0</v>
      </c>
      <c r="D44" s="69"/>
      <c r="E44" s="67"/>
      <c r="F44" s="67"/>
      <c r="G44" s="6"/>
    </row>
    <row r="45" spans="1:10" x14ac:dyDescent="0.2">
      <c r="A45" s="50" t="s">
        <v>22</v>
      </c>
      <c r="B45" s="50"/>
      <c r="C45" s="68">
        <f>SUM(C42+C43)-C44</f>
        <v>0</v>
      </c>
      <c r="D45" s="69"/>
      <c r="E45" s="67"/>
      <c r="F45" s="67"/>
    </row>
    <row r="46" spans="1:10" x14ac:dyDescent="0.2">
      <c r="A46" s="5" t="s">
        <v>21</v>
      </c>
      <c r="B46" s="5"/>
      <c r="C46" s="23">
        <f>COUNTIFS(GeneDate,"&gt;="&amp;$I$2,GeneDate,"&lt;="&amp;$I$3,GeneMTB,"Error")+COUNTIFS(GeneDate,"&gt;="&amp;$I$2,GeneDate,"&lt;="&amp;$I$3,GeneMTB,"Invalid")+COUNTIFS(GeneDate,"&gt;="&amp;$I$2,GeneDate,"&lt;="&amp;$I$3,GeneMTB,"*Result*")</f>
        <v>0</v>
      </c>
    </row>
    <row r="47" spans="1:10" x14ac:dyDescent="0.2">
      <c r="A47" s="5" t="s">
        <v>63</v>
      </c>
      <c r="C47" s="5">
        <v>0</v>
      </c>
    </row>
    <row r="49" spans="5:7" x14ac:dyDescent="0.2">
      <c r="E49" s="2" t="s">
        <v>20</v>
      </c>
      <c r="F49" s="4"/>
      <c r="G49" s="4"/>
    </row>
    <row r="50" spans="5:7" x14ac:dyDescent="0.2">
      <c r="E50" s="2" t="s">
        <v>19</v>
      </c>
      <c r="F50" s="3"/>
      <c r="G50" s="3"/>
    </row>
    <row r="51" spans="5:7" x14ac:dyDescent="0.2">
      <c r="E51" s="2" t="s">
        <v>18</v>
      </c>
      <c r="F51" s="3"/>
      <c r="G51" s="3"/>
    </row>
    <row r="52" spans="5:7" x14ac:dyDescent="0.2">
      <c r="E52" s="2" t="s">
        <v>17</v>
      </c>
      <c r="F52" s="3"/>
      <c r="G52" s="3"/>
    </row>
  </sheetData>
  <sheetProtection algorithmName="SHA-512" hashValue="uc+GMcUFWzFzVzf0BGO19GxuQ5mkkMR91YGRLLj1Eu2oj293oC1ou3nsgTgvaD7sQWXJEJPV9VMtbilKn0DNYg==" saltValue="BepeqjRS6k+X19Oh/LSCRw==" spinCount="100000" sheet="1" objects="1" scenarios="1"/>
  <protectedRanges>
    <protectedRange sqref="C42:F43 C45 E44:F45 C47" name="Range1"/>
    <protectedRange sqref="I2:I3" name="Range2"/>
    <protectedRange sqref="B4" name="Range3"/>
  </protectedRanges>
  <mergeCells count="45">
    <mergeCell ref="A45:B45"/>
    <mergeCell ref="C45:D45"/>
    <mergeCell ref="E45:F45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6:B36"/>
    <mergeCell ref="C36:D36"/>
    <mergeCell ref="E36:F36"/>
    <mergeCell ref="H36:I38"/>
    <mergeCell ref="A37:B37"/>
    <mergeCell ref="C37:D37"/>
    <mergeCell ref="E37:F37"/>
    <mergeCell ref="A38:B38"/>
    <mergeCell ref="C38:D38"/>
    <mergeCell ref="E38:F38"/>
    <mergeCell ref="C31:D31"/>
    <mergeCell ref="E31:F31"/>
    <mergeCell ref="C32:D32"/>
    <mergeCell ref="E32:F32"/>
    <mergeCell ref="A35:B35"/>
    <mergeCell ref="C35:D35"/>
    <mergeCell ref="E35:F35"/>
    <mergeCell ref="A26:A29"/>
    <mergeCell ref="G26:H29"/>
    <mergeCell ref="A1:F1"/>
    <mergeCell ref="A7:A8"/>
    <mergeCell ref="B7:C7"/>
    <mergeCell ref="D7:E7"/>
    <mergeCell ref="F7:F8"/>
    <mergeCell ref="A13:A15"/>
    <mergeCell ref="G13:H15"/>
    <mergeCell ref="A16:A19"/>
    <mergeCell ref="G16:H19"/>
    <mergeCell ref="A23:A25"/>
    <mergeCell ref="G23:H25"/>
  </mergeCells>
  <conditionalFormatting sqref="G13">
    <cfRule type="notContainsBlanks" dxfId="101" priority="6">
      <formula>LEN(TRIM(G13))&gt;0</formula>
    </cfRule>
  </conditionalFormatting>
  <conditionalFormatting sqref="G16">
    <cfRule type="notContainsBlanks" dxfId="100" priority="5">
      <formula>LEN(TRIM(G16))&gt;0</formula>
    </cfRule>
  </conditionalFormatting>
  <conditionalFormatting sqref="G23">
    <cfRule type="notContainsBlanks" dxfId="99" priority="4">
      <formula>LEN(TRIM(G23))&gt;0</formula>
    </cfRule>
  </conditionalFormatting>
  <conditionalFormatting sqref="G26">
    <cfRule type="notContainsBlanks" dxfId="98" priority="3">
      <formula>LEN(TRIM(G26))&gt;0</formula>
    </cfRule>
  </conditionalFormatting>
  <conditionalFormatting sqref="H36">
    <cfRule type="notContainsBlanks" dxfId="97" priority="2">
      <formula>LEN(TRIM(H36))&gt;0</formula>
    </cfRule>
  </conditionalFormatting>
  <conditionalFormatting sqref="I13:I19 I23:I29 J36:J38">
    <cfRule type="notContainsBlanks" dxfId="96" priority="1">
      <formula>LEN(TRIM(I13))&gt;0</formula>
    </cfRule>
  </conditionalFormatting>
  <pageMargins left="0.7" right="0.5" top="0.5" bottom="0.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J52"/>
  <sheetViews>
    <sheetView topLeftCell="A19" workbookViewId="0">
      <selection activeCell="I4" sqref="I4"/>
    </sheetView>
  </sheetViews>
  <sheetFormatPr baseColWidth="10" defaultColWidth="9.1640625" defaultRowHeight="15" x14ac:dyDescent="0.2"/>
  <cols>
    <col min="1" max="1" width="14" style="2" customWidth="1"/>
    <col min="2" max="2" width="25.1640625" style="2" bestFit="1" customWidth="1"/>
    <col min="3" max="3" width="9.1640625" style="2" customWidth="1"/>
    <col min="4" max="4" width="12.33203125" style="2" bestFit="1" customWidth="1"/>
    <col min="5" max="7" width="9.6640625" style="2" customWidth="1"/>
    <col min="8" max="8" width="20.33203125" style="2" customWidth="1"/>
    <col min="9" max="9" width="20.6640625" style="2" customWidth="1"/>
    <col min="10" max="10" width="14.5" style="2" customWidth="1"/>
    <col min="11" max="16384" width="9.1640625" style="2"/>
  </cols>
  <sheetData>
    <row r="1" spans="1:9" ht="19" x14ac:dyDescent="0.25">
      <c r="A1" s="63" t="s">
        <v>60</v>
      </c>
      <c r="B1" s="63"/>
      <c r="C1" s="63"/>
      <c r="D1" s="63"/>
      <c r="E1" s="63"/>
      <c r="F1" s="63"/>
      <c r="I1" s="16" t="s">
        <v>59</v>
      </c>
    </row>
    <row r="2" spans="1:9" ht="16" x14ac:dyDescent="0.2">
      <c r="H2" s="16" t="s">
        <v>58</v>
      </c>
      <c r="I2" s="28">
        <v>42430.000011574099</v>
      </c>
    </row>
    <row r="3" spans="1:9" ht="16" x14ac:dyDescent="0.2">
      <c r="A3" s="2" t="s">
        <v>57</v>
      </c>
      <c r="C3" s="18" t="str">
        <f>IF(MONTH($I$2)=1,"January",IF(MONTH($I$2)=2,"February",IF(MONTH($I$2)=3,"March",IF(MONTH($I$2)=4,"April",IF(MONTH($I$2)=5,"May",IF(MONTH($I$2)=6,"June",IF(MONTH($I$2)=7,"July",IF(MONTH($I$2)=8,"Auguest",IF(MONTH($I$2)=9,"September",IF(MONTH($I$2)=10,"October",IF(MONTH($I$2)=11,"November",IF(MONTH($I$2)=12,"December",A3))))))))))))</f>
        <v>March</v>
      </c>
      <c r="E3" s="2" t="s">
        <v>56</v>
      </c>
      <c r="F3" s="17">
        <f>YEAR($I$2)</f>
        <v>2016</v>
      </c>
      <c r="H3" s="16" t="s">
        <v>55</v>
      </c>
      <c r="I3" s="28">
        <v>42460.999988425901</v>
      </c>
    </row>
    <row r="4" spans="1:9" x14ac:dyDescent="0.2">
      <c r="A4" s="2" t="s">
        <v>54</v>
      </c>
    </row>
    <row r="6" spans="1:9" x14ac:dyDescent="0.2">
      <c r="A6" s="2" t="s">
        <v>53</v>
      </c>
    </row>
    <row r="7" spans="1:9" x14ac:dyDescent="0.2">
      <c r="A7" s="66"/>
      <c r="B7" s="66" t="s">
        <v>14</v>
      </c>
      <c r="C7" s="66"/>
      <c r="D7" s="66" t="s">
        <v>16</v>
      </c>
      <c r="E7" s="66"/>
      <c r="F7" s="57" t="s">
        <v>33</v>
      </c>
    </row>
    <row r="8" spans="1:9" x14ac:dyDescent="0.2">
      <c r="A8" s="66"/>
      <c r="B8" s="27" t="s">
        <v>52</v>
      </c>
      <c r="C8" s="27" t="s">
        <v>61</v>
      </c>
      <c r="D8" s="27" t="s">
        <v>52</v>
      </c>
      <c r="E8" s="27" t="s">
        <v>61</v>
      </c>
      <c r="F8" s="57"/>
    </row>
    <row r="9" spans="1:9" x14ac:dyDescent="0.2">
      <c r="A9" s="12"/>
      <c r="B9" s="11">
        <f>COUNTIFS(GeneDate,"&gt;="&amp;$I$2,GeneDate,"&lt;="&amp;$I$3,GeneAge,"&lt;15",GeneSex,"Male",GeneMTB,"*tive")</f>
        <v>0</v>
      </c>
      <c r="C9" s="11">
        <f>COUNTIFS(GeneDate,"&gt;="&amp;$I$2,GeneDate,"&lt;="&amp;$I$3,GeneAge,"&gt;=15",GeneSex,"M*",GeneMTB,"*tive")</f>
        <v>0</v>
      </c>
      <c r="D9" s="11">
        <f>COUNTIFS(GeneDate,"&gt;="&amp;$I$2,GeneDate,"&lt;="&amp;$I$3,GeneAge,"&lt;15",GeneSex,"F*",GeneMTB,"*tive")</f>
        <v>0</v>
      </c>
      <c r="E9" s="8">
        <f>COUNTIFS(GeneDate,"&gt;="&amp;$I$2,GeneDate,"&lt;="&amp;$I$3,GeneAge,"&gt;=15",GeneSex,"F*",GeneMTB,"*tive")</f>
        <v>0</v>
      </c>
      <c r="F9" s="8">
        <f>COUNTIFS(GeneDate,"&gt;="&amp;$I$2,GeneDate,"&lt;="&amp;$I$3,GeneMTB,"*tive")</f>
        <v>0</v>
      </c>
      <c r="G9" s="7" t="str">
        <f>IF(SUM(B9:E9)=F9,"","Check Total Vaue &amp; Category")</f>
        <v/>
      </c>
      <c r="H9" s="26"/>
    </row>
    <row r="10" spans="1:9" ht="12" customHeight="1" x14ac:dyDescent="0.2">
      <c r="B10" s="19"/>
      <c r="E10" s="7"/>
      <c r="F10" s="7"/>
      <c r="G10" s="7"/>
    </row>
    <row r="11" spans="1:9" x14ac:dyDescent="0.2">
      <c r="A11" s="2" t="s">
        <v>51</v>
      </c>
      <c r="E11" s="7"/>
      <c r="F11" s="7"/>
      <c r="G11" s="7"/>
    </row>
    <row r="12" spans="1:9" x14ac:dyDescent="0.2">
      <c r="A12" s="12"/>
      <c r="B12" s="12"/>
      <c r="C12" s="27" t="s">
        <v>50</v>
      </c>
      <c r="D12" s="27" t="s">
        <v>49</v>
      </c>
      <c r="E12" s="13" t="s">
        <v>15</v>
      </c>
      <c r="F12" s="13" t="s">
        <v>33</v>
      </c>
      <c r="G12" s="7"/>
    </row>
    <row r="13" spans="1:9" ht="15" customHeight="1" x14ac:dyDescent="0.2">
      <c r="A13" s="58" t="s">
        <v>44</v>
      </c>
      <c r="B13" s="12" t="s">
        <v>43</v>
      </c>
      <c r="C13" s="11">
        <f>COUNTIFS(GeneDate,"&gt;="&amp;$I$2,GeneDate,"&lt;="&amp;$I$3,GeneMicroscope,"Pos*",GenePreviousHistory,"N*",GeneMTB,"*tive")</f>
        <v>0</v>
      </c>
      <c r="D13" s="11">
        <f>COUNTIFS(GeneDate,"&gt;="&amp;$I$2,GeneDate,"&lt;="&amp;$I$3,GeneMicroscope,"Pos*",GenePreviousHistory,"Y*",GeneMTB,"*tive")</f>
        <v>0</v>
      </c>
      <c r="E13" s="8">
        <f>COUNTIFS(GeneDate,"&gt;="&amp;$I$2,GeneDate,"&lt;="&amp;$I$3,GeneMicroscope,"Pos*",GenePreviousHistory,"Un*",GeneMTB,"*tive")</f>
        <v>0</v>
      </c>
      <c r="F13" s="8">
        <f>COUNTIFS(GeneDate,"&gt;="&amp;$I$2,GeneDate,"&lt;="&amp;$I$3,GeneMicroscope,"Pos*",GeneMTB,"*tive")</f>
        <v>0</v>
      </c>
      <c r="G13" s="48" t="str">
        <f>IF($F$9=SUM(F13:F15),"","Error! Possibly there were be Error or Missing information at Microscopy Result")</f>
        <v/>
      </c>
      <c r="H13" s="49"/>
      <c r="I13" s="10" t="str">
        <f t="shared" ref="I13:I19" si="0">IF(SUM(C13:E13)=F13,"","Check Total Vaue &amp; Category")</f>
        <v/>
      </c>
    </row>
    <row r="14" spans="1:9" x14ac:dyDescent="0.2">
      <c r="A14" s="59"/>
      <c r="B14" s="12" t="s">
        <v>42</v>
      </c>
      <c r="C14" s="11">
        <f>COUNTIFS(GeneDate,"&gt;="&amp;$I$2,GeneDate,"&lt;="&amp;$I$3,GeneMicroscope,"Neg*",GenePreviousHistory,"N*",GeneMTB,"*tive")</f>
        <v>0</v>
      </c>
      <c r="D14" s="11">
        <f>COUNTIFS(GeneDate,"&gt;="&amp;$I$2,GeneDate,"&lt;="&amp;$I$3,GeneMicroscope,"Neg*",GenePreviousHistory,"Y*",GeneMTB,"*tive")</f>
        <v>0</v>
      </c>
      <c r="E14" s="8">
        <f>COUNTIFS(GeneDate,"&gt;="&amp;$I$2,GeneDate,"&lt;="&amp;$I$3,GeneMicroscope,"Neg*",GenePreviousHistory,"Un*",GeneMTB,"*tive")</f>
        <v>0</v>
      </c>
      <c r="F14" s="8">
        <f>COUNTIFS(GeneDate,"&gt;="&amp;$I$2,GeneDate,"&lt;="&amp;$I$3,GeneMicroscope,"Neg*",GeneMTB,"*tive")</f>
        <v>0</v>
      </c>
      <c r="G14" s="48"/>
      <c r="H14" s="49"/>
      <c r="I14" s="10" t="str">
        <f t="shared" si="0"/>
        <v/>
      </c>
    </row>
    <row r="15" spans="1:9" x14ac:dyDescent="0.2">
      <c r="A15" s="60"/>
      <c r="B15" s="12" t="s">
        <v>41</v>
      </c>
      <c r="C15" s="11">
        <f>COUNTIFS(GeneDate,"&gt;="&amp;$I$2,GeneDate,"&lt;="&amp;$I$3,GeneMicroscope,"Not*",GenePreviousHistory,"N*",GeneMTB,"*tive")</f>
        <v>0</v>
      </c>
      <c r="D15" s="11">
        <f>COUNTIFS(GeneDate,"&gt;="&amp;$I$2,GeneDate,"&lt;="&amp;$I$3,GeneMicroscope,"Not*",GenePreviousHistory,"Y*",GeneMTB,"*tive")</f>
        <v>0</v>
      </c>
      <c r="E15" s="8">
        <f>COUNTIFS(GeneDate,"&gt;="&amp;$I$2,GeneDate,"&lt;="&amp;$I$3,GeneMicroscope,"Not*",GenePreviousHistory,"Un*",GeneMTB,"*tive")</f>
        <v>0</v>
      </c>
      <c r="F15" s="8">
        <f>COUNTIFS(GeneDate,"&gt;="&amp;$I$2,GeneDate,"&lt;="&amp;$I$3,GeneMicroscope,"Not*",GeneMTB,"*tive")</f>
        <v>0</v>
      </c>
      <c r="G15" s="48"/>
      <c r="H15" s="49"/>
      <c r="I15" s="10" t="str">
        <f t="shared" si="0"/>
        <v/>
      </c>
    </row>
    <row r="16" spans="1:9" x14ac:dyDescent="0.2">
      <c r="A16" s="57" t="s">
        <v>40</v>
      </c>
      <c r="B16" s="12" t="s">
        <v>13</v>
      </c>
      <c r="C16" s="11">
        <f>COUNTIFS(GeneDate,"&gt;="&amp;$I$2,GeneDate,"&lt;="&amp;$I$3,GenePreviousHistory,"N*",GeneMTB,"Neg*")</f>
        <v>0</v>
      </c>
      <c r="D16" s="11">
        <f>COUNTIFS(GeneDate,"&gt;="&amp;$I$2,GeneDate,"&lt;="&amp;$I$3,GenePreviousHistory,"Y*",GeneMTB,"Neg*")</f>
        <v>0</v>
      </c>
      <c r="E16" s="8">
        <f>F16-(C16+D16)</f>
        <v>0</v>
      </c>
      <c r="F16" s="8">
        <f>COUNTIFS(GeneDate,"&gt;="&amp;$I$2,GeneDate,"&lt;="&amp;$I$3,GeneMTB,"Neg*")</f>
        <v>0</v>
      </c>
      <c r="G16" s="48" t="str">
        <f>IF($F$9=SUM(F16:F19),"","Error! Cross information between Xpert result and treatment category are not match; possibly there will be Erorr or missing information on MTB result OR RIF result")</f>
        <v/>
      </c>
      <c r="H16" s="49"/>
      <c r="I16" s="10" t="str">
        <f t="shared" si="0"/>
        <v/>
      </c>
    </row>
    <row r="17" spans="1:9" x14ac:dyDescent="0.2">
      <c r="A17" s="57"/>
      <c r="B17" s="12" t="s">
        <v>39</v>
      </c>
      <c r="C17" s="11">
        <f>COUNTIFS(GeneDate,"&gt;="&amp;$I$2,GeneDate,"&lt;="&amp;$I$3,GenePreviousHistory,"N*",GeneMTB,"Pos*",GeneRif,"Neg*")</f>
        <v>0</v>
      </c>
      <c r="D17" s="11">
        <f>COUNTIFS(GeneDate,"&gt;="&amp;$I$2,GeneDate,"&lt;="&amp;$I$3,GenePreviousHistory,"Y*",GeneMTB,"Pos*",GeneRif,"Neg*")</f>
        <v>0</v>
      </c>
      <c r="E17" s="8">
        <f>F17-(C17+D17)</f>
        <v>0</v>
      </c>
      <c r="F17" s="8">
        <f>COUNTIFS(GeneDate,"&gt;="&amp;$I$2,GeneDate,"&lt;="&amp;$I$3,GeneMTB,"Pos*",GeneRif,"Neg*")</f>
        <v>0</v>
      </c>
      <c r="G17" s="48"/>
      <c r="H17" s="49"/>
      <c r="I17" s="10" t="str">
        <f t="shared" si="0"/>
        <v/>
      </c>
    </row>
    <row r="18" spans="1:9" x14ac:dyDescent="0.2">
      <c r="A18" s="57"/>
      <c r="B18" s="12" t="s">
        <v>38</v>
      </c>
      <c r="C18" s="11">
        <f>COUNTIFS(GeneDate,"&gt;="&amp;$I$2,GeneDate,"&lt;="&amp;$I$3,GenePreviousHistory,"N*",GeneMTB,"Pos*",GeneRif,"Pos*")</f>
        <v>0</v>
      </c>
      <c r="D18" s="11">
        <f>COUNTIFS(GeneDate,"&gt;="&amp;$I$2,GeneDate,"&lt;="&amp;$I$3,GenePreviousHistory,"Y*",GeneMTB,"Pos*",GeneRif,"Pos*")</f>
        <v>0</v>
      </c>
      <c r="E18" s="8">
        <f>F18-(C18+D18)</f>
        <v>0</v>
      </c>
      <c r="F18" s="8">
        <f>COUNTIFS(GeneDate,"&gt;="&amp;$I$2,GeneDate,"&lt;="&amp;$I$3,GeneMTB,"Pos*",GeneRif,"Pos*")</f>
        <v>0</v>
      </c>
      <c r="G18" s="48"/>
      <c r="H18" s="49"/>
      <c r="I18" s="10" t="str">
        <f t="shared" si="0"/>
        <v/>
      </c>
    </row>
    <row r="19" spans="1:9" x14ac:dyDescent="0.2">
      <c r="A19" s="57"/>
      <c r="B19" s="12" t="s">
        <v>48</v>
      </c>
      <c r="C19" s="11">
        <f>COUNTIFS(GeneDate,"&gt;="&amp;$I$2,GeneDate,"&lt;="&amp;$I$3,GenePreviousHistory,"N*",GeneMTB,"Pos*",GeneRif,"IND*")</f>
        <v>0</v>
      </c>
      <c r="D19" s="11">
        <f>COUNTIFS(GeneDate,"&gt;="&amp;$I$2,GeneDate,"&lt;="&amp;$I$3,GenePreviousHistory,"Y*",GeneMTB,"Pos*",GeneRif,"IND*")</f>
        <v>0</v>
      </c>
      <c r="E19" s="8">
        <f>F19-(C19+D19)</f>
        <v>0</v>
      </c>
      <c r="F19" s="8">
        <f>COUNTIFS(GeneDate,"&gt;="&amp;$I$2,GeneDate,"&lt;="&amp;$I$3,GeneMTB,"Pos*",GeneRif,"IND*")</f>
        <v>0</v>
      </c>
      <c r="G19" s="48"/>
      <c r="H19" s="49"/>
      <c r="I19" s="10" t="str">
        <f t="shared" si="0"/>
        <v/>
      </c>
    </row>
    <row r="20" spans="1:9" ht="12" customHeight="1" x14ac:dyDescent="0.2">
      <c r="E20" s="7"/>
      <c r="F20" s="7"/>
      <c r="G20" s="7"/>
    </row>
    <row r="21" spans="1:9" x14ac:dyDescent="0.2">
      <c r="A21" s="2" t="s">
        <v>47</v>
      </c>
      <c r="E21" s="7"/>
      <c r="F21" s="7"/>
      <c r="G21" s="7"/>
    </row>
    <row r="22" spans="1:9" ht="30" x14ac:dyDescent="0.2">
      <c r="A22" s="12"/>
      <c r="B22" s="12"/>
      <c r="C22" s="14" t="s">
        <v>46</v>
      </c>
      <c r="D22" s="14" t="s">
        <v>45</v>
      </c>
      <c r="E22" s="13" t="s">
        <v>15</v>
      </c>
      <c r="F22" s="13" t="s">
        <v>33</v>
      </c>
      <c r="G22" s="7"/>
    </row>
    <row r="23" spans="1:9" ht="15" customHeight="1" x14ac:dyDescent="0.2">
      <c r="A23" s="58" t="s">
        <v>44</v>
      </c>
      <c r="B23" s="12" t="s">
        <v>43</v>
      </c>
      <c r="C23" s="11">
        <f>COUNTIFS(GeneDate,"&gt;="&amp;$I$2,GeneDate,"&lt;="&amp;$I$3,GeneMicroscope,"Pos*",GeneHIV,"Pos*",GeneMTB,"*tive")</f>
        <v>0</v>
      </c>
      <c r="D23" s="11">
        <f>COUNTIFS(GeneDate,"&gt;="&amp;$I$2,GeneDate,"&lt;="&amp;$I$3,GeneMicroscope,"Pos*",GeneHIV,"Neg*",GeneMTB,"*tive")</f>
        <v>0</v>
      </c>
      <c r="E23" s="8">
        <f>COUNTIFS(GeneDate,"&gt;="&amp;$I$2,GeneDate,"&lt;="&amp;$I$3,GeneMicroscope,"Pos*",GeneHIV,"Un*",GeneMTB,"*tive")</f>
        <v>0</v>
      </c>
      <c r="F23" s="8">
        <f>COUNTIFS(GeneDate,"&gt;="&amp;$I$2,GeneDate,"&lt;="&amp;$I$3,GeneMicroscope,"Pos*",GeneMTB,"*tive")</f>
        <v>0</v>
      </c>
      <c r="G23" s="48" t="str">
        <f>IF($F$9=SUM(F23:F25),"","Error! Cross information between Microscope Result and HIV Status are not match; possibly there will be Erorr or missing information on Microscope Result OR HIV Status")</f>
        <v/>
      </c>
      <c r="H23" s="49"/>
      <c r="I23" s="10" t="str">
        <f t="shared" ref="I23:I29" si="1">IF(SUM(C23:E23)=F23,"","Check Total Vaue &amp; Category")</f>
        <v/>
      </c>
    </row>
    <row r="24" spans="1:9" x14ac:dyDescent="0.2">
      <c r="A24" s="59"/>
      <c r="B24" s="12" t="s">
        <v>42</v>
      </c>
      <c r="C24" s="11">
        <f>COUNTIFS(GeneDate,"&gt;="&amp;$I$2,GeneDate,"&lt;="&amp;$I$3,GeneMicroscope,"Neg*",GeneHIV,"Pos*",GeneMTB,"*tive")</f>
        <v>0</v>
      </c>
      <c r="D24" s="11">
        <f>COUNTIFS(GeneDate,"&gt;="&amp;$I$2,GeneDate,"&lt;="&amp;$I$3,GeneMicroscope,"Neg*",GeneHIV,"Neg*",GeneMTB,"*tive")</f>
        <v>0</v>
      </c>
      <c r="E24" s="8">
        <f>COUNTIFS(GeneDate,"&gt;="&amp;$I$2,GeneDate,"&lt;="&amp;$I$3,GeneMicroscope,"Neg*",GeneHIV,"Un*",GeneMTB,"*tive")</f>
        <v>0</v>
      </c>
      <c r="F24" s="8">
        <f>COUNTIFS(GeneDate,"&gt;="&amp;$I$2,GeneDate,"&lt;="&amp;$I$3,GeneMicroscope,"Neg*",GeneMTB,"*tive")</f>
        <v>0</v>
      </c>
      <c r="G24" s="48"/>
      <c r="H24" s="49"/>
      <c r="I24" s="10" t="str">
        <f t="shared" si="1"/>
        <v/>
      </c>
    </row>
    <row r="25" spans="1:9" x14ac:dyDescent="0.2">
      <c r="A25" s="60"/>
      <c r="B25" s="12" t="s">
        <v>41</v>
      </c>
      <c r="C25" s="11">
        <f>COUNTIFS(GeneDate,"&gt;="&amp;$I$2,GeneDate,"&lt;="&amp;$I$3,GeneMicroscope,"Not*",GeneHIV,"Pos*",GeneMTB,"*tive")</f>
        <v>0</v>
      </c>
      <c r="D25" s="11">
        <f>COUNTIFS(GeneDate,"&gt;="&amp;$I$2,GeneDate,"&lt;="&amp;$I$3,GeneMicroscope,"Not*",GeneHIV,"Neg*",GeneMTB,"*tive")</f>
        <v>0</v>
      </c>
      <c r="E25" s="8">
        <f>COUNTIFS(GeneDate,"&gt;="&amp;$I$2,GeneDate,"&lt;="&amp;$I$3,GeneMicroscope,"Not*",GeneHIV,"Un*",GeneMTB,"*tive")</f>
        <v>0</v>
      </c>
      <c r="F25" s="8">
        <f>COUNTIFS(GeneDate,"&gt;="&amp;$I$2,GeneDate,"&lt;="&amp;$I$3,GeneMicroscope,"Not*",GeneMTB,"*tive")</f>
        <v>0</v>
      </c>
      <c r="G25" s="48"/>
      <c r="H25" s="49"/>
      <c r="I25" s="10" t="str">
        <f t="shared" si="1"/>
        <v/>
      </c>
    </row>
    <row r="26" spans="1:9" x14ac:dyDescent="0.2">
      <c r="A26" s="57" t="s">
        <v>40</v>
      </c>
      <c r="B26" s="12" t="s">
        <v>13</v>
      </c>
      <c r="C26" s="11">
        <f>COUNTIFS(GeneDate,"&gt;="&amp;$I$2,GeneDate,"&lt;="&amp;$I$3,GeneHIV,"Pos*",GeneMTB,"Neg*")</f>
        <v>0</v>
      </c>
      <c r="D26" s="11">
        <f>COUNTIFS(GeneDate,"&gt;="&amp;$I$2,GeneDate,"&lt;="&amp;$I$3,GeneHIV,"Neg*",GeneMTB,"Neg*")</f>
        <v>0</v>
      </c>
      <c r="E26" s="8">
        <f>COUNTIFS(GeneDate,"&gt;="&amp;$I$2,GeneDate,"&lt;="&amp;$I$3,GeneHIV,"Un*",GeneMTB,"Neg*")</f>
        <v>0</v>
      </c>
      <c r="F26" s="8">
        <f>COUNTIFS(GeneDate,"&gt;="&amp;$I$2,GeneDate,"&lt;="&amp;$I$3,GeneMTB,"*tive",GeneMTB,"Neg*")</f>
        <v>0</v>
      </c>
      <c r="G26" s="48" t="str">
        <f>IF($F$9=SUM(F26:F29),"","Error! Cross information between Xpert result and HIV Status are not match; possibly there will be Erorr or missing information on MTB result OR HIV Status")</f>
        <v/>
      </c>
      <c r="H26" s="49"/>
      <c r="I26" s="10" t="str">
        <f t="shared" si="1"/>
        <v/>
      </c>
    </row>
    <row r="27" spans="1:9" x14ac:dyDescent="0.2">
      <c r="A27" s="57"/>
      <c r="B27" s="12" t="s">
        <v>39</v>
      </c>
      <c r="C27" s="11">
        <f>COUNTIFS(GeneDate,"&gt;="&amp;$I$2,GeneDate,"&lt;="&amp;$I$3,GeneHIV,"Pos*",GeneMTB,"Pos*",GeneRif,"Neg*")</f>
        <v>0</v>
      </c>
      <c r="D27" s="11">
        <f>COUNTIFS(GeneDate,"&gt;="&amp;$I$2,GeneDate,"&lt;="&amp;$I$3,GeneHIV,"Neg*",GeneMTB,"Pos*",GeneRif,"Neg*")</f>
        <v>0</v>
      </c>
      <c r="E27" s="8">
        <f>COUNTIFS(GeneDate,"&gt;="&amp;$I$2,GeneDate,"&lt;="&amp;$I$3,GeneHIV,"Un*",GeneMTB,"Pos*",GeneRif,"Neg*")</f>
        <v>0</v>
      </c>
      <c r="F27" s="8">
        <f>COUNTIFS(GeneDate,"&gt;="&amp;$I$2,GeneDate,"&lt;="&amp;$I$3,GeneMTB,"Pos*",GeneRif,"Neg*")</f>
        <v>0</v>
      </c>
      <c r="G27" s="48"/>
      <c r="H27" s="49"/>
      <c r="I27" s="10" t="str">
        <f t="shared" si="1"/>
        <v/>
      </c>
    </row>
    <row r="28" spans="1:9" x14ac:dyDescent="0.2">
      <c r="A28" s="57"/>
      <c r="B28" s="12" t="s">
        <v>38</v>
      </c>
      <c r="C28" s="11">
        <f>COUNTIFS(GeneDate,"&gt;="&amp;$I$2,GeneDate,"&lt;="&amp;$I$3,GeneHIV,"Pos*",GeneMTB,"Pos*",GeneRif,"Pos*")</f>
        <v>0</v>
      </c>
      <c r="D28" s="11">
        <f>COUNTIFS(GeneDate,"&gt;="&amp;$I$2,GeneDate,"&lt;="&amp;$I$3,GeneHIV,"Neg*",GeneMTB,"Pos*",GeneRif,"Pos*")</f>
        <v>0</v>
      </c>
      <c r="E28" s="8">
        <f>COUNTIFS(GeneDate,"&gt;="&amp;$I$2,GeneDate,"&lt;="&amp;$I$3,GeneHIV,"Un*",GeneMTB,"Pos*",GeneRif,"Pos*")</f>
        <v>0</v>
      </c>
      <c r="F28" s="8">
        <f>COUNTIFS(GeneDate,"&gt;="&amp;$I$2,GeneDate,"&lt;="&amp;$I$3,GeneMTB,"Pos*",GeneRif,"Pos*")</f>
        <v>0</v>
      </c>
      <c r="G28" s="48"/>
      <c r="H28" s="49"/>
      <c r="I28" s="10" t="str">
        <f t="shared" si="1"/>
        <v/>
      </c>
    </row>
    <row r="29" spans="1:9" x14ac:dyDescent="0.2">
      <c r="A29" s="57"/>
      <c r="B29" s="12" t="s">
        <v>37</v>
      </c>
      <c r="C29" s="11">
        <f>COUNTIFS(GeneDate,"&gt;="&amp;$I$2,GeneDate,"&lt;="&amp;$I$3,GeneHIV,"Pos*",GeneMTB,"Pos*",GeneRif,"IND*")</f>
        <v>0</v>
      </c>
      <c r="D29" s="11">
        <f>COUNTIFS(GeneDate,"&gt;="&amp;$I$2,GeneDate,"&lt;="&amp;$I$3,GeneHIV,"Neg*",GeneMTB,"Pos*",GeneRif,"IND*")</f>
        <v>0</v>
      </c>
      <c r="E29" s="8">
        <f>COUNTIFS(GeneDate,"&gt;="&amp;$I$2,GeneDate,"&lt;="&amp;$I$3,GeneHIV,"Un*",GeneMTB,"Pos*",GeneRif,"IND*")</f>
        <v>0</v>
      </c>
      <c r="F29" s="8">
        <f>COUNTIFS(GeneDate,"&gt;="&amp;$I$2,GeneDate,"&lt;="&amp;$I$3,GeneMTB,"Pos*",GeneRif,"IND*")</f>
        <v>0</v>
      </c>
      <c r="G29" s="48"/>
      <c r="H29" s="49"/>
      <c r="I29" s="10" t="str">
        <f t="shared" si="1"/>
        <v/>
      </c>
    </row>
    <row r="30" spans="1:9" ht="12" customHeight="1" x14ac:dyDescent="0.2">
      <c r="E30" s="7"/>
      <c r="F30" s="7"/>
      <c r="G30" s="7"/>
    </row>
    <row r="31" spans="1:9" x14ac:dyDescent="0.2">
      <c r="A31" s="4"/>
      <c r="B31" s="25"/>
      <c r="C31" s="61" t="s">
        <v>14</v>
      </c>
      <c r="D31" s="62"/>
      <c r="E31" s="61" t="s">
        <v>16</v>
      </c>
      <c r="F31" s="62"/>
      <c r="G31" s="9" t="s">
        <v>33</v>
      </c>
    </row>
    <row r="32" spans="1:9" x14ac:dyDescent="0.2">
      <c r="A32" s="24" t="s">
        <v>62</v>
      </c>
      <c r="B32" s="24"/>
      <c r="C32" s="61">
        <f>COUNTIFS(GeneDate,"&gt;="&amp;$I$2,GeneDate,"&lt;="&amp;$I$3,GeneMTB,"Pos*",GeneRif,"Pos*",GeneSex,"Male")</f>
        <v>0</v>
      </c>
      <c r="D32" s="62"/>
      <c r="E32" s="64">
        <f>COUNTIFS(GeneDate,"&gt;="&amp;$I$2,GeneDate,"&lt;="&amp;$I$3,GeneMTB,"Pos*",GeneRif,"Pos*",GeneSex,"Female")</f>
        <v>0</v>
      </c>
      <c r="F32" s="65"/>
      <c r="G32" s="8">
        <f>COUNTIFS(GeneDate,"&gt;="&amp;$I$2,GeneDate,"&lt;="&amp;$I$3,GeneMTB,"Pos*",GeneRif,"Pos*")</f>
        <v>0</v>
      </c>
    </row>
    <row r="33" spans="1:10" ht="12" customHeight="1" x14ac:dyDescent="0.2">
      <c r="E33" s="7"/>
      <c r="F33" s="7"/>
      <c r="G33" s="7"/>
    </row>
    <row r="34" spans="1:10" x14ac:dyDescent="0.2">
      <c r="A34" s="2" t="s">
        <v>36</v>
      </c>
      <c r="E34" s="7"/>
      <c r="F34" s="7"/>
      <c r="G34" s="7"/>
    </row>
    <row r="35" spans="1:10" x14ac:dyDescent="0.2">
      <c r="A35" s="61"/>
      <c r="B35" s="62"/>
      <c r="C35" s="61" t="s">
        <v>35</v>
      </c>
      <c r="D35" s="62"/>
      <c r="E35" s="64" t="s">
        <v>34</v>
      </c>
      <c r="F35" s="65"/>
      <c r="G35" s="9" t="s">
        <v>33</v>
      </c>
    </row>
    <row r="36" spans="1:10" x14ac:dyDescent="0.2">
      <c r="A36" s="50" t="s">
        <v>32</v>
      </c>
      <c r="B36" s="50"/>
      <c r="C36" s="51">
        <f>COUNTIFS(GeneDate,"&gt;="&amp;$I$2,GeneDate,"&lt;="&amp;$I$3,GeneMTB,"Pos*",GeneMicroscope,"Pos*")</f>
        <v>0</v>
      </c>
      <c r="D36" s="52"/>
      <c r="E36" s="53">
        <f>COUNTIFS(GeneDate,"&gt;="&amp;$I$2,GeneDate,"&lt;="&amp;$I$3,GeneMTB,"Neg*",GeneMicroscope,"Pos*")</f>
        <v>0</v>
      </c>
      <c r="F36" s="54"/>
      <c r="G36" s="8">
        <f>COUNTIFS(GeneDate,"&gt;="&amp;$I$2,GeneDate,"&lt;="&amp;$I$3,GeneMicroscope,"Pos*",GeneMTB,"*tive")</f>
        <v>0</v>
      </c>
      <c r="H36" s="55" t="str">
        <f>IF($F$9=SUM(G36:G38),"","Error! Cross information between Xpert result and Microscope result are not match; possibly there will be Erorr or missing information on MTB result OR Microscope result")</f>
        <v/>
      </c>
      <c r="I36" s="56"/>
      <c r="J36" s="2" t="str">
        <f>IF(SUM(C36:F36)=G36,"","Check Total Vaue &amp; Category")</f>
        <v/>
      </c>
    </row>
    <row r="37" spans="1:10" x14ac:dyDescent="0.2">
      <c r="A37" s="50" t="s">
        <v>31</v>
      </c>
      <c r="B37" s="50"/>
      <c r="C37" s="51">
        <f>COUNTIFS(GeneDate,"&gt;="&amp;$I$2,GeneDate,"&lt;="&amp;$I$3,GeneMTB,"Pos*",GeneMicroscope,"Neg*")</f>
        <v>0</v>
      </c>
      <c r="D37" s="52"/>
      <c r="E37" s="53">
        <f>COUNTIFS(GeneDate,"&gt;="&amp;$I$2,GeneDate,"&lt;="&amp;$I$3,GeneMTB,"Neg*",GeneMicroscope,"Neg*")</f>
        <v>0</v>
      </c>
      <c r="F37" s="54"/>
      <c r="G37" s="8">
        <f>COUNTIFS(GeneDate,"&gt;="&amp;$I$2,GeneDate,"&lt;="&amp;$I$3,GeneMicroscope,"Neg*",GeneMTB,"*tive")</f>
        <v>0</v>
      </c>
      <c r="H37" s="55"/>
      <c r="I37" s="56"/>
      <c r="J37" s="2" t="str">
        <f>IF(SUM(C37:F37)=G37,"","Check Total Vaue &amp; Category")</f>
        <v/>
      </c>
    </row>
    <row r="38" spans="1:10" x14ac:dyDescent="0.2">
      <c r="A38" s="50" t="s">
        <v>30</v>
      </c>
      <c r="B38" s="50"/>
      <c r="C38" s="51">
        <f>COUNTIFS(GeneDate,"&gt;="&amp;$I$2,GeneDate,"&lt;="&amp;$I$3,GeneMTB,"Pos*",GeneMicroscope,"Not*")</f>
        <v>0</v>
      </c>
      <c r="D38" s="52"/>
      <c r="E38" s="53">
        <f>COUNTIFS(GeneDate,"&gt;="&amp;$I$2,GeneDate,"&lt;="&amp;$I$3,GeneMTB,"Neg*",GeneMicroscope,"Not*")</f>
        <v>0</v>
      </c>
      <c r="F38" s="54"/>
      <c r="G38" s="8">
        <f>COUNTIFS(GeneDate,"&gt;="&amp;$I$2,GeneDate,"&lt;="&amp;$I$3,GeneMTB,"*tive",GeneMicroscope,"Not*")</f>
        <v>0</v>
      </c>
      <c r="H38" s="55"/>
      <c r="I38" s="56"/>
      <c r="J38" s="2" t="str">
        <f>IF(SUM(C38:F38)=G38,"","Check Total Vaue &amp; Category")</f>
        <v/>
      </c>
    </row>
    <row r="39" spans="1:10" ht="12" customHeight="1" x14ac:dyDescent="0.2">
      <c r="D39" s="2" t="str">
        <f>IF(SUM(C36:D38)=SUM(F27:F29),"","Error")</f>
        <v/>
      </c>
      <c r="E39" s="7"/>
      <c r="F39" s="7"/>
      <c r="G39" s="7"/>
    </row>
    <row r="40" spans="1:10" x14ac:dyDescent="0.2">
      <c r="A40" s="2" t="s">
        <v>29</v>
      </c>
    </row>
    <row r="41" spans="1:10" x14ac:dyDescent="0.2">
      <c r="A41" s="66"/>
      <c r="B41" s="66"/>
      <c r="C41" s="61" t="s">
        <v>28</v>
      </c>
      <c r="D41" s="62"/>
      <c r="E41" s="66" t="s">
        <v>27</v>
      </c>
      <c r="F41" s="66"/>
    </row>
    <row r="42" spans="1:10" x14ac:dyDescent="0.2">
      <c r="A42" s="50" t="s">
        <v>26</v>
      </c>
      <c r="B42" s="50"/>
      <c r="C42" s="51"/>
      <c r="D42" s="52"/>
      <c r="E42" s="67"/>
      <c r="F42" s="67"/>
    </row>
    <row r="43" spans="1:10" x14ac:dyDescent="0.2">
      <c r="A43" s="50" t="s">
        <v>25</v>
      </c>
      <c r="B43" s="50"/>
      <c r="C43" s="51"/>
      <c r="D43" s="52"/>
      <c r="E43" s="67" t="s">
        <v>24</v>
      </c>
      <c r="F43" s="67"/>
    </row>
    <row r="44" spans="1:10" x14ac:dyDescent="0.2">
      <c r="A44" s="50" t="s">
        <v>23</v>
      </c>
      <c r="B44" s="50"/>
      <c r="C44" s="68">
        <f>C46+F9+C47</f>
        <v>0</v>
      </c>
      <c r="D44" s="69"/>
      <c r="E44" s="67"/>
      <c r="F44" s="67"/>
      <c r="G44" s="6"/>
    </row>
    <row r="45" spans="1:10" x14ac:dyDescent="0.2">
      <c r="A45" s="50" t="s">
        <v>22</v>
      </c>
      <c r="B45" s="50"/>
      <c r="C45" s="68">
        <f>SUM(C42+C43)-C44</f>
        <v>0</v>
      </c>
      <c r="D45" s="69"/>
      <c r="E45" s="67"/>
      <c r="F45" s="67"/>
    </row>
    <row r="46" spans="1:10" x14ac:dyDescent="0.2">
      <c r="A46" s="5" t="s">
        <v>21</v>
      </c>
      <c r="B46" s="5"/>
      <c r="C46" s="23">
        <f>COUNTIFS(GeneDate,"&gt;="&amp;$I$2,GeneDate,"&lt;="&amp;$I$3,GeneMTB,"Error")+COUNTIFS(GeneDate,"&gt;="&amp;$I$2,GeneDate,"&lt;="&amp;$I$3,GeneMTB,"Invalid")+COUNTIFS(GeneDate,"&gt;="&amp;$I$2,GeneDate,"&lt;="&amp;$I$3,GeneMTB,"*Result*")</f>
        <v>0</v>
      </c>
    </row>
    <row r="47" spans="1:10" x14ac:dyDescent="0.2">
      <c r="A47" s="5" t="s">
        <v>63</v>
      </c>
      <c r="C47" s="5">
        <v>0</v>
      </c>
    </row>
    <row r="49" spans="5:7" x14ac:dyDescent="0.2">
      <c r="E49" s="2" t="s">
        <v>20</v>
      </c>
      <c r="F49" s="4"/>
      <c r="G49" s="4"/>
    </row>
    <row r="50" spans="5:7" x14ac:dyDescent="0.2">
      <c r="E50" s="2" t="s">
        <v>19</v>
      </c>
      <c r="F50" s="3"/>
      <c r="G50" s="3"/>
    </row>
    <row r="51" spans="5:7" x14ac:dyDescent="0.2">
      <c r="E51" s="2" t="s">
        <v>18</v>
      </c>
      <c r="F51" s="3"/>
      <c r="G51" s="3"/>
    </row>
    <row r="52" spans="5:7" x14ac:dyDescent="0.2">
      <c r="E52" s="2" t="s">
        <v>17</v>
      </c>
      <c r="F52" s="3"/>
      <c r="G52" s="3"/>
    </row>
  </sheetData>
  <sheetProtection algorithmName="SHA-512" hashValue="Zu1RS2osX55cXkUpI3EBw0Wd5P5Mc8LGAvLRgzJDyOin+7EZJmrPjZVvqfO6Out9NGQPZ1UwEG6uVz+A4hjf1A==" saltValue="MRj4s+/wwTM6EAMNcciaZw==" spinCount="100000" sheet="1" objects="1" scenarios="1"/>
  <protectedRanges>
    <protectedRange sqref="B4" name="Range3"/>
    <protectedRange sqref="I2:I3" name="Range2"/>
    <protectedRange sqref="C42:F43 C45 E44:F45 C47" name="Range1"/>
  </protectedRanges>
  <mergeCells count="45">
    <mergeCell ref="A45:B45"/>
    <mergeCell ref="C45:D45"/>
    <mergeCell ref="E45:F45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6:B36"/>
    <mergeCell ref="C36:D36"/>
    <mergeCell ref="E36:F36"/>
    <mergeCell ref="H36:I38"/>
    <mergeCell ref="A37:B37"/>
    <mergeCell ref="C37:D37"/>
    <mergeCell ref="E37:F37"/>
    <mergeCell ref="A38:B38"/>
    <mergeCell ref="C38:D38"/>
    <mergeCell ref="E38:F38"/>
    <mergeCell ref="C31:D31"/>
    <mergeCell ref="E31:F31"/>
    <mergeCell ref="C32:D32"/>
    <mergeCell ref="E32:F32"/>
    <mergeCell ref="A35:B35"/>
    <mergeCell ref="C35:D35"/>
    <mergeCell ref="E35:F35"/>
    <mergeCell ref="A26:A29"/>
    <mergeCell ref="G26:H29"/>
    <mergeCell ref="A1:F1"/>
    <mergeCell ref="A7:A8"/>
    <mergeCell ref="B7:C7"/>
    <mergeCell ref="D7:E7"/>
    <mergeCell ref="F7:F8"/>
    <mergeCell ref="A13:A15"/>
    <mergeCell ref="G13:H15"/>
    <mergeCell ref="A16:A19"/>
    <mergeCell ref="G16:H19"/>
    <mergeCell ref="A23:A25"/>
    <mergeCell ref="G23:H25"/>
  </mergeCells>
  <conditionalFormatting sqref="G13">
    <cfRule type="notContainsBlanks" dxfId="95" priority="6">
      <formula>LEN(TRIM(G13))&gt;0</formula>
    </cfRule>
  </conditionalFormatting>
  <conditionalFormatting sqref="G16">
    <cfRule type="notContainsBlanks" dxfId="94" priority="5">
      <formula>LEN(TRIM(G16))&gt;0</formula>
    </cfRule>
  </conditionalFormatting>
  <conditionalFormatting sqref="G23">
    <cfRule type="notContainsBlanks" dxfId="93" priority="4">
      <formula>LEN(TRIM(G23))&gt;0</formula>
    </cfRule>
  </conditionalFormatting>
  <conditionalFormatting sqref="G26">
    <cfRule type="notContainsBlanks" dxfId="92" priority="3">
      <formula>LEN(TRIM(G26))&gt;0</formula>
    </cfRule>
  </conditionalFormatting>
  <conditionalFormatting sqref="H36">
    <cfRule type="notContainsBlanks" dxfId="91" priority="2">
      <formula>LEN(TRIM(H36))&gt;0</formula>
    </cfRule>
  </conditionalFormatting>
  <conditionalFormatting sqref="I13:I19 I23:I29 J36:J38">
    <cfRule type="notContainsBlanks" dxfId="90" priority="1">
      <formula>LEN(TRIM(I13))&gt;0</formula>
    </cfRule>
  </conditionalFormatting>
  <pageMargins left="0.7" right="0.5" top="0.5" bottom="0.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rgb="FF00B0F0"/>
  </sheetPr>
  <dimension ref="A1:J52"/>
  <sheetViews>
    <sheetView topLeftCell="A4" workbookViewId="0">
      <selection activeCell="C47" sqref="C47"/>
    </sheetView>
  </sheetViews>
  <sheetFormatPr baseColWidth="10" defaultColWidth="9.1640625" defaultRowHeight="15" x14ac:dyDescent="0.2"/>
  <cols>
    <col min="1" max="1" width="14" style="2" customWidth="1"/>
    <col min="2" max="2" width="25.1640625" style="2" bestFit="1" customWidth="1"/>
    <col min="3" max="3" width="9.1640625" style="2" customWidth="1"/>
    <col min="4" max="4" width="12.33203125" style="2" bestFit="1" customWidth="1"/>
    <col min="5" max="7" width="9.6640625" style="2" customWidth="1"/>
    <col min="8" max="8" width="20.33203125" style="2" customWidth="1"/>
    <col min="9" max="9" width="20.6640625" style="2" customWidth="1"/>
    <col min="10" max="10" width="14.5" style="2" customWidth="1"/>
    <col min="11" max="16384" width="9.1640625" style="2"/>
  </cols>
  <sheetData>
    <row r="1" spans="1:9" ht="19" x14ac:dyDescent="0.25">
      <c r="A1" s="63" t="s">
        <v>60</v>
      </c>
      <c r="B1" s="63"/>
      <c r="C1" s="63"/>
      <c r="D1" s="63"/>
      <c r="E1" s="63"/>
      <c r="F1" s="63"/>
      <c r="I1" s="16" t="s">
        <v>59</v>
      </c>
    </row>
    <row r="2" spans="1:9" ht="16" x14ac:dyDescent="0.2">
      <c r="H2" s="16" t="s">
        <v>58</v>
      </c>
      <c r="I2" s="28">
        <v>42370.000011574099</v>
      </c>
    </row>
    <row r="3" spans="1:9" ht="16" x14ac:dyDescent="0.2">
      <c r="A3" s="2" t="s">
        <v>64</v>
      </c>
      <c r="C3" s="18" t="s">
        <v>65</v>
      </c>
      <c r="E3" s="2" t="s">
        <v>56</v>
      </c>
      <c r="F3" s="17">
        <f>YEAR($I$2)</f>
        <v>2016</v>
      </c>
      <c r="H3" s="16" t="s">
        <v>55</v>
      </c>
      <c r="I3" s="28">
        <v>42460.999988425901</v>
      </c>
    </row>
    <row r="4" spans="1:9" x14ac:dyDescent="0.2">
      <c r="A4" s="2" t="s">
        <v>54</v>
      </c>
      <c r="B4" s="2" t="s">
        <v>71</v>
      </c>
    </row>
    <row r="6" spans="1:9" x14ac:dyDescent="0.2">
      <c r="A6" s="2" t="s">
        <v>53</v>
      </c>
    </row>
    <row r="7" spans="1:9" x14ac:dyDescent="0.2">
      <c r="A7" s="66"/>
      <c r="B7" s="66" t="s">
        <v>14</v>
      </c>
      <c r="C7" s="66"/>
      <c r="D7" s="66" t="s">
        <v>16</v>
      </c>
      <c r="E7" s="66"/>
      <c r="F7" s="57" t="s">
        <v>33</v>
      </c>
    </row>
    <row r="8" spans="1:9" x14ac:dyDescent="0.2">
      <c r="A8" s="66"/>
      <c r="B8" s="27" t="s">
        <v>52</v>
      </c>
      <c r="C8" s="27" t="s">
        <v>61</v>
      </c>
      <c r="D8" s="27" t="s">
        <v>52</v>
      </c>
      <c r="E8" s="27" t="s">
        <v>61</v>
      </c>
      <c r="F8" s="57"/>
    </row>
    <row r="9" spans="1:9" x14ac:dyDescent="0.2">
      <c r="A9" s="12"/>
      <c r="B9" s="11">
        <f>COUNTIFS(GeneDate,"&gt;="&amp;$I$2,GeneDate,"&lt;="&amp;$I$3,GeneAge,"&lt;15",GeneSex,"Male",GeneMTB,"*tive")</f>
        <v>0</v>
      </c>
      <c r="C9" s="11">
        <f>COUNTIFS(GeneDate,"&gt;="&amp;$I$2,GeneDate,"&lt;="&amp;$I$3,GeneAge,"&gt;=15",GeneSex,"M*",GeneMTB,"*tive")</f>
        <v>0</v>
      </c>
      <c r="D9" s="11">
        <f>COUNTIFS(GeneDate,"&gt;="&amp;$I$2,GeneDate,"&lt;="&amp;$I$3,GeneAge,"&lt;15",GeneSex,"F*",GeneMTB,"*tive")</f>
        <v>0</v>
      </c>
      <c r="E9" s="8">
        <f>COUNTIFS(GeneDate,"&gt;="&amp;$I$2,GeneDate,"&lt;="&amp;$I$3,GeneAge,"&gt;=15",GeneSex,"F*",GeneMTB,"*tive")</f>
        <v>0</v>
      </c>
      <c r="F9" s="8">
        <f>COUNTIFS(GeneDate,"&gt;="&amp;$I$2,GeneDate,"&lt;="&amp;$I$3,GeneMTB,"*tive")</f>
        <v>0</v>
      </c>
      <c r="G9" s="7" t="str">
        <f>IF(SUM(B9:E9)=F9,"","Check Total Vaue &amp; Category")</f>
        <v/>
      </c>
      <c r="H9" s="26"/>
    </row>
    <row r="10" spans="1:9" ht="12" customHeight="1" x14ac:dyDescent="0.2">
      <c r="B10" s="19"/>
      <c r="E10" s="7"/>
      <c r="F10" s="7"/>
      <c r="G10" s="7"/>
    </row>
    <row r="11" spans="1:9" x14ac:dyDescent="0.2">
      <c r="A11" s="2" t="s">
        <v>51</v>
      </c>
      <c r="E11" s="7"/>
      <c r="F11" s="7"/>
      <c r="G11" s="7"/>
    </row>
    <row r="12" spans="1:9" x14ac:dyDescent="0.2">
      <c r="A12" s="12"/>
      <c r="B12" s="12"/>
      <c r="C12" s="27" t="s">
        <v>50</v>
      </c>
      <c r="D12" s="27" t="s">
        <v>49</v>
      </c>
      <c r="E12" s="13" t="s">
        <v>15</v>
      </c>
      <c r="F12" s="13" t="s">
        <v>33</v>
      </c>
      <c r="G12" s="7"/>
    </row>
    <row r="13" spans="1:9" ht="15" customHeight="1" x14ac:dyDescent="0.2">
      <c r="A13" s="58" t="s">
        <v>44</v>
      </c>
      <c r="B13" s="12" t="s">
        <v>43</v>
      </c>
      <c r="C13" s="11">
        <f>COUNTIFS(GeneDate,"&gt;="&amp;$I$2,GeneDate,"&lt;="&amp;$I$3,GeneMicroscope,"Pos*",GenePreviousHistory,"N*",GeneMTB,"*tive")</f>
        <v>0</v>
      </c>
      <c r="D13" s="11">
        <f>COUNTIFS(GeneDate,"&gt;="&amp;$I$2,GeneDate,"&lt;="&amp;$I$3,GeneMicroscope,"Pos*",GenePreviousHistory,"Y*",GeneMTB,"*tive")</f>
        <v>0</v>
      </c>
      <c r="E13" s="8">
        <f>COUNTIFS(GeneDate,"&gt;="&amp;$I$2,GeneDate,"&lt;="&amp;$I$3,GeneMicroscope,"Pos*",GenePreviousHistory,"Un*",GeneMTB,"*tive")</f>
        <v>0</v>
      </c>
      <c r="F13" s="8">
        <f>COUNTIFS(GeneDate,"&gt;="&amp;$I$2,GeneDate,"&lt;="&amp;$I$3,GeneMicroscope,"Pos*",GeneMTB,"*tive")</f>
        <v>0</v>
      </c>
      <c r="G13" s="48" t="str">
        <f>IF($F$9=SUM(F13:F15),"","Error! Possibly there were be Error or Missing information at Microscopy Result")</f>
        <v/>
      </c>
      <c r="H13" s="49"/>
      <c r="I13" s="10" t="str">
        <f t="shared" ref="I13:I19" si="0">IF(SUM(C13:E13)=F13,"","Check Total Vaue &amp; Category")</f>
        <v/>
      </c>
    </row>
    <row r="14" spans="1:9" x14ac:dyDescent="0.2">
      <c r="A14" s="59"/>
      <c r="B14" s="12" t="s">
        <v>42</v>
      </c>
      <c r="C14" s="11">
        <f>COUNTIFS(GeneDate,"&gt;="&amp;$I$2,GeneDate,"&lt;="&amp;$I$3,GeneMicroscope,"Neg*",GenePreviousHistory,"N*",GeneMTB,"*tive")</f>
        <v>0</v>
      </c>
      <c r="D14" s="11">
        <f>COUNTIFS(GeneDate,"&gt;="&amp;$I$2,GeneDate,"&lt;="&amp;$I$3,GeneMicroscope,"Neg*",GenePreviousHistory,"Y*",GeneMTB,"*tive")</f>
        <v>0</v>
      </c>
      <c r="E14" s="8">
        <f>COUNTIFS(GeneDate,"&gt;="&amp;$I$2,GeneDate,"&lt;="&amp;$I$3,GeneMicroscope,"Neg*",GenePreviousHistory,"Un*",GeneMTB,"*tive")</f>
        <v>0</v>
      </c>
      <c r="F14" s="8">
        <f>COUNTIFS(GeneDate,"&gt;="&amp;$I$2,GeneDate,"&lt;="&amp;$I$3,GeneMicroscope,"Neg*",GeneMTB,"*tive")</f>
        <v>0</v>
      </c>
      <c r="G14" s="48"/>
      <c r="H14" s="49"/>
      <c r="I14" s="10" t="str">
        <f t="shared" si="0"/>
        <v/>
      </c>
    </row>
    <row r="15" spans="1:9" x14ac:dyDescent="0.2">
      <c r="A15" s="60"/>
      <c r="B15" s="12" t="s">
        <v>41</v>
      </c>
      <c r="C15" s="11">
        <f>COUNTIFS(GeneDate,"&gt;="&amp;$I$2,GeneDate,"&lt;="&amp;$I$3,GeneMicroscope,"Not*",GenePreviousHistory,"N*",GeneMTB,"*tive")</f>
        <v>0</v>
      </c>
      <c r="D15" s="11">
        <f>COUNTIFS(GeneDate,"&gt;="&amp;$I$2,GeneDate,"&lt;="&amp;$I$3,GeneMicroscope,"Not*",GenePreviousHistory,"Y*",GeneMTB,"*tive")</f>
        <v>0</v>
      </c>
      <c r="E15" s="8">
        <f>COUNTIFS(GeneDate,"&gt;="&amp;$I$2,GeneDate,"&lt;="&amp;$I$3,GeneMicroscope,"Not*",GenePreviousHistory,"Un*",GeneMTB,"*tive")</f>
        <v>0</v>
      </c>
      <c r="F15" s="8">
        <f>COUNTIFS(GeneDate,"&gt;="&amp;$I$2,GeneDate,"&lt;="&amp;$I$3,GeneMicroscope,"Not*",GeneMTB,"*tive")</f>
        <v>0</v>
      </c>
      <c r="G15" s="48"/>
      <c r="H15" s="49"/>
      <c r="I15" s="10" t="str">
        <f t="shared" si="0"/>
        <v/>
      </c>
    </row>
    <row r="16" spans="1:9" x14ac:dyDescent="0.2">
      <c r="A16" s="57" t="s">
        <v>40</v>
      </c>
      <c r="B16" s="12" t="s">
        <v>13</v>
      </c>
      <c r="C16" s="11">
        <f>COUNTIFS(GeneDate,"&gt;="&amp;$I$2,GeneDate,"&lt;="&amp;$I$3,GenePreviousHistory,"N*",GeneMTB,"Neg*")</f>
        <v>0</v>
      </c>
      <c r="D16" s="11">
        <f>COUNTIFS(GeneDate,"&gt;="&amp;$I$2,GeneDate,"&lt;="&amp;$I$3,GenePreviousHistory,"Y*",GeneMTB,"Neg*")</f>
        <v>0</v>
      </c>
      <c r="E16" s="8">
        <f>F16-(C16+D16)</f>
        <v>0</v>
      </c>
      <c r="F16" s="8">
        <f>COUNTIFS(GeneDate,"&gt;="&amp;$I$2,GeneDate,"&lt;="&amp;$I$3,GeneMTB,"Neg*")</f>
        <v>0</v>
      </c>
      <c r="G16" s="48" t="str">
        <f>IF($F$9=SUM(F16:F19),"","Error! Cross information between Xpert result and treatment category are not match; possibly there will be Erorr or missing information on MTB result OR RIF result")</f>
        <v/>
      </c>
      <c r="H16" s="49"/>
      <c r="I16" s="10" t="str">
        <f t="shared" si="0"/>
        <v/>
      </c>
    </row>
    <row r="17" spans="1:9" x14ac:dyDescent="0.2">
      <c r="A17" s="57"/>
      <c r="B17" s="12" t="s">
        <v>39</v>
      </c>
      <c r="C17" s="11">
        <f>COUNTIFS(GeneDate,"&gt;="&amp;$I$2,GeneDate,"&lt;="&amp;$I$3,GenePreviousHistory,"N*",GeneMTB,"Pos*",GeneRif,"Neg*")</f>
        <v>0</v>
      </c>
      <c r="D17" s="11">
        <f>COUNTIFS(GeneDate,"&gt;="&amp;$I$2,GeneDate,"&lt;="&amp;$I$3,GenePreviousHistory,"Y*",GeneMTB,"Pos*",GeneRif,"Neg*")</f>
        <v>0</v>
      </c>
      <c r="E17" s="8">
        <f>F17-(C17+D17)</f>
        <v>0</v>
      </c>
      <c r="F17" s="8">
        <f>COUNTIFS(GeneDate,"&gt;="&amp;$I$2,GeneDate,"&lt;="&amp;$I$3,GeneMTB,"Pos*",GeneRif,"Neg*")</f>
        <v>0</v>
      </c>
      <c r="G17" s="48"/>
      <c r="H17" s="49"/>
      <c r="I17" s="10" t="str">
        <f t="shared" si="0"/>
        <v/>
      </c>
    </row>
    <row r="18" spans="1:9" x14ac:dyDescent="0.2">
      <c r="A18" s="57"/>
      <c r="B18" s="12" t="s">
        <v>38</v>
      </c>
      <c r="C18" s="11">
        <f>COUNTIFS(GeneDate,"&gt;="&amp;$I$2,GeneDate,"&lt;="&amp;$I$3,GenePreviousHistory,"N*",GeneMTB,"Pos*",GeneRif,"Pos*")</f>
        <v>0</v>
      </c>
      <c r="D18" s="11">
        <f>COUNTIFS(GeneDate,"&gt;="&amp;$I$2,GeneDate,"&lt;="&amp;$I$3,GenePreviousHistory,"Y*",GeneMTB,"Pos*",GeneRif,"Pos*")</f>
        <v>0</v>
      </c>
      <c r="E18" s="8">
        <f>F18-(C18+D18)</f>
        <v>0</v>
      </c>
      <c r="F18" s="8">
        <f>COUNTIFS(GeneDate,"&gt;="&amp;$I$2,GeneDate,"&lt;="&amp;$I$3,GeneMTB,"Pos*",GeneRif,"Pos*")</f>
        <v>0</v>
      </c>
      <c r="G18" s="48"/>
      <c r="H18" s="49"/>
      <c r="I18" s="10" t="str">
        <f t="shared" si="0"/>
        <v/>
      </c>
    </row>
    <row r="19" spans="1:9" x14ac:dyDescent="0.2">
      <c r="A19" s="57"/>
      <c r="B19" s="12" t="s">
        <v>48</v>
      </c>
      <c r="C19" s="11">
        <f>COUNTIFS(GeneDate,"&gt;="&amp;$I$2,GeneDate,"&lt;="&amp;$I$3,GenePreviousHistory,"N*",GeneMTB,"Pos*",GeneRif,"IND*")</f>
        <v>0</v>
      </c>
      <c r="D19" s="11">
        <f>COUNTIFS(GeneDate,"&gt;="&amp;$I$2,GeneDate,"&lt;="&amp;$I$3,GenePreviousHistory,"Y*",GeneMTB,"Pos*",GeneRif,"IND*")</f>
        <v>0</v>
      </c>
      <c r="E19" s="8">
        <f>F19-(C19+D19)</f>
        <v>0</v>
      </c>
      <c r="F19" s="8">
        <f>COUNTIFS(GeneDate,"&gt;="&amp;$I$2,GeneDate,"&lt;="&amp;$I$3,GeneMTB,"Pos*",GeneRif,"IND*")</f>
        <v>0</v>
      </c>
      <c r="G19" s="48"/>
      <c r="H19" s="49"/>
      <c r="I19" s="10" t="str">
        <f t="shared" si="0"/>
        <v/>
      </c>
    </row>
    <row r="20" spans="1:9" ht="12" customHeight="1" x14ac:dyDescent="0.2">
      <c r="E20" s="7"/>
      <c r="F20" s="7"/>
      <c r="G20" s="7"/>
    </row>
    <row r="21" spans="1:9" x14ac:dyDescent="0.2">
      <c r="A21" s="2" t="s">
        <v>47</v>
      </c>
      <c r="E21" s="7"/>
      <c r="F21" s="7"/>
      <c r="G21" s="7"/>
    </row>
    <row r="22" spans="1:9" ht="30" x14ac:dyDescent="0.2">
      <c r="A22" s="12"/>
      <c r="B22" s="12"/>
      <c r="C22" s="14" t="s">
        <v>46</v>
      </c>
      <c r="D22" s="14" t="s">
        <v>45</v>
      </c>
      <c r="E22" s="13" t="s">
        <v>15</v>
      </c>
      <c r="F22" s="13" t="s">
        <v>33</v>
      </c>
      <c r="G22" s="7"/>
    </row>
    <row r="23" spans="1:9" ht="15" customHeight="1" x14ac:dyDescent="0.2">
      <c r="A23" s="58" t="s">
        <v>44</v>
      </c>
      <c r="B23" s="12" t="s">
        <v>43</v>
      </c>
      <c r="C23" s="11">
        <f>COUNTIFS(GeneDate,"&gt;="&amp;$I$2,GeneDate,"&lt;="&amp;$I$3,GeneMicroscope,"Pos*",GeneHIV,"Pos*",GeneMTB,"*tive")</f>
        <v>0</v>
      </c>
      <c r="D23" s="11">
        <f>COUNTIFS(GeneDate,"&gt;="&amp;$I$2,GeneDate,"&lt;="&amp;$I$3,GeneMicroscope,"Pos*",GeneHIV,"Neg*",GeneMTB,"*tive")</f>
        <v>0</v>
      </c>
      <c r="E23" s="8">
        <f>COUNTIFS(GeneDate,"&gt;="&amp;$I$2,GeneDate,"&lt;="&amp;$I$3,GeneMicroscope,"Pos*",GeneHIV,"Un*",GeneMTB,"*tive")</f>
        <v>0</v>
      </c>
      <c r="F23" s="8">
        <f>COUNTIFS(GeneDate,"&gt;="&amp;$I$2,GeneDate,"&lt;="&amp;$I$3,GeneMicroscope,"Pos*",GeneMTB,"*tive")</f>
        <v>0</v>
      </c>
      <c r="G23" s="48" t="str">
        <f>IF($F$9=SUM(F23:F25),"","Error! Cross information between Microscope Result and HIV Status are not match; possibly there will be Erorr or missing information on Microscope Result OR HIV Status")</f>
        <v/>
      </c>
      <c r="H23" s="49"/>
      <c r="I23" s="10" t="str">
        <f t="shared" ref="I23:I29" si="1">IF(SUM(C23:E23)=F23,"","Check Total Vaue &amp; Category")</f>
        <v/>
      </c>
    </row>
    <row r="24" spans="1:9" x14ac:dyDescent="0.2">
      <c r="A24" s="59"/>
      <c r="B24" s="12" t="s">
        <v>42</v>
      </c>
      <c r="C24" s="11">
        <f>COUNTIFS(GeneDate,"&gt;="&amp;$I$2,GeneDate,"&lt;="&amp;$I$3,GeneMicroscope,"Neg*",GeneHIV,"Pos*",GeneMTB,"*tive")</f>
        <v>0</v>
      </c>
      <c r="D24" s="11">
        <f>COUNTIFS(GeneDate,"&gt;="&amp;$I$2,GeneDate,"&lt;="&amp;$I$3,GeneMicroscope,"Neg*",GeneHIV,"Neg*",GeneMTB,"*tive")</f>
        <v>0</v>
      </c>
      <c r="E24" s="8">
        <f>COUNTIFS(GeneDate,"&gt;="&amp;$I$2,GeneDate,"&lt;="&amp;$I$3,GeneMicroscope,"Neg*",GeneHIV,"Un*",GeneMTB,"*tive")</f>
        <v>0</v>
      </c>
      <c r="F24" s="8">
        <f>COUNTIFS(GeneDate,"&gt;="&amp;$I$2,GeneDate,"&lt;="&amp;$I$3,GeneMicroscope,"Neg*",GeneMTB,"*tive")</f>
        <v>0</v>
      </c>
      <c r="G24" s="48"/>
      <c r="H24" s="49"/>
      <c r="I24" s="10" t="str">
        <f t="shared" si="1"/>
        <v/>
      </c>
    </row>
    <row r="25" spans="1:9" x14ac:dyDescent="0.2">
      <c r="A25" s="60"/>
      <c r="B25" s="12" t="s">
        <v>41</v>
      </c>
      <c r="C25" s="11">
        <f>COUNTIFS(GeneDate,"&gt;="&amp;$I$2,GeneDate,"&lt;="&amp;$I$3,GeneMicroscope,"Not*",GeneHIV,"Pos*",GeneMTB,"*tive")</f>
        <v>0</v>
      </c>
      <c r="D25" s="11">
        <f>COUNTIFS(GeneDate,"&gt;="&amp;$I$2,GeneDate,"&lt;="&amp;$I$3,GeneMicroscope,"Not*",GeneHIV,"Neg*",GeneMTB,"*tive")</f>
        <v>0</v>
      </c>
      <c r="E25" s="8">
        <f>COUNTIFS(GeneDate,"&gt;="&amp;$I$2,GeneDate,"&lt;="&amp;$I$3,GeneMicroscope,"Not*",GeneHIV,"Un*",GeneMTB,"*tive")</f>
        <v>0</v>
      </c>
      <c r="F25" s="8">
        <f>COUNTIFS(GeneDate,"&gt;="&amp;$I$2,GeneDate,"&lt;="&amp;$I$3,GeneMicroscope,"Not*",GeneMTB,"*tive")</f>
        <v>0</v>
      </c>
      <c r="G25" s="48"/>
      <c r="H25" s="49"/>
      <c r="I25" s="10" t="str">
        <f t="shared" si="1"/>
        <v/>
      </c>
    </row>
    <row r="26" spans="1:9" x14ac:dyDescent="0.2">
      <c r="A26" s="57" t="s">
        <v>40</v>
      </c>
      <c r="B26" s="12" t="s">
        <v>13</v>
      </c>
      <c r="C26" s="11">
        <f>COUNTIFS(GeneDate,"&gt;="&amp;$I$2,GeneDate,"&lt;="&amp;$I$3,GeneHIV,"Pos*",GeneMTB,"Neg*")</f>
        <v>0</v>
      </c>
      <c r="D26" s="11">
        <f>COUNTIFS(GeneDate,"&gt;="&amp;$I$2,GeneDate,"&lt;="&amp;$I$3,GeneHIV,"Neg*",GeneMTB,"Neg*")</f>
        <v>0</v>
      </c>
      <c r="E26" s="8">
        <f>COUNTIFS(GeneDate,"&gt;="&amp;$I$2,GeneDate,"&lt;="&amp;$I$3,GeneHIV,"Un*",GeneMTB,"Neg*")</f>
        <v>0</v>
      </c>
      <c r="F26" s="8">
        <f>COUNTIFS(GeneDate,"&gt;="&amp;$I$2,GeneDate,"&lt;="&amp;$I$3,GeneMTB,"*tive",GeneMTB,"Neg*")</f>
        <v>0</v>
      </c>
      <c r="G26" s="48" t="str">
        <f>IF($F$9=SUM(F26:F29),"","Error! Cross information between Xpert result and HIV Status are not match; possibly there will be Erorr or missing information on MTB result OR HIV Status")</f>
        <v/>
      </c>
      <c r="H26" s="49"/>
      <c r="I26" s="10" t="str">
        <f t="shared" si="1"/>
        <v/>
      </c>
    </row>
    <row r="27" spans="1:9" x14ac:dyDescent="0.2">
      <c r="A27" s="57"/>
      <c r="B27" s="12" t="s">
        <v>39</v>
      </c>
      <c r="C27" s="11">
        <f>COUNTIFS(GeneDate,"&gt;="&amp;$I$2,GeneDate,"&lt;="&amp;$I$3,GeneHIV,"Pos*",GeneMTB,"Pos*",GeneRif,"Neg*")</f>
        <v>0</v>
      </c>
      <c r="D27" s="11">
        <f>COUNTIFS(GeneDate,"&gt;="&amp;$I$2,GeneDate,"&lt;="&amp;$I$3,GeneHIV,"Neg*",GeneMTB,"Pos*",GeneRif,"Neg*")</f>
        <v>0</v>
      </c>
      <c r="E27" s="8">
        <f>COUNTIFS(GeneDate,"&gt;="&amp;$I$2,GeneDate,"&lt;="&amp;$I$3,GeneHIV,"Un*",GeneMTB,"Pos*",GeneRif,"Neg*")</f>
        <v>0</v>
      </c>
      <c r="F27" s="8">
        <f>COUNTIFS(GeneDate,"&gt;="&amp;$I$2,GeneDate,"&lt;="&amp;$I$3,GeneMTB,"Pos*",GeneRif,"Neg*")</f>
        <v>0</v>
      </c>
      <c r="G27" s="48"/>
      <c r="H27" s="49"/>
      <c r="I27" s="10" t="str">
        <f t="shared" si="1"/>
        <v/>
      </c>
    </row>
    <row r="28" spans="1:9" x14ac:dyDescent="0.2">
      <c r="A28" s="57"/>
      <c r="B28" s="12" t="s">
        <v>38</v>
      </c>
      <c r="C28" s="11">
        <f>COUNTIFS(GeneDate,"&gt;="&amp;$I$2,GeneDate,"&lt;="&amp;$I$3,GeneHIV,"Pos*",GeneMTB,"Pos*",GeneRif,"Pos*")</f>
        <v>0</v>
      </c>
      <c r="D28" s="11">
        <f>COUNTIFS(GeneDate,"&gt;="&amp;$I$2,GeneDate,"&lt;="&amp;$I$3,GeneHIV,"Neg*",GeneMTB,"Pos*",GeneRif,"Pos*")</f>
        <v>0</v>
      </c>
      <c r="E28" s="8">
        <f>COUNTIFS(GeneDate,"&gt;="&amp;$I$2,GeneDate,"&lt;="&amp;$I$3,GeneHIV,"Un*",GeneMTB,"Pos*",GeneRif,"Pos*")</f>
        <v>0</v>
      </c>
      <c r="F28" s="8">
        <f>COUNTIFS(GeneDate,"&gt;="&amp;$I$2,GeneDate,"&lt;="&amp;$I$3,GeneMTB,"Pos*",GeneRif,"Pos*")</f>
        <v>0</v>
      </c>
      <c r="G28" s="48"/>
      <c r="H28" s="49"/>
      <c r="I28" s="10" t="str">
        <f t="shared" si="1"/>
        <v/>
      </c>
    </row>
    <row r="29" spans="1:9" x14ac:dyDescent="0.2">
      <c r="A29" s="57"/>
      <c r="B29" s="12" t="s">
        <v>37</v>
      </c>
      <c r="C29" s="11">
        <f>COUNTIFS(GeneDate,"&gt;="&amp;$I$2,GeneDate,"&lt;="&amp;$I$3,GeneHIV,"Pos*",GeneMTB,"Pos*",GeneRif,"IND*")</f>
        <v>0</v>
      </c>
      <c r="D29" s="11">
        <f>COUNTIFS(GeneDate,"&gt;="&amp;$I$2,GeneDate,"&lt;="&amp;$I$3,GeneHIV,"Neg*",GeneMTB,"Pos*",GeneRif,"IND*")</f>
        <v>0</v>
      </c>
      <c r="E29" s="8">
        <f>COUNTIFS(GeneDate,"&gt;="&amp;$I$2,GeneDate,"&lt;="&amp;$I$3,GeneHIV,"Un*",GeneMTB,"Pos*",GeneRif,"IND*")</f>
        <v>0</v>
      </c>
      <c r="F29" s="8">
        <f>COUNTIFS(GeneDate,"&gt;="&amp;$I$2,GeneDate,"&lt;="&amp;$I$3,GeneMTB,"Pos*",GeneRif,"IND*")</f>
        <v>0</v>
      </c>
      <c r="G29" s="48"/>
      <c r="H29" s="49"/>
      <c r="I29" s="10" t="str">
        <f t="shared" si="1"/>
        <v/>
      </c>
    </row>
    <row r="30" spans="1:9" ht="12" customHeight="1" x14ac:dyDescent="0.2">
      <c r="E30" s="7"/>
      <c r="F30" s="7"/>
      <c r="G30" s="7"/>
    </row>
    <row r="31" spans="1:9" x14ac:dyDescent="0.2">
      <c r="A31" s="4"/>
      <c r="B31" s="25"/>
      <c r="C31" s="61" t="s">
        <v>14</v>
      </c>
      <c r="D31" s="62"/>
      <c r="E31" s="61" t="s">
        <v>16</v>
      </c>
      <c r="F31" s="62"/>
      <c r="G31" s="9" t="s">
        <v>33</v>
      </c>
    </row>
    <row r="32" spans="1:9" x14ac:dyDescent="0.2">
      <c r="A32" s="24" t="s">
        <v>62</v>
      </c>
      <c r="B32" s="24"/>
      <c r="C32" s="61">
        <f>COUNTIFS(GeneDate,"&gt;="&amp;$I$2,GeneDate,"&lt;="&amp;$I$3,GeneMTB,"Pos*",GeneRif,"Pos*",GeneSex,"Male")</f>
        <v>0</v>
      </c>
      <c r="D32" s="62"/>
      <c r="E32" s="64">
        <f>COUNTIFS(GeneDate,"&gt;="&amp;$I$2,GeneDate,"&lt;="&amp;$I$3,GeneMTB,"Pos*",GeneRif,"Pos*",GeneSex,"Female")</f>
        <v>0</v>
      </c>
      <c r="F32" s="65"/>
      <c r="G32" s="8">
        <f>COUNTIFS(GeneDate,"&gt;="&amp;$I$2,GeneDate,"&lt;="&amp;$I$3,GeneMTB,"Pos*",GeneRif,"Pos*")</f>
        <v>0</v>
      </c>
    </row>
    <row r="33" spans="1:10" ht="12" customHeight="1" x14ac:dyDescent="0.2">
      <c r="E33" s="7"/>
      <c r="F33" s="7"/>
      <c r="G33" s="7"/>
    </row>
    <row r="34" spans="1:10" x14ac:dyDescent="0.2">
      <c r="A34" s="2" t="s">
        <v>36</v>
      </c>
      <c r="E34" s="7"/>
      <c r="F34" s="7"/>
      <c r="G34" s="7"/>
    </row>
    <row r="35" spans="1:10" x14ac:dyDescent="0.2">
      <c r="A35" s="61"/>
      <c r="B35" s="62"/>
      <c r="C35" s="61" t="s">
        <v>35</v>
      </c>
      <c r="D35" s="62"/>
      <c r="E35" s="64" t="s">
        <v>34</v>
      </c>
      <c r="F35" s="65"/>
      <c r="G35" s="9" t="s">
        <v>33</v>
      </c>
    </row>
    <row r="36" spans="1:10" x14ac:dyDescent="0.2">
      <c r="A36" s="50" t="s">
        <v>32</v>
      </c>
      <c r="B36" s="50"/>
      <c r="C36" s="51">
        <f>COUNTIFS(GeneDate,"&gt;="&amp;$I$2,GeneDate,"&lt;="&amp;$I$3,GeneMTB,"Pos*",GeneMicroscope,"Pos*")</f>
        <v>0</v>
      </c>
      <c r="D36" s="52"/>
      <c r="E36" s="53">
        <f>COUNTIFS(GeneDate,"&gt;="&amp;$I$2,GeneDate,"&lt;="&amp;$I$3,GeneMTB,"Neg*",GeneMicroscope,"Pos*")</f>
        <v>0</v>
      </c>
      <c r="F36" s="54"/>
      <c r="G36" s="8">
        <f>COUNTIFS(GeneDate,"&gt;="&amp;$I$2,GeneDate,"&lt;="&amp;$I$3,GeneMicroscope,"Pos*",GeneMTB,"*tive")</f>
        <v>0</v>
      </c>
      <c r="H36" s="55" t="str">
        <f>IF($F$9=SUM(G36:G38),"","Error! Cross information between Xpert result and Microscope result are not match; possibly there will be Erorr or missing information on MTB result OR Microscope result")</f>
        <v/>
      </c>
      <c r="I36" s="56"/>
      <c r="J36" s="2" t="str">
        <f>IF(SUM(C36:F36)=G36,"","Check Total Vaue &amp; Category")</f>
        <v/>
      </c>
    </row>
    <row r="37" spans="1:10" x14ac:dyDescent="0.2">
      <c r="A37" s="50" t="s">
        <v>31</v>
      </c>
      <c r="B37" s="50"/>
      <c r="C37" s="51">
        <f>COUNTIFS(GeneDate,"&gt;="&amp;$I$2,GeneDate,"&lt;="&amp;$I$3,GeneMTB,"Pos*",GeneMicroscope,"Neg*")</f>
        <v>0</v>
      </c>
      <c r="D37" s="52"/>
      <c r="E37" s="53">
        <f>COUNTIFS(GeneDate,"&gt;="&amp;$I$2,GeneDate,"&lt;="&amp;$I$3,GeneMTB,"Neg*",GeneMicroscope,"Neg*")</f>
        <v>0</v>
      </c>
      <c r="F37" s="54"/>
      <c r="G37" s="8">
        <f>COUNTIFS(GeneDate,"&gt;="&amp;$I$2,GeneDate,"&lt;="&amp;$I$3,GeneMicroscope,"Neg*",GeneMTB,"*tive")</f>
        <v>0</v>
      </c>
      <c r="H37" s="55"/>
      <c r="I37" s="56"/>
      <c r="J37" s="2" t="str">
        <f>IF(SUM(C37:F37)=G37,"","Check Total Vaue &amp; Category")</f>
        <v/>
      </c>
    </row>
    <row r="38" spans="1:10" x14ac:dyDescent="0.2">
      <c r="A38" s="50" t="s">
        <v>30</v>
      </c>
      <c r="B38" s="50"/>
      <c r="C38" s="51">
        <f>COUNTIFS(GeneDate,"&gt;="&amp;$I$2,GeneDate,"&lt;="&amp;$I$3,GeneMTB,"Pos*",GeneMicroscope,"Not*")</f>
        <v>0</v>
      </c>
      <c r="D38" s="52"/>
      <c r="E38" s="53">
        <f>COUNTIFS(GeneDate,"&gt;="&amp;$I$2,GeneDate,"&lt;="&amp;$I$3,GeneMTB,"Neg*",GeneMicroscope,"Not*")</f>
        <v>0</v>
      </c>
      <c r="F38" s="54"/>
      <c r="G38" s="8">
        <f>COUNTIFS(GeneDate,"&gt;="&amp;$I$2,GeneDate,"&lt;="&amp;$I$3,GeneMTB,"*tive",GeneMicroscope,"Not*")</f>
        <v>0</v>
      </c>
      <c r="H38" s="55"/>
      <c r="I38" s="56"/>
      <c r="J38" s="2" t="str">
        <f>IF(SUM(C38:F38)=G38,"","Check Total Vaue &amp; Category")</f>
        <v/>
      </c>
    </row>
    <row r="39" spans="1:10" ht="12" customHeight="1" x14ac:dyDescent="0.2">
      <c r="D39" s="2" t="str">
        <f>IF(SUM(C36:D38)=SUM(F27:F29),"","Error")</f>
        <v/>
      </c>
      <c r="E39" s="7"/>
      <c r="F39" s="7"/>
      <c r="G39" s="7"/>
    </row>
    <row r="40" spans="1:10" x14ac:dyDescent="0.2">
      <c r="A40" s="2" t="s">
        <v>29</v>
      </c>
    </row>
    <row r="41" spans="1:10" x14ac:dyDescent="0.2">
      <c r="A41" s="66"/>
      <c r="B41" s="66"/>
      <c r="C41" s="61" t="s">
        <v>28</v>
      </c>
      <c r="D41" s="62"/>
      <c r="E41" s="66" t="s">
        <v>27</v>
      </c>
      <c r="F41" s="66"/>
    </row>
    <row r="42" spans="1:10" x14ac:dyDescent="0.2">
      <c r="A42" s="50" t="s">
        <v>26</v>
      </c>
      <c r="B42" s="50"/>
      <c r="C42" s="51"/>
      <c r="D42" s="52"/>
      <c r="E42" s="67"/>
      <c r="F42" s="67"/>
    </row>
    <row r="43" spans="1:10" x14ac:dyDescent="0.2">
      <c r="A43" s="50" t="s">
        <v>25</v>
      </c>
      <c r="B43" s="50"/>
      <c r="C43" s="51"/>
      <c r="D43" s="52"/>
      <c r="E43" s="67" t="s">
        <v>24</v>
      </c>
      <c r="F43" s="67"/>
    </row>
    <row r="44" spans="1:10" x14ac:dyDescent="0.2">
      <c r="A44" s="50" t="s">
        <v>23</v>
      </c>
      <c r="B44" s="50"/>
      <c r="C44" s="68">
        <f>C46+F9+C47</f>
        <v>0</v>
      </c>
      <c r="D44" s="69"/>
      <c r="E44" s="67"/>
      <c r="F44" s="67"/>
      <c r="G44" s="6"/>
    </row>
    <row r="45" spans="1:10" x14ac:dyDescent="0.2">
      <c r="A45" s="50" t="s">
        <v>22</v>
      </c>
      <c r="B45" s="50"/>
      <c r="C45" s="68">
        <f>SUM(C42+C43)-C44</f>
        <v>0</v>
      </c>
      <c r="D45" s="69"/>
      <c r="E45" s="67"/>
      <c r="F45" s="67"/>
    </row>
    <row r="46" spans="1:10" x14ac:dyDescent="0.2">
      <c r="A46" s="5" t="s">
        <v>21</v>
      </c>
      <c r="B46" s="5"/>
      <c r="C46" s="23">
        <f>COUNTIFS(GeneDate,"&gt;="&amp;$I$2,GeneDate,"&lt;="&amp;$I$3,GeneMTB,"Error")+COUNTIFS(GeneDate,"&gt;="&amp;$I$2,GeneDate,"&lt;="&amp;$I$3,GeneMTB,"Invalid")+COUNTIFS(GeneDate,"&gt;="&amp;$I$2,GeneDate,"&lt;="&amp;$I$3,GeneMTB,"*Result*")</f>
        <v>0</v>
      </c>
    </row>
    <row r="47" spans="1:10" x14ac:dyDescent="0.2">
      <c r="A47" s="5" t="s">
        <v>63</v>
      </c>
      <c r="C47" s="5">
        <f>SUM('Jan16'!C47,'Feb16'!C47,'Mar16'!C47)</f>
        <v>0</v>
      </c>
    </row>
    <row r="49" spans="5:7" x14ac:dyDescent="0.2">
      <c r="E49" s="2" t="s">
        <v>20</v>
      </c>
      <c r="F49" s="4"/>
      <c r="G49" s="4"/>
    </row>
    <row r="50" spans="5:7" x14ac:dyDescent="0.2">
      <c r="E50" s="2" t="s">
        <v>19</v>
      </c>
      <c r="F50" s="3"/>
      <c r="G50" s="3"/>
    </row>
    <row r="51" spans="5:7" x14ac:dyDescent="0.2">
      <c r="E51" s="2" t="s">
        <v>18</v>
      </c>
      <c r="F51" s="3"/>
      <c r="G51" s="3"/>
    </row>
    <row r="52" spans="5:7" x14ac:dyDescent="0.2">
      <c r="E52" s="2" t="s">
        <v>17</v>
      </c>
      <c r="F52" s="3"/>
      <c r="G52" s="3"/>
    </row>
  </sheetData>
  <sheetProtection algorithmName="SHA-512" hashValue="hAuxuVBP8OTwBuLkQ7AqZUgBRwI0O+AhWfF5rSYjjKdTrRXCG+kDL9g3yy8MX3GusVweekc0E/fkt+n3brQT0w==" saltValue="cI6uIt1pojI3bnpxwQRCAA==" spinCount="100000" sheet="1" objects="1" scenarios="1"/>
  <protectedRanges>
    <protectedRange sqref="B4" name="Range3"/>
    <protectedRange sqref="I2:I3" name="Range2"/>
    <protectedRange sqref="C42:F43 C45 E44:F45 C47" name="Range1"/>
  </protectedRanges>
  <mergeCells count="45">
    <mergeCell ref="A45:B45"/>
    <mergeCell ref="C45:D45"/>
    <mergeCell ref="E45:F45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6:B36"/>
    <mergeCell ref="C36:D36"/>
    <mergeCell ref="E36:F36"/>
    <mergeCell ref="H36:I38"/>
    <mergeCell ref="A37:B37"/>
    <mergeCell ref="C37:D37"/>
    <mergeCell ref="E37:F37"/>
    <mergeCell ref="A38:B38"/>
    <mergeCell ref="C38:D38"/>
    <mergeCell ref="E38:F38"/>
    <mergeCell ref="C31:D31"/>
    <mergeCell ref="E31:F31"/>
    <mergeCell ref="C32:D32"/>
    <mergeCell ref="E32:F32"/>
    <mergeCell ref="A35:B35"/>
    <mergeCell ref="C35:D35"/>
    <mergeCell ref="E35:F35"/>
    <mergeCell ref="A26:A29"/>
    <mergeCell ref="G26:H29"/>
    <mergeCell ref="A1:F1"/>
    <mergeCell ref="A7:A8"/>
    <mergeCell ref="B7:C7"/>
    <mergeCell ref="D7:E7"/>
    <mergeCell ref="F7:F8"/>
    <mergeCell ref="A13:A15"/>
    <mergeCell ref="G13:H15"/>
    <mergeCell ref="A16:A19"/>
    <mergeCell ref="G16:H19"/>
    <mergeCell ref="A23:A25"/>
    <mergeCell ref="G23:H25"/>
  </mergeCells>
  <conditionalFormatting sqref="G13">
    <cfRule type="notContainsBlanks" dxfId="89" priority="6">
      <formula>LEN(TRIM(G13))&gt;0</formula>
    </cfRule>
  </conditionalFormatting>
  <conditionalFormatting sqref="G16">
    <cfRule type="notContainsBlanks" dxfId="88" priority="5">
      <formula>LEN(TRIM(G16))&gt;0</formula>
    </cfRule>
  </conditionalFormatting>
  <conditionalFormatting sqref="G23">
    <cfRule type="notContainsBlanks" dxfId="87" priority="4">
      <formula>LEN(TRIM(G23))&gt;0</formula>
    </cfRule>
  </conditionalFormatting>
  <conditionalFormatting sqref="G26">
    <cfRule type="notContainsBlanks" dxfId="86" priority="3">
      <formula>LEN(TRIM(G26))&gt;0</formula>
    </cfRule>
  </conditionalFormatting>
  <conditionalFormatting sqref="H36">
    <cfRule type="notContainsBlanks" dxfId="85" priority="2">
      <formula>LEN(TRIM(H36))&gt;0</formula>
    </cfRule>
  </conditionalFormatting>
  <conditionalFormatting sqref="I13:I19 I23:I29 J36:J38">
    <cfRule type="notContainsBlanks" dxfId="84" priority="1">
      <formula>LEN(TRIM(I13))&gt;0</formula>
    </cfRule>
  </conditionalFormatting>
  <pageMargins left="0.7" right="0.5" top="0.5" bottom="0.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J52"/>
  <sheetViews>
    <sheetView workbookViewId="0">
      <selection activeCell="I2" sqref="I2:I3"/>
    </sheetView>
  </sheetViews>
  <sheetFormatPr baseColWidth="10" defaultColWidth="9.1640625" defaultRowHeight="15" x14ac:dyDescent="0.2"/>
  <cols>
    <col min="1" max="1" width="14" style="2" customWidth="1"/>
    <col min="2" max="2" width="25.1640625" style="2" bestFit="1" customWidth="1"/>
    <col min="3" max="3" width="9.1640625" style="2" customWidth="1"/>
    <col min="4" max="4" width="12.33203125" style="2" bestFit="1" customWidth="1"/>
    <col min="5" max="7" width="9.6640625" style="2" customWidth="1"/>
    <col min="8" max="8" width="20.33203125" style="2" customWidth="1"/>
    <col min="9" max="9" width="20.6640625" style="2" customWidth="1"/>
    <col min="10" max="10" width="14.5" style="2" customWidth="1"/>
    <col min="11" max="16384" width="9.1640625" style="2"/>
  </cols>
  <sheetData>
    <row r="1" spans="1:9" ht="19" x14ac:dyDescent="0.25">
      <c r="A1" s="63" t="s">
        <v>60</v>
      </c>
      <c r="B1" s="63"/>
      <c r="C1" s="63"/>
      <c r="D1" s="63"/>
      <c r="E1" s="63"/>
      <c r="F1" s="63"/>
      <c r="I1" s="16" t="s">
        <v>59</v>
      </c>
    </row>
    <row r="2" spans="1:9" ht="16" x14ac:dyDescent="0.2">
      <c r="H2" s="16" t="s">
        <v>58</v>
      </c>
      <c r="I2" s="28">
        <v>42461.000011574099</v>
      </c>
    </row>
    <row r="3" spans="1:9" ht="16" x14ac:dyDescent="0.2">
      <c r="A3" s="2" t="s">
        <v>57</v>
      </c>
      <c r="C3" s="18" t="str">
        <f>IF(MONTH($I$2)=1,"January",IF(MONTH($I$2)=2,"February",IF(MONTH($I$2)=3,"March",IF(MONTH($I$2)=4,"April",IF(MONTH($I$2)=5,"May",IF(MONTH($I$2)=6,"June",IF(MONTH($I$2)=7,"July",IF(MONTH($I$2)=8,"Auguest",IF(MONTH($I$2)=9,"September",IF(MONTH($I$2)=10,"October",IF(MONTH($I$2)=11,"November",IF(MONTH($I$2)=12,"December",A3))))))))))))</f>
        <v>April</v>
      </c>
      <c r="E3" s="2" t="s">
        <v>56</v>
      </c>
      <c r="F3" s="17">
        <f>YEAR($I$2)</f>
        <v>2016</v>
      </c>
      <c r="H3" s="16" t="s">
        <v>55</v>
      </c>
      <c r="I3" s="28">
        <v>42490.999988425901</v>
      </c>
    </row>
    <row r="4" spans="1:9" x14ac:dyDescent="0.2">
      <c r="A4" s="2" t="s">
        <v>54</v>
      </c>
    </row>
    <row r="6" spans="1:9" x14ac:dyDescent="0.2">
      <c r="A6" s="2" t="s">
        <v>53</v>
      </c>
    </row>
    <row r="7" spans="1:9" x14ac:dyDescent="0.2">
      <c r="A7" s="66"/>
      <c r="B7" s="66" t="s">
        <v>14</v>
      </c>
      <c r="C7" s="66"/>
      <c r="D7" s="66" t="s">
        <v>16</v>
      </c>
      <c r="E7" s="66"/>
      <c r="F7" s="57" t="s">
        <v>33</v>
      </c>
    </row>
    <row r="8" spans="1:9" x14ac:dyDescent="0.2">
      <c r="A8" s="66"/>
      <c r="B8" s="27" t="s">
        <v>52</v>
      </c>
      <c r="C8" s="27" t="s">
        <v>61</v>
      </c>
      <c r="D8" s="27" t="s">
        <v>52</v>
      </c>
      <c r="E8" s="27" t="s">
        <v>61</v>
      </c>
      <c r="F8" s="57"/>
    </row>
    <row r="9" spans="1:9" x14ac:dyDescent="0.2">
      <c r="A9" s="12"/>
      <c r="B9" s="11">
        <f>COUNTIFS(GeneDate,"&gt;="&amp;$I$2,GeneDate,"&lt;="&amp;$I$3,GeneAge,"&lt;15",GeneSex,"Male",GeneMTB,"*tive")</f>
        <v>0</v>
      </c>
      <c r="C9" s="11">
        <f>COUNTIFS(GeneDate,"&gt;="&amp;$I$2,GeneDate,"&lt;="&amp;$I$3,GeneAge,"&gt;=15",GeneSex,"M*",GeneMTB,"*tive")</f>
        <v>0</v>
      </c>
      <c r="D9" s="11">
        <f>COUNTIFS(GeneDate,"&gt;="&amp;$I$2,GeneDate,"&lt;="&amp;$I$3,GeneAge,"&lt;15",GeneSex,"F*",GeneMTB,"*tive")</f>
        <v>0</v>
      </c>
      <c r="E9" s="8">
        <f>COUNTIFS(GeneDate,"&gt;="&amp;$I$2,GeneDate,"&lt;="&amp;$I$3,GeneAge,"&gt;=15",GeneSex,"F*",GeneMTB,"*tive")</f>
        <v>0</v>
      </c>
      <c r="F9" s="8">
        <f>COUNTIFS(GeneDate,"&gt;="&amp;$I$2,GeneDate,"&lt;="&amp;$I$3,GeneMTB,"*tive")</f>
        <v>0</v>
      </c>
      <c r="G9" s="7" t="str">
        <f>IF(SUM(B9:E9)=F9,"","Check Total Vaue &amp; Category")</f>
        <v/>
      </c>
      <c r="H9" s="26"/>
    </row>
    <row r="10" spans="1:9" ht="12" customHeight="1" x14ac:dyDescent="0.2">
      <c r="B10" s="19"/>
      <c r="E10" s="7"/>
      <c r="F10" s="7"/>
      <c r="G10" s="7"/>
    </row>
    <row r="11" spans="1:9" x14ac:dyDescent="0.2">
      <c r="A11" s="2" t="s">
        <v>51</v>
      </c>
      <c r="E11" s="7"/>
      <c r="F11" s="7"/>
      <c r="G11" s="7"/>
    </row>
    <row r="12" spans="1:9" x14ac:dyDescent="0.2">
      <c r="A12" s="12"/>
      <c r="B12" s="12"/>
      <c r="C12" s="27" t="s">
        <v>50</v>
      </c>
      <c r="D12" s="27" t="s">
        <v>49</v>
      </c>
      <c r="E12" s="13" t="s">
        <v>15</v>
      </c>
      <c r="F12" s="13" t="s">
        <v>33</v>
      </c>
      <c r="G12" s="7"/>
    </row>
    <row r="13" spans="1:9" ht="15" customHeight="1" x14ac:dyDescent="0.2">
      <c r="A13" s="58" t="s">
        <v>44</v>
      </c>
      <c r="B13" s="12" t="s">
        <v>43</v>
      </c>
      <c r="C13" s="11">
        <f>COUNTIFS(GeneDate,"&gt;="&amp;$I$2,GeneDate,"&lt;="&amp;$I$3,GeneMicroscope,"Pos*",GenePreviousHistory,"N*",GeneMTB,"*tive")</f>
        <v>0</v>
      </c>
      <c r="D13" s="11">
        <f>COUNTIFS(GeneDate,"&gt;="&amp;$I$2,GeneDate,"&lt;="&amp;$I$3,GeneMicroscope,"Pos*",GenePreviousHistory,"Y*",GeneMTB,"*tive")</f>
        <v>0</v>
      </c>
      <c r="E13" s="8">
        <f>COUNTIFS(GeneDate,"&gt;="&amp;$I$2,GeneDate,"&lt;="&amp;$I$3,GeneMicroscope,"Pos*",GenePreviousHistory,"Un*",GeneMTB,"*tive")</f>
        <v>0</v>
      </c>
      <c r="F13" s="8">
        <f>COUNTIFS(GeneDate,"&gt;="&amp;$I$2,GeneDate,"&lt;="&amp;$I$3,GeneMicroscope,"Pos*",GeneMTB,"*tive")</f>
        <v>0</v>
      </c>
      <c r="G13" s="48" t="str">
        <f>IF($F$9=SUM(F13:F15),"","Error! Possibly there were be Error or Missing information at Microscopy Result")</f>
        <v/>
      </c>
      <c r="H13" s="49"/>
      <c r="I13" s="10" t="str">
        <f t="shared" ref="I13:I19" si="0">IF(SUM(C13:E13)=F13,"","Check Total Vaue &amp; Category")</f>
        <v/>
      </c>
    </row>
    <row r="14" spans="1:9" x14ac:dyDescent="0.2">
      <c r="A14" s="59"/>
      <c r="B14" s="12" t="s">
        <v>42</v>
      </c>
      <c r="C14" s="11">
        <f>COUNTIFS(GeneDate,"&gt;="&amp;$I$2,GeneDate,"&lt;="&amp;$I$3,GeneMicroscope,"Neg*",GenePreviousHistory,"N*",GeneMTB,"*tive")</f>
        <v>0</v>
      </c>
      <c r="D14" s="11">
        <f>COUNTIFS(GeneDate,"&gt;="&amp;$I$2,GeneDate,"&lt;="&amp;$I$3,GeneMicroscope,"Neg*",GenePreviousHistory,"Y*",GeneMTB,"*tive")</f>
        <v>0</v>
      </c>
      <c r="E14" s="8">
        <f>COUNTIFS(GeneDate,"&gt;="&amp;$I$2,GeneDate,"&lt;="&amp;$I$3,GeneMicroscope,"Neg*",GenePreviousHistory,"Un*",GeneMTB,"*tive")</f>
        <v>0</v>
      </c>
      <c r="F14" s="8">
        <f>COUNTIFS(GeneDate,"&gt;="&amp;$I$2,GeneDate,"&lt;="&amp;$I$3,GeneMicroscope,"Neg*",GeneMTB,"*tive")</f>
        <v>0</v>
      </c>
      <c r="G14" s="48"/>
      <c r="H14" s="49"/>
      <c r="I14" s="10" t="str">
        <f t="shared" si="0"/>
        <v/>
      </c>
    </row>
    <row r="15" spans="1:9" x14ac:dyDescent="0.2">
      <c r="A15" s="60"/>
      <c r="B15" s="12" t="s">
        <v>41</v>
      </c>
      <c r="C15" s="11">
        <f>COUNTIFS(GeneDate,"&gt;="&amp;$I$2,GeneDate,"&lt;="&amp;$I$3,GeneMicroscope,"Not*",GenePreviousHistory,"N*",GeneMTB,"*tive")</f>
        <v>0</v>
      </c>
      <c r="D15" s="11">
        <f>COUNTIFS(GeneDate,"&gt;="&amp;$I$2,GeneDate,"&lt;="&amp;$I$3,GeneMicroscope,"Not*",GenePreviousHistory,"Y*",GeneMTB,"*tive")</f>
        <v>0</v>
      </c>
      <c r="E15" s="8">
        <f>COUNTIFS(GeneDate,"&gt;="&amp;$I$2,GeneDate,"&lt;="&amp;$I$3,GeneMicroscope,"Not*",GenePreviousHistory,"Un*",GeneMTB,"*tive")</f>
        <v>0</v>
      </c>
      <c r="F15" s="8">
        <f>COUNTIFS(GeneDate,"&gt;="&amp;$I$2,GeneDate,"&lt;="&amp;$I$3,GeneMicroscope,"Not*",GeneMTB,"*tive")</f>
        <v>0</v>
      </c>
      <c r="G15" s="48"/>
      <c r="H15" s="49"/>
      <c r="I15" s="10" t="str">
        <f t="shared" si="0"/>
        <v/>
      </c>
    </row>
    <row r="16" spans="1:9" x14ac:dyDescent="0.2">
      <c r="A16" s="57" t="s">
        <v>40</v>
      </c>
      <c r="B16" s="12" t="s">
        <v>13</v>
      </c>
      <c r="C16" s="11">
        <f>COUNTIFS(GeneDate,"&gt;="&amp;$I$2,GeneDate,"&lt;="&amp;$I$3,GenePreviousHistory,"N*",GeneMTB,"Neg*")</f>
        <v>0</v>
      </c>
      <c r="D16" s="11">
        <f>COUNTIFS(GeneDate,"&gt;="&amp;$I$2,GeneDate,"&lt;="&amp;$I$3,GenePreviousHistory,"Y*",GeneMTB,"Neg*")</f>
        <v>0</v>
      </c>
      <c r="E16" s="8">
        <f>F16-(C16+D16)</f>
        <v>0</v>
      </c>
      <c r="F16" s="8">
        <f>COUNTIFS(GeneDate,"&gt;="&amp;$I$2,GeneDate,"&lt;="&amp;$I$3,GeneMTB,"Neg*")</f>
        <v>0</v>
      </c>
      <c r="G16" s="48" t="str">
        <f>IF($F$9=SUM(F16:F19),"","Error! Cross information between Xpert result and treatment category are not match; possibly there will be Erorr or missing information on MTB result OR RIF result")</f>
        <v/>
      </c>
      <c r="H16" s="49"/>
      <c r="I16" s="10" t="str">
        <f t="shared" si="0"/>
        <v/>
      </c>
    </row>
    <row r="17" spans="1:9" x14ac:dyDescent="0.2">
      <c r="A17" s="57"/>
      <c r="B17" s="12" t="s">
        <v>39</v>
      </c>
      <c r="C17" s="11">
        <f>COUNTIFS(GeneDate,"&gt;="&amp;$I$2,GeneDate,"&lt;="&amp;$I$3,GenePreviousHistory,"N*",GeneMTB,"Pos*",GeneRif,"Neg*")</f>
        <v>0</v>
      </c>
      <c r="D17" s="11">
        <f>COUNTIFS(GeneDate,"&gt;="&amp;$I$2,GeneDate,"&lt;="&amp;$I$3,GenePreviousHistory,"Y*",GeneMTB,"Pos*",GeneRif,"Neg*")</f>
        <v>0</v>
      </c>
      <c r="E17" s="8">
        <f>F17-(C17+D17)</f>
        <v>0</v>
      </c>
      <c r="F17" s="8">
        <f>COUNTIFS(GeneDate,"&gt;="&amp;$I$2,GeneDate,"&lt;="&amp;$I$3,GeneMTB,"Pos*",GeneRif,"Neg*")</f>
        <v>0</v>
      </c>
      <c r="G17" s="48"/>
      <c r="H17" s="49"/>
      <c r="I17" s="10" t="str">
        <f t="shared" si="0"/>
        <v/>
      </c>
    </row>
    <row r="18" spans="1:9" x14ac:dyDescent="0.2">
      <c r="A18" s="57"/>
      <c r="B18" s="12" t="s">
        <v>38</v>
      </c>
      <c r="C18" s="11">
        <f>COUNTIFS(GeneDate,"&gt;="&amp;$I$2,GeneDate,"&lt;="&amp;$I$3,GenePreviousHistory,"N*",GeneMTB,"Pos*",GeneRif,"Pos*")</f>
        <v>0</v>
      </c>
      <c r="D18" s="11">
        <f>COUNTIFS(GeneDate,"&gt;="&amp;$I$2,GeneDate,"&lt;="&amp;$I$3,GenePreviousHistory,"Y*",GeneMTB,"Pos*",GeneRif,"Pos*")</f>
        <v>0</v>
      </c>
      <c r="E18" s="8">
        <f>F18-(C18+D18)</f>
        <v>0</v>
      </c>
      <c r="F18" s="8">
        <f>COUNTIFS(GeneDate,"&gt;="&amp;$I$2,GeneDate,"&lt;="&amp;$I$3,GeneMTB,"Pos*",GeneRif,"Pos*")</f>
        <v>0</v>
      </c>
      <c r="G18" s="48"/>
      <c r="H18" s="49"/>
      <c r="I18" s="10" t="str">
        <f t="shared" si="0"/>
        <v/>
      </c>
    </row>
    <row r="19" spans="1:9" x14ac:dyDescent="0.2">
      <c r="A19" s="57"/>
      <c r="B19" s="12" t="s">
        <v>48</v>
      </c>
      <c r="C19" s="11">
        <f>COUNTIFS(GeneDate,"&gt;="&amp;$I$2,GeneDate,"&lt;="&amp;$I$3,GenePreviousHistory,"N*",GeneMTB,"Pos*",GeneRif,"IND*")</f>
        <v>0</v>
      </c>
      <c r="D19" s="11">
        <f>COUNTIFS(GeneDate,"&gt;="&amp;$I$2,GeneDate,"&lt;="&amp;$I$3,GenePreviousHistory,"Y*",GeneMTB,"Pos*",GeneRif,"IND*")</f>
        <v>0</v>
      </c>
      <c r="E19" s="8">
        <f>F19-(C19+D19)</f>
        <v>0</v>
      </c>
      <c r="F19" s="8">
        <f>COUNTIFS(GeneDate,"&gt;="&amp;$I$2,GeneDate,"&lt;="&amp;$I$3,GeneMTB,"Pos*",GeneRif,"IND*")</f>
        <v>0</v>
      </c>
      <c r="G19" s="48"/>
      <c r="H19" s="49"/>
      <c r="I19" s="10" t="str">
        <f t="shared" si="0"/>
        <v/>
      </c>
    </row>
    <row r="20" spans="1:9" ht="12" customHeight="1" x14ac:dyDescent="0.2">
      <c r="E20" s="7"/>
      <c r="F20" s="7"/>
      <c r="G20" s="7"/>
    </row>
    <row r="21" spans="1:9" x14ac:dyDescent="0.2">
      <c r="A21" s="2" t="s">
        <v>47</v>
      </c>
      <c r="E21" s="7"/>
      <c r="F21" s="7"/>
      <c r="G21" s="7"/>
    </row>
    <row r="22" spans="1:9" ht="30" x14ac:dyDescent="0.2">
      <c r="A22" s="12"/>
      <c r="B22" s="12"/>
      <c r="C22" s="14" t="s">
        <v>46</v>
      </c>
      <c r="D22" s="14" t="s">
        <v>45</v>
      </c>
      <c r="E22" s="13" t="s">
        <v>15</v>
      </c>
      <c r="F22" s="13" t="s">
        <v>33</v>
      </c>
      <c r="G22" s="7"/>
    </row>
    <row r="23" spans="1:9" ht="15" customHeight="1" x14ac:dyDescent="0.2">
      <c r="A23" s="58" t="s">
        <v>44</v>
      </c>
      <c r="B23" s="12" t="s">
        <v>43</v>
      </c>
      <c r="C23" s="11">
        <f>COUNTIFS(GeneDate,"&gt;="&amp;$I$2,GeneDate,"&lt;="&amp;$I$3,GeneMicroscope,"Pos*",GeneHIV,"Pos*",GeneMTB,"*tive")</f>
        <v>0</v>
      </c>
      <c r="D23" s="11">
        <f>COUNTIFS(GeneDate,"&gt;="&amp;$I$2,GeneDate,"&lt;="&amp;$I$3,GeneMicroscope,"Pos*",GeneHIV,"Neg*",GeneMTB,"*tive")</f>
        <v>0</v>
      </c>
      <c r="E23" s="8">
        <f>COUNTIFS(GeneDate,"&gt;="&amp;$I$2,GeneDate,"&lt;="&amp;$I$3,GeneMicroscope,"Pos*",GeneHIV,"Un*",GeneMTB,"*tive")</f>
        <v>0</v>
      </c>
      <c r="F23" s="8">
        <f>COUNTIFS(GeneDate,"&gt;="&amp;$I$2,GeneDate,"&lt;="&amp;$I$3,GeneMicroscope,"Pos*",GeneMTB,"*tive")</f>
        <v>0</v>
      </c>
      <c r="G23" s="48" t="str">
        <f>IF($F$9=SUM(F23:F25),"","Error! Cross information between Microscope Result and HIV Status are not match; possibly there will be Erorr or missing information on Microscope Result OR HIV Status")</f>
        <v/>
      </c>
      <c r="H23" s="49"/>
      <c r="I23" s="10" t="str">
        <f t="shared" ref="I23:I29" si="1">IF(SUM(C23:E23)=F23,"","Check Total Vaue &amp; Category")</f>
        <v/>
      </c>
    </row>
    <row r="24" spans="1:9" x14ac:dyDescent="0.2">
      <c r="A24" s="59"/>
      <c r="B24" s="12" t="s">
        <v>42</v>
      </c>
      <c r="C24" s="11">
        <f>COUNTIFS(GeneDate,"&gt;="&amp;$I$2,GeneDate,"&lt;="&amp;$I$3,GeneMicroscope,"Neg*",GeneHIV,"Pos*",GeneMTB,"*tive")</f>
        <v>0</v>
      </c>
      <c r="D24" s="11">
        <f>COUNTIFS(GeneDate,"&gt;="&amp;$I$2,GeneDate,"&lt;="&amp;$I$3,GeneMicroscope,"Neg*",GeneHIV,"Neg*",GeneMTB,"*tive")</f>
        <v>0</v>
      </c>
      <c r="E24" s="8">
        <f>COUNTIFS(GeneDate,"&gt;="&amp;$I$2,GeneDate,"&lt;="&amp;$I$3,GeneMicroscope,"Neg*",GeneHIV,"Un*",GeneMTB,"*tive")</f>
        <v>0</v>
      </c>
      <c r="F24" s="8">
        <f>COUNTIFS(GeneDate,"&gt;="&amp;$I$2,GeneDate,"&lt;="&amp;$I$3,GeneMicroscope,"Neg*",GeneMTB,"*tive")</f>
        <v>0</v>
      </c>
      <c r="G24" s="48"/>
      <c r="H24" s="49"/>
      <c r="I24" s="10" t="str">
        <f t="shared" si="1"/>
        <v/>
      </c>
    </row>
    <row r="25" spans="1:9" x14ac:dyDescent="0.2">
      <c r="A25" s="60"/>
      <c r="B25" s="12" t="s">
        <v>41</v>
      </c>
      <c r="C25" s="11">
        <f>COUNTIFS(GeneDate,"&gt;="&amp;$I$2,GeneDate,"&lt;="&amp;$I$3,GeneMicroscope,"Not*",GeneHIV,"Pos*",GeneMTB,"*tive")</f>
        <v>0</v>
      </c>
      <c r="D25" s="11">
        <f>COUNTIFS(GeneDate,"&gt;="&amp;$I$2,GeneDate,"&lt;="&amp;$I$3,GeneMicroscope,"Not*",GeneHIV,"Neg*",GeneMTB,"*tive")</f>
        <v>0</v>
      </c>
      <c r="E25" s="8">
        <f>COUNTIFS(GeneDate,"&gt;="&amp;$I$2,GeneDate,"&lt;="&amp;$I$3,GeneMicroscope,"Not*",GeneHIV,"Un*",GeneMTB,"*tive")</f>
        <v>0</v>
      </c>
      <c r="F25" s="8">
        <f>COUNTIFS(GeneDate,"&gt;="&amp;$I$2,GeneDate,"&lt;="&amp;$I$3,GeneMicroscope,"Not*",GeneMTB,"*tive")</f>
        <v>0</v>
      </c>
      <c r="G25" s="48"/>
      <c r="H25" s="49"/>
      <c r="I25" s="10" t="str">
        <f t="shared" si="1"/>
        <v/>
      </c>
    </row>
    <row r="26" spans="1:9" x14ac:dyDescent="0.2">
      <c r="A26" s="57" t="s">
        <v>40</v>
      </c>
      <c r="B26" s="12" t="s">
        <v>13</v>
      </c>
      <c r="C26" s="11">
        <f>COUNTIFS(GeneDate,"&gt;="&amp;$I$2,GeneDate,"&lt;="&amp;$I$3,GeneHIV,"Pos*",GeneMTB,"Neg*")</f>
        <v>0</v>
      </c>
      <c r="D26" s="11">
        <f>COUNTIFS(GeneDate,"&gt;="&amp;$I$2,GeneDate,"&lt;="&amp;$I$3,GeneHIV,"Neg*",GeneMTB,"Neg*")</f>
        <v>0</v>
      </c>
      <c r="E26" s="8">
        <f>COUNTIFS(GeneDate,"&gt;="&amp;$I$2,GeneDate,"&lt;="&amp;$I$3,GeneHIV,"Un*",GeneMTB,"Neg*")</f>
        <v>0</v>
      </c>
      <c r="F26" s="8">
        <f>COUNTIFS(GeneDate,"&gt;="&amp;$I$2,GeneDate,"&lt;="&amp;$I$3,GeneMTB,"*tive",GeneMTB,"Neg*")</f>
        <v>0</v>
      </c>
      <c r="G26" s="48" t="str">
        <f>IF($F$9=SUM(F26:F29),"","Error! Cross information between Xpert result and HIV Status are not match; possibly there will be Erorr or missing information on MTB result OR HIV Status")</f>
        <v/>
      </c>
      <c r="H26" s="49"/>
      <c r="I26" s="10" t="str">
        <f t="shared" si="1"/>
        <v/>
      </c>
    </row>
    <row r="27" spans="1:9" x14ac:dyDescent="0.2">
      <c r="A27" s="57"/>
      <c r="B27" s="12" t="s">
        <v>39</v>
      </c>
      <c r="C27" s="11">
        <f>COUNTIFS(GeneDate,"&gt;="&amp;$I$2,GeneDate,"&lt;="&amp;$I$3,GeneHIV,"Pos*",GeneMTB,"Pos*",GeneRif,"Neg*")</f>
        <v>0</v>
      </c>
      <c r="D27" s="11">
        <f>COUNTIFS(GeneDate,"&gt;="&amp;$I$2,GeneDate,"&lt;="&amp;$I$3,GeneHIV,"Neg*",GeneMTB,"Pos*",GeneRif,"Neg*")</f>
        <v>0</v>
      </c>
      <c r="E27" s="8">
        <f>COUNTIFS(GeneDate,"&gt;="&amp;$I$2,GeneDate,"&lt;="&amp;$I$3,GeneHIV,"Un*",GeneMTB,"Pos*",GeneRif,"Neg*")</f>
        <v>0</v>
      </c>
      <c r="F27" s="8">
        <f>COUNTIFS(GeneDate,"&gt;="&amp;$I$2,GeneDate,"&lt;="&amp;$I$3,GeneMTB,"Pos*",GeneRif,"Neg*")</f>
        <v>0</v>
      </c>
      <c r="G27" s="48"/>
      <c r="H27" s="49"/>
      <c r="I27" s="10" t="str">
        <f t="shared" si="1"/>
        <v/>
      </c>
    </row>
    <row r="28" spans="1:9" x14ac:dyDescent="0.2">
      <c r="A28" s="57"/>
      <c r="B28" s="12" t="s">
        <v>38</v>
      </c>
      <c r="C28" s="11">
        <f>COUNTIFS(GeneDate,"&gt;="&amp;$I$2,GeneDate,"&lt;="&amp;$I$3,GeneHIV,"Pos*",GeneMTB,"Pos*",GeneRif,"Pos*")</f>
        <v>0</v>
      </c>
      <c r="D28" s="11">
        <f>COUNTIFS(GeneDate,"&gt;="&amp;$I$2,GeneDate,"&lt;="&amp;$I$3,GeneHIV,"Neg*",GeneMTB,"Pos*",GeneRif,"Pos*")</f>
        <v>0</v>
      </c>
      <c r="E28" s="8">
        <f>COUNTIFS(GeneDate,"&gt;="&amp;$I$2,GeneDate,"&lt;="&amp;$I$3,GeneHIV,"Un*",GeneMTB,"Pos*",GeneRif,"Pos*")</f>
        <v>0</v>
      </c>
      <c r="F28" s="8">
        <f>COUNTIFS(GeneDate,"&gt;="&amp;$I$2,GeneDate,"&lt;="&amp;$I$3,GeneMTB,"Pos*",GeneRif,"Pos*")</f>
        <v>0</v>
      </c>
      <c r="G28" s="48"/>
      <c r="H28" s="49"/>
      <c r="I28" s="10" t="str">
        <f t="shared" si="1"/>
        <v/>
      </c>
    </row>
    <row r="29" spans="1:9" x14ac:dyDescent="0.2">
      <c r="A29" s="57"/>
      <c r="B29" s="12" t="s">
        <v>37</v>
      </c>
      <c r="C29" s="11">
        <f>COUNTIFS(GeneDate,"&gt;="&amp;$I$2,GeneDate,"&lt;="&amp;$I$3,GeneHIV,"Pos*",GeneMTB,"Pos*",GeneRif,"IND*")</f>
        <v>0</v>
      </c>
      <c r="D29" s="11">
        <f>COUNTIFS(GeneDate,"&gt;="&amp;$I$2,GeneDate,"&lt;="&amp;$I$3,GeneHIV,"Neg*",GeneMTB,"Pos*",GeneRif,"IND*")</f>
        <v>0</v>
      </c>
      <c r="E29" s="8">
        <f>COUNTIFS(GeneDate,"&gt;="&amp;$I$2,GeneDate,"&lt;="&amp;$I$3,GeneHIV,"Un*",GeneMTB,"Pos*",GeneRif,"IND*")</f>
        <v>0</v>
      </c>
      <c r="F29" s="8">
        <f>COUNTIFS(GeneDate,"&gt;="&amp;$I$2,GeneDate,"&lt;="&amp;$I$3,GeneMTB,"Pos*",GeneRif,"IND*")</f>
        <v>0</v>
      </c>
      <c r="G29" s="48"/>
      <c r="H29" s="49"/>
      <c r="I29" s="10" t="str">
        <f t="shared" si="1"/>
        <v/>
      </c>
    </row>
    <row r="30" spans="1:9" ht="12" customHeight="1" x14ac:dyDescent="0.2">
      <c r="E30" s="7"/>
      <c r="F30" s="7"/>
      <c r="G30" s="7"/>
    </row>
    <row r="31" spans="1:9" x14ac:dyDescent="0.2">
      <c r="A31" s="4"/>
      <c r="B31" s="25"/>
      <c r="C31" s="61" t="s">
        <v>14</v>
      </c>
      <c r="D31" s="62"/>
      <c r="E31" s="61" t="s">
        <v>16</v>
      </c>
      <c r="F31" s="62"/>
      <c r="G31" s="9" t="s">
        <v>33</v>
      </c>
    </row>
    <row r="32" spans="1:9" x14ac:dyDescent="0.2">
      <c r="A32" s="24" t="s">
        <v>62</v>
      </c>
      <c r="B32" s="24"/>
      <c r="C32" s="61">
        <f>COUNTIFS(GeneDate,"&gt;="&amp;$I$2,GeneDate,"&lt;="&amp;$I$3,GeneMTB,"Pos*",GeneRif,"Pos*",GeneSex,"Male")</f>
        <v>0</v>
      </c>
      <c r="D32" s="62"/>
      <c r="E32" s="64">
        <f>COUNTIFS(GeneDate,"&gt;="&amp;$I$2,GeneDate,"&lt;="&amp;$I$3,GeneMTB,"Pos*",GeneRif,"Pos*",GeneSex,"Female")</f>
        <v>0</v>
      </c>
      <c r="F32" s="65"/>
      <c r="G32" s="8">
        <f>COUNTIFS(GeneDate,"&gt;="&amp;$I$2,GeneDate,"&lt;="&amp;$I$3,GeneMTB,"Pos*",GeneRif,"Pos*")</f>
        <v>0</v>
      </c>
    </row>
    <row r="33" spans="1:10" ht="12" customHeight="1" x14ac:dyDescent="0.2">
      <c r="E33" s="7"/>
      <c r="F33" s="7"/>
      <c r="G33" s="7"/>
    </row>
    <row r="34" spans="1:10" x14ac:dyDescent="0.2">
      <c r="A34" s="2" t="s">
        <v>36</v>
      </c>
      <c r="E34" s="7"/>
      <c r="F34" s="7"/>
      <c r="G34" s="7"/>
    </row>
    <row r="35" spans="1:10" x14ac:dyDescent="0.2">
      <c r="A35" s="61"/>
      <c r="B35" s="62"/>
      <c r="C35" s="61" t="s">
        <v>35</v>
      </c>
      <c r="D35" s="62"/>
      <c r="E35" s="64" t="s">
        <v>34</v>
      </c>
      <c r="F35" s="65"/>
      <c r="G35" s="9" t="s">
        <v>33</v>
      </c>
    </row>
    <row r="36" spans="1:10" x14ac:dyDescent="0.2">
      <c r="A36" s="50" t="s">
        <v>32</v>
      </c>
      <c r="B36" s="50"/>
      <c r="C36" s="51">
        <f>COUNTIFS(GeneDate,"&gt;="&amp;$I$2,GeneDate,"&lt;="&amp;$I$3,GeneMTB,"Pos*",GeneMicroscope,"Pos*")</f>
        <v>0</v>
      </c>
      <c r="D36" s="52"/>
      <c r="E36" s="53">
        <f>COUNTIFS(GeneDate,"&gt;="&amp;$I$2,GeneDate,"&lt;="&amp;$I$3,GeneMTB,"Neg*",GeneMicroscope,"Pos*")</f>
        <v>0</v>
      </c>
      <c r="F36" s="54"/>
      <c r="G36" s="8">
        <f>COUNTIFS(GeneDate,"&gt;="&amp;$I$2,GeneDate,"&lt;="&amp;$I$3,GeneMicroscope,"Pos*",GeneMTB,"*tive")</f>
        <v>0</v>
      </c>
      <c r="H36" s="55" t="str">
        <f>IF($F$9=SUM(G36:G38),"","Error! Cross information between Xpert result and Microscope result are not match; possibly there will be Erorr or missing information on MTB result OR Microscope result")</f>
        <v/>
      </c>
      <c r="I36" s="56"/>
      <c r="J36" s="2" t="str">
        <f>IF(SUM(C36:F36)=G36,"","Check Total Vaue &amp; Category")</f>
        <v/>
      </c>
    </row>
    <row r="37" spans="1:10" x14ac:dyDescent="0.2">
      <c r="A37" s="50" t="s">
        <v>31</v>
      </c>
      <c r="B37" s="50"/>
      <c r="C37" s="51">
        <f>COUNTIFS(GeneDate,"&gt;="&amp;$I$2,GeneDate,"&lt;="&amp;$I$3,GeneMTB,"Pos*",GeneMicroscope,"Neg*")</f>
        <v>0</v>
      </c>
      <c r="D37" s="52"/>
      <c r="E37" s="53">
        <f>COUNTIFS(GeneDate,"&gt;="&amp;$I$2,GeneDate,"&lt;="&amp;$I$3,GeneMTB,"Neg*",GeneMicroscope,"Neg*")</f>
        <v>0</v>
      </c>
      <c r="F37" s="54"/>
      <c r="G37" s="8">
        <f>COUNTIFS(GeneDate,"&gt;="&amp;$I$2,GeneDate,"&lt;="&amp;$I$3,GeneMicroscope,"Neg*",GeneMTB,"*tive")</f>
        <v>0</v>
      </c>
      <c r="H37" s="55"/>
      <c r="I37" s="56"/>
      <c r="J37" s="2" t="str">
        <f>IF(SUM(C37:F37)=G37,"","Check Total Vaue &amp; Category")</f>
        <v/>
      </c>
    </row>
    <row r="38" spans="1:10" x14ac:dyDescent="0.2">
      <c r="A38" s="50" t="s">
        <v>30</v>
      </c>
      <c r="B38" s="50"/>
      <c r="C38" s="51">
        <f>COUNTIFS(GeneDate,"&gt;="&amp;$I$2,GeneDate,"&lt;="&amp;$I$3,GeneMTB,"Pos*",GeneMicroscope,"Not*")</f>
        <v>0</v>
      </c>
      <c r="D38" s="52"/>
      <c r="E38" s="53">
        <f>COUNTIFS(GeneDate,"&gt;="&amp;$I$2,GeneDate,"&lt;="&amp;$I$3,GeneMTB,"Neg*",GeneMicroscope,"Not*")</f>
        <v>0</v>
      </c>
      <c r="F38" s="54"/>
      <c r="G38" s="8">
        <f>COUNTIFS(GeneDate,"&gt;="&amp;$I$2,GeneDate,"&lt;="&amp;$I$3,GeneMTB,"*tive",GeneMicroscope,"Not*")</f>
        <v>0</v>
      </c>
      <c r="H38" s="55"/>
      <c r="I38" s="56"/>
      <c r="J38" s="2" t="str">
        <f>IF(SUM(C38:F38)=G38,"","Check Total Vaue &amp; Category")</f>
        <v/>
      </c>
    </row>
    <row r="39" spans="1:10" ht="12" customHeight="1" x14ac:dyDescent="0.2">
      <c r="D39" s="2" t="str">
        <f>IF(SUM(C36:D38)=SUM(F27:F29),"","Error")</f>
        <v/>
      </c>
      <c r="E39" s="7"/>
      <c r="F39" s="7"/>
      <c r="G39" s="7"/>
    </row>
    <row r="40" spans="1:10" x14ac:dyDescent="0.2">
      <c r="A40" s="2" t="s">
        <v>29</v>
      </c>
    </row>
    <row r="41" spans="1:10" x14ac:dyDescent="0.2">
      <c r="A41" s="66"/>
      <c r="B41" s="66"/>
      <c r="C41" s="61" t="s">
        <v>28</v>
      </c>
      <c r="D41" s="62"/>
      <c r="E41" s="66" t="s">
        <v>27</v>
      </c>
      <c r="F41" s="66"/>
    </row>
    <row r="42" spans="1:10" x14ac:dyDescent="0.2">
      <c r="A42" s="50" t="s">
        <v>26</v>
      </c>
      <c r="B42" s="50"/>
      <c r="C42" s="51"/>
      <c r="D42" s="52"/>
      <c r="E42" s="67"/>
      <c r="F42" s="67"/>
    </row>
    <row r="43" spans="1:10" x14ac:dyDescent="0.2">
      <c r="A43" s="50" t="s">
        <v>25</v>
      </c>
      <c r="B43" s="50"/>
      <c r="C43" s="51"/>
      <c r="D43" s="52"/>
      <c r="E43" s="67" t="s">
        <v>24</v>
      </c>
      <c r="F43" s="67"/>
    </row>
    <row r="44" spans="1:10" x14ac:dyDescent="0.2">
      <c r="A44" s="50" t="s">
        <v>23</v>
      </c>
      <c r="B44" s="50"/>
      <c r="C44" s="68">
        <f>C46+F9+C47</f>
        <v>0</v>
      </c>
      <c r="D44" s="69"/>
      <c r="E44" s="67"/>
      <c r="F44" s="67"/>
      <c r="G44" s="6"/>
    </row>
    <row r="45" spans="1:10" x14ac:dyDescent="0.2">
      <c r="A45" s="50" t="s">
        <v>22</v>
      </c>
      <c r="B45" s="50"/>
      <c r="C45" s="68">
        <f>SUM(C42+C43)-C44</f>
        <v>0</v>
      </c>
      <c r="D45" s="69"/>
      <c r="E45" s="67"/>
      <c r="F45" s="67"/>
    </row>
    <row r="46" spans="1:10" x14ac:dyDescent="0.2">
      <c r="A46" s="5" t="s">
        <v>21</v>
      </c>
      <c r="B46" s="5"/>
      <c r="C46" s="23">
        <f>COUNTIFS(GeneDate,"&gt;="&amp;$I$2,GeneDate,"&lt;="&amp;$I$3,GeneMTB,"Error")+COUNTIFS(GeneDate,"&gt;="&amp;$I$2,GeneDate,"&lt;="&amp;$I$3,GeneMTB,"Invalid")+COUNTIFS(GeneDate,"&gt;="&amp;$I$2,GeneDate,"&lt;="&amp;$I$3,GeneMTB,"*Result*")</f>
        <v>0</v>
      </c>
    </row>
    <row r="47" spans="1:10" x14ac:dyDescent="0.2">
      <c r="A47" s="5" t="s">
        <v>63</v>
      </c>
      <c r="C47" s="5">
        <v>0</v>
      </c>
    </row>
    <row r="49" spans="5:7" x14ac:dyDescent="0.2">
      <c r="E49" s="2" t="s">
        <v>20</v>
      </c>
      <c r="F49" s="4"/>
      <c r="G49" s="4"/>
    </row>
    <row r="50" spans="5:7" x14ac:dyDescent="0.2">
      <c r="E50" s="2" t="s">
        <v>19</v>
      </c>
      <c r="F50" s="3"/>
      <c r="G50" s="3"/>
    </row>
    <row r="51" spans="5:7" x14ac:dyDescent="0.2">
      <c r="E51" s="2" t="s">
        <v>18</v>
      </c>
      <c r="F51" s="3"/>
      <c r="G51" s="3"/>
    </row>
    <row r="52" spans="5:7" x14ac:dyDescent="0.2">
      <c r="E52" s="2" t="s">
        <v>17</v>
      </c>
      <c r="F52" s="3"/>
      <c r="G52" s="3"/>
    </row>
  </sheetData>
  <sheetProtection algorithmName="SHA-512" hashValue="NNZ3kS4Oz3+AzQ5rioyfEN4qeQXCdAiRol16taYnB3tktu0bOyZIxYrt2dwc9ghhk5P5zaq6QoGtdbTKvkOPbw==" saltValue="eZ1uYN8nxTooGMHK0qy1oQ==" spinCount="100000" sheet="1" objects="1" scenarios="1"/>
  <protectedRanges>
    <protectedRange sqref="B4" name="Range3"/>
    <protectedRange sqref="I2:I3" name="Range2"/>
    <protectedRange sqref="C42:F43 C45 E44:F45 C47" name="Range1"/>
  </protectedRanges>
  <mergeCells count="45">
    <mergeCell ref="A45:B45"/>
    <mergeCell ref="C45:D45"/>
    <mergeCell ref="E45:F45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6:B36"/>
    <mergeCell ref="C36:D36"/>
    <mergeCell ref="E36:F36"/>
    <mergeCell ref="H36:I38"/>
    <mergeCell ref="A37:B37"/>
    <mergeCell ref="C37:D37"/>
    <mergeCell ref="E37:F37"/>
    <mergeCell ref="A38:B38"/>
    <mergeCell ref="C38:D38"/>
    <mergeCell ref="E38:F38"/>
    <mergeCell ref="C31:D31"/>
    <mergeCell ref="E31:F31"/>
    <mergeCell ref="C32:D32"/>
    <mergeCell ref="E32:F32"/>
    <mergeCell ref="A35:B35"/>
    <mergeCell ref="C35:D35"/>
    <mergeCell ref="E35:F35"/>
    <mergeCell ref="A26:A29"/>
    <mergeCell ref="G26:H29"/>
    <mergeCell ref="A1:F1"/>
    <mergeCell ref="A7:A8"/>
    <mergeCell ref="B7:C7"/>
    <mergeCell ref="D7:E7"/>
    <mergeCell ref="F7:F8"/>
    <mergeCell ref="A13:A15"/>
    <mergeCell ref="G13:H15"/>
    <mergeCell ref="A16:A19"/>
    <mergeCell ref="G16:H19"/>
    <mergeCell ref="A23:A25"/>
    <mergeCell ref="G23:H25"/>
  </mergeCells>
  <conditionalFormatting sqref="G13">
    <cfRule type="notContainsBlanks" dxfId="83" priority="6">
      <formula>LEN(TRIM(G13))&gt;0</formula>
    </cfRule>
  </conditionalFormatting>
  <conditionalFormatting sqref="G16">
    <cfRule type="notContainsBlanks" dxfId="82" priority="5">
      <formula>LEN(TRIM(G16))&gt;0</formula>
    </cfRule>
  </conditionalFormatting>
  <conditionalFormatting sqref="G23">
    <cfRule type="notContainsBlanks" dxfId="81" priority="4">
      <formula>LEN(TRIM(G23))&gt;0</formula>
    </cfRule>
  </conditionalFormatting>
  <conditionalFormatting sqref="G26">
    <cfRule type="notContainsBlanks" dxfId="80" priority="3">
      <formula>LEN(TRIM(G26))&gt;0</formula>
    </cfRule>
  </conditionalFormatting>
  <conditionalFormatting sqref="H36">
    <cfRule type="notContainsBlanks" dxfId="79" priority="2">
      <formula>LEN(TRIM(H36))&gt;0</formula>
    </cfRule>
  </conditionalFormatting>
  <conditionalFormatting sqref="I13:I19 I23:I29 J36:J38">
    <cfRule type="notContainsBlanks" dxfId="78" priority="1">
      <formula>LEN(TRIM(I13))&gt;0</formula>
    </cfRule>
  </conditionalFormatting>
  <pageMargins left="0.7" right="0.5" top="0.5" bottom="0.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J52"/>
  <sheetViews>
    <sheetView topLeftCell="B1" workbookViewId="0">
      <selection activeCell="I2" sqref="I2"/>
    </sheetView>
  </sheetViews>
  <sheetFormatPr baseColWidth="10" defaultColWidth="9.1640625" defaultRowHeight="15" x14ac:dyDescent="0.2"/>
  <cols>
    <col min="1" max="1" width="14" style="2" customWidth="1"/>
    <col min="2" max="2" width="25.1640625" style="2" bestFit="1" customWidth="1"/>
    <col min="3" max="3" width="9.1640625" style="2" customWidth="1"/>
    <col min="4" max="4" width="12.33203125" style="2" bestFit="1" customWidth="1"/>
    <col min="5" max="7" width="9.6640625" style="2" customWidth="1"/>
    <col min="8" max="8" width="20.33203125" style="2" customWidth="1"/>
    <col min="9" max="9" width="20.6640625" style="2" customWidth="1"/>
    <col min="10" max="10" width="14.5" style="2" customWidth="1"/>
    <col min="11" max="16384" width="9.1640625" style="2"/>
  </cols>
  <sheetData>
    <row r="1" spans="1:9" ht="19" x14ac:dyDescent="0.25">
      <c r="A1" s="63" t="s">
        <v>60</v>
      </c>
      <c r="B1" s="63"/>
      <c r="C1" s="63"/>
      <c r="D1" s="63"/>
      <c r="E1" s="63"/>
      <c r="F1" s="63"/>
      <c r="I1" s="16" t="s">
        <v>59</v>
      </c>
    </row>
    <row r="2" spans="1:9" ht="16" x14ac:dyDescent="0.2">
      <c r="H2" s="16" t="s">
        <v>58</v>
      </c>
      <c r="I2" s="30">
        <v>42491.000011574099</v>
      </c>
    </row>
    <row r="3" spans="1:9" ht="16" x14ac:dyDescent="0.2">
      <c r="A3" s="2" t="s">
        <v>57</v>
      </c>
      <c r="C3" s="18" t="str">
        <f>IF(MONTH($I$2)=1,"January",IF(MONTH($I$2)=2,"February",IF(MONTH($I$2)=3,"March",IF(MONTH($I$2)=4,"April",IF(MONTH($I$2)=5,"May",IF(MONTH($I$2)=6,"June",IF(MONTH($I$2)=7,"July",IF(MONTH($I$2)=8,"Auguest",IF(MONTH($I$2)=9,"September",IF(MONTH($I$2)=10,"October",IF(MONTH($I$2)=11,"November",IF(MONTH($I$2)=12,"December",A3))))))))))))</f>
        <v>May</v>
      </c>
      <c r="E3" s="2" t="s">
        <v>56</v>
      </c>
      <c r="F3" s="17">
        <f>YEAR($I$2)</f>
        <v>2016</v>
      </c>
      <c r="H3" s="16" t="s">
        <v>55</v>
      </c>
      <c r="I3" s="30">
        <v>42521.999988425901</v>
      </c>
    </row>
    <row r="4" spans="1:9" x14ac:dyDescent="0.2">
      <c r="A4" s="2" t="s">
        <v>54</v>
      </c>
    </row>
    <row r="6" spans="1:9" x14ac:dyDescent="0.2">
      <c r="A6" s="2" t="s">
        <v>53</v>
      </c>
    </row>
    <row r="7" spans="1:9" x14ac:dyDescent="0.2">
      <c r="A7" s="66"/>
      <c r="B7" s="66" t="s">
        <v>14</v>
      </c>
      <c r="C7" s="66"/>
      <c r="D7" s="66" t="s">
        <v>16</v>
      </c>
      <c r="E7" s="66"/>
      <c r="F7" s="57" t="s">
        <v>33</v>
      </c>
    </row>
    <row r="8" spans="1:9" x14ac:dyDescent="0.2">
      <c r="A8" s="66"/>
      <c r="B8" s="27" t="s">
        <v>52</v>
      </c>
      <c r="C8" s="27" t="s">
        <v>61</v>
      </c>
      <c r="D8" s="27" t="s">
        <v>52</v>
      </c>
      <c r="E8" s="27" t="s">
        <v>61</v>
      </c>
      <c r="F8" s="57"/>
    </row>
    <row r="9" spans="1:9" x14ac:dyDescent="0.2">
      <c r="A9" s="12"/>
      <c r="B9" s="11">
        <f>COUNTIFS(GeneDate,"&gt;="&amp;$I$2,GeneDate,"&lt;="&amp;$I$3,GeneAge,"&lt;15",GeneSex,"Male",GeneMTB,"*tive")</f>
        <v>0</v>
      </c>
      <c r="C9" s="11">
        <f>COUNTIFS(GeneDate,"&gt;="&amp;$I$2,GeneDate,"&lt;="&amp;$I$3,GeneAge,"&gt;=15",GeneSex,"M*",GeneMTB,"*tive")</f>
        <v>0</v>
      </c>
      <c r="D9" s="11">
        <f>COUNTIFS(GeneDate,"&gt;="&amp;$I$2,GeneDate,"&lt;="&amp;$I$3,GeneAge,"&lt;15",GeneSex,"F*",GeneMTB,"*tive")</f>
        <v>0</v>
      </c>
      <c r="E9" s="8">
        <f>COUNTIFS(GeneDate,"&gt;="&amp;$I$2,GeneDate,"&lt;="&amp;$I$3,GeneAge,"&gt;=15",GeneSex,"F*",GeneMTB,"*tive")</f>
        <v>0</v>
      </c>
      <c r="F9" s="8">
        <f>COUNTIFS(GeneDate,"&gt;="&amp;$I$2,GeneDate,"&lt;="&amp;$I$3,GeneMTB,"*tive")</f>
        <v>0</v>
      </c>
      <c r="G9" s="7" t="str">
        <f>IF(SUM(B9:E9)=F9,"","Check Total Vaue &amp; Category")</f>
        <v/>
      </c>
      <c r="H9" s="26"/>
    </row>
    <row r="10" spans="1:9" ht="12" customHeight="1" x14ac:dyDescent="0.2">
      <c r="B10" s="19"/>
      <c r="E10" s="7"/>
      <c r="F10" s="7"/>
      <c r="G10" s="7"/>
    </row>
    <row r="11" spans="1:9" x14ac:dyDescent="0.2">
      <c r="A11" s="2" t="s">
        <v>51</v>
      </c>
      <c r="E11" s="7"/>
      <c r="F11" s="7"/>
      <c r="G11" s="7"/>
    </row>
    <row r="12" spans="1:9" x14ac:dyDescent="0.2">
      <c r="A12" s="12"/>
      <c r="B12" s="12"/>
      <c r="C12" s="27" t="s">
        <v>50</v>
      </c>
      <c r="D12" s="27" t="s">
        <v>49</v>
      </c>
      <c r="E12" s="13" t="s">
        <v>15</v>
      </c>
      <c r="F12" s="13" t="s">
        <v>33</v>
      </c>
      <c r="G12" s="7"/>
    </row>
    <row r="13" spans="1:9" ht="15" customHeight="1" x14ac:dyDescent="0.2">
      <c r="A13" s="58" t="s">
        <v>44</v>
      </c>
      <c r="B13" s="12" t="s">
        <v>43</v>
      </c>
      <c r="C13" s="11">
        <f>COUNTIFS(GeneDate,"&gt;="&amp;$I$2,GeneDate,"&lt;="&amp;$I$3,GeneMicroscope,"Pos*",GenePreviousHistory,"N*",GeneMTB,"*tive")</f>
        <v>0</v>
      </c>
      <c r="D13" s="11">
        <f>COUNTIFS(GeneDate,"&gt;="&amp;$I$2,GeneDate,"&lt;="&amp;$I$3,GeneMicroscope,"Pos*",GenePreviousHistory,"Y*",GeneMTB,"*tive")</f>
        <v>0</v>
      </c>
      <c r="E13" s="8">
        <f>COUNTIFS(GeneDate,"&gt;="&amp;$I$2,GeneDate,"&lt;="&amp;$I$3,GeneMicroscope,"Pos*",GenePreviousHistory,"Un*",GeneMTB,"*tive")</f>
        <v>0</v>
      </c>
      <c r="F13" s="8">
        <f>COUNTIFS(GeneDate,"&gt;="&amp;$I$2,GeneDate,"&lt;="&amp;$I$3,GeneMicroscope,"Pos*",GeneMTB,"*tive")</f>
        <v>0</v>
      </c>
      <c r="G13" s="48" t="str">
        <f>IF($F$9=SUM(F13:F15),"","Error! Possibly there were be Error or Missing information at Microscopy Result")</f>
        <v/>
      </c>
      <c r="H13" s="49"/>
      <c r="I13" s="10" t="str">
        <f t="shared" ref="I13:I19" si="0">IF(SUM(C13:E13)=F13,"","Check Total Vaue &amp; Category")</f>
        <v/>
      </c>
    </row>
    <row r="14" spans="1:9" x14ac:dyDescent="0.2">
      <c r="A14" s="59"/>
      <c r="B14" s="12" t="s">
        <v>42</v>
      </c>
      <c r="C14" s="11">
        <f>COUNTIFS(GeneDate,"&gt;="&amp;$I$2,GeneDate,"&lt;="&amp;$I$3,GeneMicroscope,"Neg*",GenePreviousHistory,"N*",GeneMTB,"*tive")</f>
        <v>0</v>
      </c>
      <c r="D14" s="11">
        <f>COUNTIFS(GeneDate,"&gt;="&amp;$I$2,GeneDate,"&lt;="&amp;$I$3,GeneMicroscope,"Neg*",GenePreviousHistory,"Y*",GeneMTB,"*tive")</f>
        <v>0</v>
      </c>
      <c r="E14" s="8">
        <f>COUNTIFS(GeneDate,"&gt;="&amp;$I$2,GeneDate,"&lt;="&amp;$I$3,GeneMicroscope,"Neg*",GenePreviousHistory,"Un*",GeneMTB,"*tive")</f>
        <v>0</v>
      </c>
      <c r="F14" s="8">
        <f>COUNTIFS(GeneDate,"&gt;="&amp;$I$2,GeneDate,"&lt;="&amp;$I$3,GeneMicroscope,"Neg*",GeneMTB,"*tive")</f>
        <v>0</v>
      </c>
      <c r="G14" s="48"/>
      <c r="H14" s="49"/>
      <c r="I14" s="10" t="str">
        <f t="shared" si="0"/>
        <v/>
      </c>
    </row>
    <row r="15" spans="1:9" x14ac:dyDescent="0.2">
      <c r="A15" s="60"/>
      <c r="B15" s="12" t="s">
        <v>41</v>
      </c>
      <c r="C15" s="11">
        <f>COUNTIFS(GeneDate,"&gt;="&amp;$I$2,GeneDate,"&lt;="&amp;$I$3,GeneMicroscope,"Not*",GenePreviousHistory,"N*",GeneMTB,"*tive")</f>
        <v>0</v>
      </c>
      <c r="D15" s="11">
        <f>COUNTIFS(GeneDate,"&gt;="&amp;$I$2,GeneDate,"&lt;="&amp;$I$3,GeneMicroscope,"Not*",GenePreviousHistory,"Y*",GeneMTB,"*tive")</f>
        <v>0</v>
      </c>
      <c r="E15" s="8">
        <f>COUNTIFS(GeneDate,"&gt;="&amp;$I$2,GeneDate,"&lt;="&amp;$I$3,GeneMicroscope,"Not*",GenePreviousHistory,"Un*",GeneMTB,"*tive")</f>
        <v>0</v>
      </c>
      <c r="F15" s="8">
        <f>COUNTIFS(GeneDate,"&gt;="&amp;$I$2,GeneDate,"&lt;="&amp;$I$3,GeneMicroscope,"Not*",GeneMTB,"*tive")</f>
        <v>0</v>
      </c>
      <c r="G15" s="48"/>
      <c r="H15" s="49"/>
      <c r="I15" s="10" t="str">
        <f t="shared" si="0"/>
        <v/>
      </c>
    </row>
    <row r="16" spans="1:9" x14ac:dyDescent="0.2">
      <c r="A16" s="57" t="s">
        <v>40</v>
      </c>
      <c r="B16" s="12" t="s">
        <v>13</v>
      </c>
      <c r="C16" s="11">
        <f>COUNTIFS(GeneDate,"&gt;="&amp;$I$2,GeneDate,"&lt;="&amp;$I$3,GenePreviousHistory,"N*",GeneMTB,"Neg*")</f>
        <v>0</v>
      </c>
      <c r="D16" s="11">
        <f>COUNTIFS(GeneDate,"&gt;="&amp;$I$2,GeneDate,"&lt;="&amp;$I$3,GenePreviousHistory,"Y*",GeneMTB,"Neg*")</f>
        <v>0</v>
      </c>
      <c r="E16" s="8">
        <f>F16-(C16+D16)</f>
        <v>0</v>
      </c>
      <c r="F16" s="8">
        <f>COUNTIFS(GeneDate,"&gt;="&amp;$I$2,GeneDate,"&lt;="&amp;$I$3,GeneMTB,"Neg*")</f>
        <v>0</v>
      </c>
      <c r="G16" s="48" t="str">
        <f>IF($F$9=SUM(F16:F19),"","Error! Cross information between Xpert result and treatment category are not match; possibly there will be Erorr or missing information on MTB result OR RIF result")</f>
        <v/>
      </c>
      <c r="H16" s="49"/>
      <c r="I16" s="10" t="str">
        <f t="shared" si="0"/>
        <v/>
      </c>
    </row>
    <row r="17" spans="1:9" x14ac:dyDescent="0.2">
      <c r="A17" s="57"/>
      <c r="B17" s="12" t="s">
        <v>39</v>
      </c>
      <c r="C17" s="11">
        <f>COUNTIFS(GeneDate,"&gt;="&amp;$I$2,GeneDate,"&lt;="&amp;$I$3,GenePreviousHistory,"N*",GeneMTB,"Pos*",GeneRif,"Neg*")</f>
        <v>0</v>
      </c>
      <c r="D17" s="11">
        <f>COUNTIFS(GeneDate,"&gt;="&amp;$I$2,GeneDate,"&lt;="&amp;$I$3,GenePreviousHistory,"Y*",GeneMTB,"Pos*",GeneRif,"Neg*")</f>
        <v>0</v>
      </c>
      <c r="E17" s="8">
        <f>F17-(C17+D17)</f>
        <v>0</v>
      </c>
      <c r="F17" s="8">
        <f>COUNTIFS(GeneDate,"&gt;="&amp;$I$2,GeneDate,"&lt;="&amp;$I$3,GeneMTB,"Pos*",GeneRif,"Neg*")</f>
        <v>0</v>
      </c>
      <c r="G17" s="48"/>
      <c r="H17" s="49"/>
      <c r="I17" s="10" t="str">
        <f t="shared" si="0"/>
        <v/>
      </c>
    </row>
    <row r="18" spans="1:9" x14ac:dyDescent="0.2">
      <c r="A18" s="57"/>
      <c r="B18" s="12" t="s">
        <v>38</v>
      </c>
      <c r="C18" s="11">
        <f>COUNTIFS(GeneDate,"&gt;="&amp;$I$2,GeneDate,"&lt;="&amp;$I$3,GenePreviousHistory,"N*",GeneMTB,"Pos*",GeneRif,"Pos*")</f>
        <v>0</v>
      </c>
      <c r="D18" s="11">
        <f>COUNTIFS(GeneDate,"&gt;="&amp;$I$2,GeneDate,"&lt;="&amp;$I$3,GenePreviousHistory,"Y*",GeneMTB,"Pos*",GeneRif,"Pos*")</f>
        <v>0</v>
      </c>
      <c r="E18" s="8">
        <f>F18-(C18+D18)</f>
        <v>0</v>
      </c>
      <c r="F18" s="8">
        <f>COUNTIFS(GeneDate,"&gt;="&amp;$I$2,GeneDate,"&lt;="&amp;$I$3,GeneMTB,"Pos*",GeneRif,"Pos*")</f>
        <v>0</v>
      </c>
      <c r="G18" s="48"/>
      <c r="H18" s="49"/>
      <c r="I18" s="10" t="str">
        <f t="shared" si="0"/>
        <v/>
      </c>
    </row>
    <row r="19" spans="1:9" x14ac:dyDescent="0.2">
      <c r="A19" s="57"/>
      <c r="B19" s="12" t="s">
        <v>48</v>
      </c>
      <c r="C19" s="11">
        <f>COUNTIFS(GeneDate,"&gt;="&amp;$I$2,GeneDate,"&lt;="&amp;$I$3,GenePreviousHistory,"N*",GeneMTB,"Pos*",GeneRif,"IND*")</f>
        <v>0</v>
      </c>
      <c r="D19" s="11">
        <f>COUNTIFS(GeneDate,"&gt;="&amp;$I$2,GeneDate,"&lt;="&amp;$I$3,GenePreviousHistory,"Y*",GeneMTB,"Pos*",GeneRif,"IND*")</f>
        <v>0</v>
      </c>
      <c r="E19" s="8">
        <f>F19-(C19+D19)</f>
        <v>0</v>
      </c>
      <c r="F19" s="8">
        <f>COUNTIFS(GeneDate,"&gt;="&amp;$I$2,GeneDate,"&lt;="&amp;$I$3,GeneMTB,"Pos*",GeneRif,"IND*")</f>
        <v>0</v>
      </c>
      <c r="G19" s="48"/>
      <c r="H19" s="49"/>
      <c r="I19" s="10" t="str">
        <f t="shared" si="0"/>
        <v/>
      </c>
    </row>
    <row r="20" spans="1:9" ht="12" customHeight="1" x14ac:dyDescent="0.2">
      <c r="E20" s="7"/>
      <c r="F20" s="7"/>
      <c r="G20" s="7"/>
    </row>
    <row r="21" spans="1:9" x14ac:dyDescent="0.2">
      <c r="A21" s="2" t="s">
        <v>47</v>
      </c>
      <c r="E21" s="7"/>
      <c r="F21" s="7"/>
      <c r="G21" s="7"/>
    </row>
    <row r="22" spans="1:9" ht="30" x14ac:dyDescent="0.2">
      <c r="A22" s="12"/>
      <c r="B22" s="12"/>
      <c r="C22" s="14" t="s">
        <v>46</v>
      </c>
      <c r="D22" s="14" t="s">
        <v>45</v>
      </c>
      <c r="E22" s="13" t="s">
        <v>15</v>
      </c>
      <c r="F22" s="13" t="s">
        <v>33</v>
      </c>
      <c r="G22" s="7"/>
    </row>
    <row r="23" spans="1:9" ht="15" customHeight="1" x14ac:dyDescent="0.2">
      <c r="A23" s="58" t="s">
        <v>44</v>
      </c>
      <c r="B23" s="12" t="s">
        <v>43</v>
      </c>
      <c r="C23" s="11">
        <f>COUNTIFS(GeneDate,"&gt;="&amp;$I$2,GeneDate,"&lt;="&amp;$I$3,GeneMicroscope,"Pos*",GeneHIV,"Pos*",GeneMTB,"*tive")</f>
        <v>0</v>
      </c>
      <c r="D23" s="11">
        <f>COUNTIFS(GeneDate,"&gt;="&amp;$I$2,GeneDate,"&lt;="&amp;$I$3,GeneMicroscope,"Pos*",GeneHIV,"Neg*",GeneMTB,"*tive")</f>
        <v>0</v>
      </c>
      <c r="E23" s="8">
        <f>COUNTIFS(GeneDate,"&gt;="&amp;$I$2,GeneDate,"&lt;="&amp;$I$3,GeneMicroscope,"Pos*",GeneHIV,"Un*",GeneMTB,"*tive")</f>
        <v>0</v>
      </c>
      <c r="F23" s="8">
        <f>COUNTIFS(GeneDate,"&gt;="&amp;$I$2,GeneDate,"&lt;="&amp;$I$3,GeneMicroscope,"Pos*",GeneMTB,"*tive")</f>
        <v>0</v>
      </c>
      <c r="G23" s="48" t="str">
        <f>IF($F$9=SUM(F23:F25),"","Error! Cross information between Microscope Result and HIV Status are not match; possibly there will be Erorr or missing information on Microscope Result OR HIV Status")</f>
        <v/>
      </c>
      <c r="H23" s="49"/>
      <c r="I23" s="10" t="str">
        <f t="shared" ref="I23:I29" si="1">IF(SUM(C23:E23)=F23,"","Check Total Vaue &amp; Category")</f>
        <v/>
      </c>
    </row>
    <row r="24" spans="1:9" x14ac:dyDescent="0.2">
      <c r="A24" s="59"/>
      <c r="B24" s="12" t="s">
        <v>42</v>
      </c>
      <c r="C24" s="11">
        <f>COUNTIFS(GeneDate,"&gt;="&amp;$I$2,GeneDate,"&lt;="&amp;$I$3,GeneMicroscope,"Neg*",GeneHIV,"Pos*",GeneMTB,"*tive")</f>
        <v>0</v>
      </c>
      <c r="D24" s="11">
        <f>COUNTIFS(GeneDate,"&gt;="&amp;$I$2,GeneDate,"&lt;="&amp;$I$3,GeneMicroscope,"Neg*",GeneHIV,"Neg*",GeneMTB,"*tive")</f>
        <v>0</v>
      </c>
      <c r="E24" s="8">
        <f>COUNTIFS(GeneDate,"&gt;="&amp;$I$2,GeneDate,"&lt;="&amp;$I$3,GeneMicroscope,"Neg*",GeneHIV,"Un*",GeneMTB,"*tive")</f>
        <v>0</v>
      </c>
      <c r="F24" s="8">
        <f>COUNTIFS(GeneDate,"&gt;="&amp;$I$2,GeneDate,"&lt;="&amp;$I$3,GeneMicroscope,"Neg*",GeneMTB,"*tive")</f>
        <v>0</v>
      </c>
      <c r="G24" s="48"/>
      <c r="H24" s="49"/>
      <c r="I24" s="10" t="str">
        <f t="shared" si="1"/>
        <v/>
      </c>
    </row>
    <row r="25" spans="1:9" x14ac:dyDescent="0.2">
      <c r="A25" s="60"/>
      <c r="B25" s="12" t="s">
        <v>41</v>
      </c>
      <c r="C25" s="11">
        <f>COUNTIFS(GeneDate,"&gt;="&amp;$I$2,GeneDate,"&lt;="&amp;$I$3,GeneMicroscope,"Not*",GeneHIV,"Pos*",GeneMTB,"*tive")</f>
        <v>0</v>
      </c>
      <c r="D25" s="11">
        <f>COUNTIFS(GeneDate,"&gt;="&amp;$I$2,GeneDate,"&lt;="&amp;$I$3,GeneMicroscope,"Not*",GeneHIV,"Neg*",GeneMTB,"*tive")</f>
        <v>0</v>
      </c>
      <c r="E25" s="8">
        <f>COUNTIFS(GeneDate,"&gt;="&amp;$I$2,GeneDate,"&lt;="&amp;$I$3,GeneMicroscope,"Not*",GeneHIV,"Un*",GeneMTB,"*tive")</f>
        <v>0</v>
      </c>
      <c r="F25" s="8">
        <f>COUNTIFS(GeneDate,"&gt;="&amp;$I$2,GeneDate,"&lt;="&amp;$I$3,GeneMicroscope,"Not*",GeneMTB,"*tive")</f>
        <v>0</v>
      </c>
      <c r="G25" s="48"/>
      <c r="H25" s="49"/>
      <c r="I25" s="10" t="str">
        <f t="shared" si="1"/>
        <v/>
      </c>
    </row>
    <row r="26" spans="1:9" x14ac:dyDescent="0.2">
      <c r="A26" s="57" t="s">
        <v>40</v>
      </c>
      <c r="B26" s="12" t="s">
        <v>13</v>
      </c>
      <c r="C26" s="11">
        <f>COUNTIFS(GeneDate,"&gt;="&amp;$I$2,GeneDate,"&lt;="&amp;$I$3,GeneHIV,"Pos*",GeneMTB,"Neg*")</f>
        <v>0</v>
      </c>
      <c r="D26" s="11">
        <f>COUNTIFS(GeneDate,"&gt;="&amp;$I$2,GeneDate,"&lt;="&amp;$I$3,GeneHIV,"Neg*",GeneMTB,"Neg*")</f>
        <v>0</v>
      </c>
      <c r="E26" s="8">
        <f>COUNTIFS(GeneDate,"&gt;="&amp;$I$2,GeneDate,"&lt;="&amp;$I$3,GeneHIV,"Un*",GeneMTB,"Neg*")</f>
        <v>0</v>
      </c>
      <c r="F26" s="8">
        <f>COUNTIFS(GeneDate,"&gt;="&amp;$I$2,GeneDate,"&lt;="&amp;$I$3,GeneMTB,"*tive",GeneMTB,"Neg*")</f>
        <v>0</v>
      </c>
      <c r="G26" s="48" t="str">
        <f>IF($F$9=SUM(F26:F29),"","Error! Cross information between Xpert result and HIV Status are not match; possibly there will be Erorr or missing information on MTB result OR HIV Status")</f>
        <v/>
      </c>
      <c r="H26" s="49"/>
      <c r="I26" s="10" t="str">
        <f t="shared" si="1"/>
        <v/>
      </c>
    </row>
    <row r="27" spans="1:9" x14ac:dyDescent="0.2">
      <c r="A27" s="57"/>
      <c r="B27" s="12" t="s">
        <v>39</v>
      </c>
      <c r="C27" s="11">
        <f>COUNTIFS(GeneDate,"&gt;="&amp;$I$2,GeneDate,"&lt;="&amp;$I$3,GeneHIV,"Pos*",GeneMTB,"Pos*",GeneRif,"Neg*")</f>
        <v>0</v>
      </c>
      <c r="D27" s="11">
        <f>COUNTIFS(GeneDate,"&gt;="&amp;$I$2,GeneDate,"&lt;="&amp;$I$3,GeneHIV,"Neg*",GeneMTB,"Pos*",GeneRif,"Neg*")</f>
        <v>0</v>
      </c>
      <c r="E27" s="8">
        <f>COUNTIFS(GeneDate,"&gt;="&amp;$I$2,GeneDate,"&lt;="&amp;$I$3,GeneHIV,"Un*",GeneMTB,"Pos*",GeneRif,"Neg*")</f>
        <v>0</v>
      </c>
      <c r="F27" s="8">
        <f>COUNTIFS(GeneDate,"&gt;="&amp;$I$2,GeneDate,"&lt;="&amp;$I$3,GeneMTB,"Pos*",GeneRif,"Neg*")</f>
        <v>0</v>
      </c>
      <c r="G27" s="48"/>
      <c r="H27" s="49"/>
      <c r="I27" s="10" t="str">
        <f t="shared" si="1"/>
        <v/>
      </c>
    </row>
    <row r="28" spans="1:9" x14ac:dyDescent="0.2">
      <c r="A28" s="57"/>
      <c r="B28" s="12" t="s">
        <v>38</v>
      </c>
      <c r="C28" s="11">
        <f>COUNTIFS(GeneDate,"&gt;="&amp;$I$2,GeneDate,"&lt;="&amp;$I$3,GeneHIV,"Pos*",GeneMTB,"Pos*",GeneRif,"Pos*")</f>
        <v>0</v>
      </c>
      <c r="D28" s="11">
        <f>COUNTIFS(GeneDate,"&gt;="&amp;$I$2,GeneDate,"&lt;="&amp;$I$3,GeneHIV,"Neg*",GeneMTB,"Pos*",GeneRif,"Pos*")</f>
        <v>0</v>
      </c>
      <c r="E28" s="8">
        <f>COUNTIFS(GeneDate,"&gt;="&amp;$I$2,GeneDate,"&lt;="&amp;$I$3,GeneHIV,"Un*",GeneMTB,"Pos*",GeneRif,"Pos*")</f>
        <v>0</v>
      </c>
      <c r="F28" s="8">
        <f>COUNTIFS(GeneDate,"&gt;="&amp;$I$2,GeneDate,"&lt;="&amp;$I$3,GeneMTB,"Pos*",GeneRif,"Pos*")</f>
        <v>0</v>
      </c>
      <c r="G28" s="48"/>
      <c r="H28" s="49"/>
      <c r="I28" s="10" t="str">
        <f t="shared" si="1"/>
        <v/>
      </c>
    </row>
    <row r="29" spans="1:9" x14ac:dyDescent="0.2">
      <c r="A29" s="57"/>
      <c r="B29" s="12" t="s">
        <v>37</v>
      </c>
      <c r="C29" s="11">
        <f>COUNTIFS(GeneDate,"&gt;="&amp;$I$2,GeneDate,"&lt;="&amp;$I$3,GeneHIV,"Pos*",GeneMTB,"Pos*",GeneRif,"IND*")</f>
        <v>0</v>
      </c>
      <c r="D29" s="11">
        <f>COUNTIFS(GeneDate,"&gt;="&amp;$I$2,GeneDate,"&lt;="&amp;$I$3,GeneHIV,"Neg*",GeneMTB,"Pos*",GeneRif,"IND*")</f>
        <v>0</v>
      </c>
      <c r="E29" s="8">
        <f>COUNTIFS(GeneDate,"&gt;="&amp;$I$2,GeneDate,"&lt;="&amp;$I$3,GeneHIV,"Un*",GeneMTB,"Pos*",GeneRif,"IND*")</f>
        <v>0</v>
      </c>
      <c r="F29" s="8">
        <f>COUNTIFS(GeneDate,"&gt;="&amp;$I$2,GeneDate,"&lt;="&amp;$I$3,GeneMTB,"Pos*",GeneRif,"IND*")</f>
        <v>0</v>
      </c>
      <c r="G29" s="48"/>
      <c r="H29" s="49"/>
      <c r="I29" s="10" t="str">
        <f t="shared" si="1"/>
        <v/>
      </c>
    </row>
    <row r="30" spans="1:9" ht="12" customHeight="1" x14ac:dyDescent="0.2">
      <c r="E30" s="7"/>
      <c r="F30" s="7"/>
      <c r="G30" s="7"/>
    </row>
    <row r="31" spans="1:9" x14ac:dyDescent="0.2">
      <c r="A31" s="4"/>
      <c r="B31" s="25"/>
      <c r="C31" s="61" t="s">
        <v>14</v>
      </c>
      <c r="D31" s="62"/>
      <c r="E31" s="61" t="s">
        <v>16</v>
      </c>
      <c r="F31" s="62"/>
      <c r="G31" s="9" t="s">
        <v>33</v>
      </c>
    </row>
    <row r="32" spans="1:9" x14ac:dyDescent="0.2">
      <c r="A32" s="24" t="s">
        <v>62</v>
      </c>
      <c r="B32" s="24"/>
      <c r="C32" s="61">
        <f>COUNTIFS(GeneDate,"&gt;="&amp;$I$2,GeneDate,"&lt;="&amp;$I$3,GeneMTB,"Pos*",GeneRif,"Pos*",GeneSex,"Male")</f>
        <v>0</v>
      </c>
      <c r="D32" s="62"/>
      <c r="E32" s="64">
        <f>COUNTIFS(GeneDate,"&gt;="&amp;$I$2,GeneDate,"&lt;="&amp;$I$3,GeneMTB,"Pos*",GeneRif,"Pos*",GeneSex,"Female")</f>
        <v>0</v>
      </c>
      <c r="F32" s="65"/>
      <c r="G32" s="8">
        <f>COUNTIFS(GeneDate,"&gt;="&amp;$I$2,GeneDate,"&lt;="&amp;$I$3,GeneMTB,"Pos*",GeneRif,"Pos*")</f>
        <v>0</v>
      </c>
    </row>
    <row r="33" spans="1:10" ht="12" customHeight="1" x14ac:dyDescent="0.2">
      <c r="E33" s="7"/>
      <c r="F33" s="7"/>
      <c r="G33" s="7"/>
    </row>
    <row r="34" spans="1:10" x14ac:dyDescent="0.2">
      <c r="A34" s="2" t="s">
        <v>36</v>
      </c>
      <c r="E34" s="7"/>
      <c r="F34" s="7"/>
      <c r="G34" s="7"/>
    </row>
    <row r="35" spans="1:10" x14ac:dyDescent="0.2">
      <c r="A35" s="61"/>
      <c r="B35" s="62"/>
      <c r="C35" s="61" t="s">
        <v>35</v>
      </c>
      <c r="D35" s="62"/>
      <c r="E35" s="64" t="s">
        <v>34</v>
      </c>
      <c r="F35" s="65"/>
      <c r="G35" s="9" t="s">
        <v>33</v>
      </c>
    </row>
    <row r="36" spans="1:10" x14ac:dyDescent="0.2">
      <c r="A36" s="50" t="s">
        <v>32</v>
      </c>
      <c r="B36" s="50"/>
      <c r="C36" s="51">
        <f>COUNTIFS(GeneDate,"&gt;="&amp;$I$2,GeneDate,"&lt;="&amp;$I$3,GeneMTB,"Pos*",GeneMicroscope,"Pos*")</f>
        <v>0</v>
      </c>
      <c r="D36" s="52"/>
      <c r="E36" s="53">
        <f>COUNTIFS(GeneDate,"&gt;="&amp;$I$2,GeneDate,"&lt;="&amp;$I$3,GeneMTB,"Neg*",GeneMicroscope,"Pos*")</f>
        <v>0</v>
      </c>
      <c r="F36" s="54"/>
      <c r="G36" s="8">
        <f>COUNTIFS(GeneDate,"&gt;="&amp;$I$2,GeneDate,"&lt;="&amp;$I$3,GeneMicroscope,"Pos*",GeneMTB,"*tive")</f>
        <v>0</v>
      </c>
      <c r="H36" s="55" t="str">
        <f>IF($F$9=SUM(G36:G38),"","Error! Cross information between Xpert result and Microscope result are not match; possibly there will be Erorr or missing information on MTB result OR Microscope result")</f>
        <v/>
      </c>
      <c r="I36" s="56"/>
      <c r="J36" s="2" t="str">
        <f>IF(SUM(C36:F36)=G36,"","Check Total Vaue &amp; Category")</f>
        <v/>
      </c>
    </row>
    <row r="37" spans="1:10" x14ac:dyDescent="0.2">
      <c r="A37" s="50" t="s">
        <v>31</v>
      </c>
      <c r="B37" s="50"/>
      <c r="C37" s="51">
        <f>COUNTIFS(GeneDate,"&gt;="&amp;$I$2,GeneDate,"&lt;="&amp;$I$3,GeneMTB,"Pos*",GeneMicroscope,"Neg*")</f>
        <v>0</v>
      </c>
      <c r="D37" s="52"/>
      <c r="E37" s="53">
        <f>COUNTIFS(GeneDate,"&gt;="&amp;$I$2,GeneDate,"&lt;="&amp;$I$3,GeneMTB,"Neg*",GeneMicroscope,"Neg*")</f>
        <v>0</v>
      </c>
      <c r="F37" s="54"/>
      <c r="G37" s="8">
        <f>COUNTIFS(GeneDate,"&gt;="&amp;$I$2,GeneDate,"&lt;="&amp;$I$3,GeneMicroscope,"Neg*",GeneMTB,"*tive")</f>
        <v>0</v>
      </c>
      <c r="H37" s="55"/>
      <c r="I37" s="56"/>
      <c r="J37" s="2" t="str">
        <f>IF(SUM(C37:F37)=G37,"","Check Total Vaue &amp; Category")</f>
        <v/>
      </c>
    </row>
    <row r="38" spans="1:10" x14ac:dyDescent="0.2">
      <c r="A38" s="50" t="s">
        <v>30</v>
      </c>
      <c r="B38" s="50"/>
      <c r="C38" s="51">
        <f>COUNTIFS(GeneDate,"&gt;="&amp;$I$2,GeneDate,"&lt;="&amp;$I$3,GeneMTB,"Pos*",GeneMicroscope,"Not*")</f>
        <v>0</v>
      </c>
      <c r="D38" s="52"/>
      <c r="E38" s="53">
        <f>COUNTIFS(GeneDate,"&gt;="&amp;$I$2,GeneDate,"&lt;="&amp;$I$3,GeneMTB,"Neg*",GeneMicroscope,"Not*")</f>
        <v>0</v>
      </c>
      <c r="F38" s="54"/>
      <c r="G38" s="8">
        <f>COUNTIFS(GeneDate,"&gt;="&amp;$I$2,GeneDate,"&lt;="&amp;$I$3,GeneMTB,"*tive",GeneMicroscope,"Not*")</f>
        <v>0</v>
      </c>
      <c r="H38" s="55"/>
      <c r="I38" s="56"/>
      <c r="J38" s="2" t="str">
        <f>IF(SUM(C38:F38)=G38,"","Check Total Vaue &amp; Category")</f>
        <v/>
      </c>
    </row>
    <row r="39" spans="1:10" ht="12" customHeight="1" x14ac:dyDescent="0.2">
      <c r="D39" s="2" t="str">
        <f>IF(SUM(C36:D38)=SUM(F27:F29),"","Error")</f>
        <v/>
      </c>
      <c r="E39" s="7"/>
      <c r="F39" s="7"/>
      <c r="G39" s="7"/>
    </row>
    <row r="40" spans="1:10" x14ac:dyDescent="0.2">
      <c r="A40" s="2" t="s">
        <v>29</v>
      </c>
    </row>
    <row r="41" spans="1:10" x14ac:dyDescent="0.2">
      <c r="A41" s="66"/>
      <c r="B41" s="66"/>
      <c r="C41" s="61" t="s">
        <v>28</v>
      </c>
      <c r="D41" s="62"/>
      <c r="E41" s="66" t="s">
        <v>27</v>
      </c>
      <c r="F41" s="66"/>
    </row>
    <row r="42" spans="1:10" x14ac:dyDescent="0.2">
      <c r="A42" s="50" t="s">
        <v>26</v>
      </c>
      <c r="B42" s="50"/>
      <c r="C42" s="51">
        <v>64</v>
      </c>
      <c r="D42" s="52"/>
      <c r="E42" s="67"/>
      <c r="F42" s="67"/>
    </row>
    <row r="43" spans="1:10" x14ac:dyDescent="0.2">
      <c r="A43" s="50" t="s">
        <v>25</v>
      </c>
      <c r="B43" s="50"/>
      <c r="C43" s="51"/>
      <c r="D43" s="52"/>
      <c r="E43" s="67" t="s">
        <v>24</v>
      </c>
      <c r="F43" s="67"/>
    </row>
    <row r="44" spans="1:10" x14ac:dyDescent="0.2">
      <c r="A44" s="50" t="s">
        <v>23</v>
      </c>
      <c r="B44" s="50"/>
      <c r="C44" s="68">
        <f>C46+F9+C47</f>
        <v>0</v>
      </c>
      <c r="D44" s="69"/>
      <c r="E44" s="67"/>
      <c r="F44" s="67"/>
      <c r="G44" s="6"/>
    </row>
    <row r="45" spans="1:10" x14ac:dyDescent="0.2">
      <c r="A45" s="50" t="s">
        <v>22</v>
      </c>
      <c r="B45" s="50"/>
      <c r="C45" s="68">
        <f>SUM(C42+C43)-C44</f>
        <v>64</v>
      </c>
      <c r="D45" s="69"/>
      <c r="E45" s="67"/>
      <c r="F45" s="67"/>
    </row>
    <row r="46" spans="1:10" x14ac:dyDescent="0.2">
      <c r="A46" s="5" t="s">
        <v>21</v>
      </c>
      <c r="B46" s="5"/>
      <c r="C46" s="23">
        <f>COUNTIFS(GeneDate,"&gt;="&amp;$I$2,GeneDate,"&lt;="&amp;$I$3,GeneMTB,"Error")+COUNTIFS(GeneDate,"&gt;="&amp;$I$2,GeneDate,"&lt;="&amp;$I$3,GeneMTB,"Invalid")+COUNTIFS(GeneDate,"&gt;="&amp;$I$2,GeneDate,"&lt;="&amp;$I$3,GeneMTB,"*Result*")</f>
        <v>0</v>
      </c>
    </row>
    <row r="47" spans="1:10" x14ac:dyDescent="0.2">
      <c r="A47" s="5" t="s">
        <v>63</v>
      </c>
      <c r="C47" s="5">
        <v>0</v>
      </c>
    </row>
    <row r="49" spans="5:7" x14ac:dyDescent="0.2">
      <c r="E49" s="2" t="s">
        <v>20</v>
      </c>
      <c r="F49" s="4"/>
      <c r="G49" s="4"/>
    </row>
    <row r="50" spans="5:7" x14ac:dyDescent="0.2">
      <c r="E50" s="2" t="s">
        <v>19</v>
      </c>
      <c r="F50" s="3"/>
      <c r="G50" s="3"/>
    </row>
    <row r="51" spans="5:7" x14ac:dyDescent="0.2">
      <c r="E51" s="2" t="s">
        <v>18</v>
      </c>
      <c r="F51" s="3"/>
      <c r="G51" s="3"/>
    </row>
    <row r="52" spans="5:7" x14ac:dyDescent="0.2">
      <c r="E52" s="2" t="s">
        <v>17</v>
      </c>
      <c r="F52" s="3"/>
      <c r="G52" s="3"/>
    </row>
  </sheetData>
  <sheetProtection algorithmName="SHA-512" hashValue="+ZMwDJ2ZINrbGyuw1EuXKpNQ0/jMHhrvFaeIMsW4BsiiD2VXG+MmgzAhTTuFAVk13prX384OkTqZ2A37GoXfow==" saltValue="xS7d/nKgpg0EP4JhW9s4Og==" spinCount="100000" sheet="1" objects="1" scenarios="1"/>
  <protectedRanges>
    <protectedRange sqref="B4" name="Range3"/>
    <protectedRange sqref="I2:I3" name="Range2"/>
    <protectedRange sqref="C42:F43 C45 E44:F45 C47" name="Range1"/>
  </protectedRanges>
  <mergeCells count="45">
    <mergeCell ref="A45:B45"/>
    <mergeCell ref="C45:D45"/>
    <mergeCell ref="E45:F45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6:B36"/>
    <mergeCell ref="C36:D36"/>
    <mergeCell ref="E36:F36"/>
    <mergeCell ref="H36:I38"/>
    <mergeCell ref="A37:B37"/>
    <mergeCell ref="C37:D37"/>
    <mergeCell ref="E37:F37"/>
    <mergeCell ref="A38:B38"/>
    <mergeCell ref="C38:D38"/>
    <mergeCell ref="E38:F38"/>
    <mergeCell ref="C31:D31"/>
    <mergeCell ref="E31:F31"/>
    <mergeCell ref="C32:D32"/>
    <mergeCell ref="E32:F32"/>
    <mergeCell ref="A35:B35"/>
    <mergeCell ref="C35:D35"/>
    <mergeCell ref="E35:F35"/>
    <mergeCell ref="A26:A29"/>
    <mergeCell ref="G26:H29"/>
    <mergeCell ref="A1:F1"/>
    <mergeCell ref="A7:A8"/>
    <mergeCell ref="B7:C7"/>
    <mergeCell ref="D7:E7"/>
    <mergeCell ref="F7:F8"/>
    <mergeCell ref="A13:A15"/>
    <mergeCell ref="G13:H15"/>
    <mergeCell ref="A16:A19"/>
    <mergeCell ref="G16:H19"/>
    <mergeCell ref="A23:A25"/>
    <mergeCell ref="G23:H25"/>
  </mergeCells>
  <conditionalFormatting sqref="G13">
    <cfRule type="notContainsBlanks" dxfId="77" priority="6">
      <formula>LEN(TRIM(G13))&gt;0</formula>
    </cfRule>
  </conditionalFormatting>
  <conditionalFormatting sqref="G16">
    <cfRule type="notContainsBlanks" dxfId="76" priority="5">
      <formula>LEN(TRIM(G16))&gt;0</formula>
    </cfRule>
  </conditionalFormatting>
  <conditionalFormatting sqref="G23">
    <cfRule type="notContainsBlanks" dxfId="75" priority="4">
      <formula>LEN(TRIM(G23))&gt;0</formula>
    </cfRule>
  </conditionalFormatting>
  <conditionalFormatting sqref="G26">
    <cfRule type="notContainsBlanks" dxfId="74" priority="3">
      <formula>LEN(TRIM(G26))&gt;0</formula>
    </cfRule>
  </conditionalFormatting>
  <conditionalFormatting sqref="H36">
    <cfRule type="notContainsBlanks" dxfId="73" priority="2">
      <formula>LEN(TRIM(H36))&gt;0</formula>
    </cfRule>
  </conditionalFormatting>
  <conditionalFormatting sqref="I13:I19 I23:I29 J36:J38">
    <cfRule type="notContainsBlanks" dxfId="72" priority="1">
      <formula>LEN(TRIM(I13))&gt;0</formula>
    </cfRule>
  </conditionalFormatting>
  <pageMargins left="0.7" right="0.5" top="0.5" bottom="0.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J52"/>
  <sheetViews>
    <sheetView workbookViewId="0">
      <selection activeCell="I4" sqref="I4"/>
    </sheetView>
  </sheetViews>
  <sheetFormatPr baseColWidth="10" defaultColWidth="9.1640625" defaultRowHeight="15" x14ac:dyDescent="0.2"/>
  <cols>
    <col min="1" max="1" width="14" style="2" customWidth="1"/>
    <col min="2" max="2" width="25.1640625" style="2" bestFit="1" customWidth="1"/>
    <col min="3" max="3" width="9.1640625" style="2" customWidth="1"/>
    <col min="4" max="4" width="12.33203125" style="2" bestFit="1" customWidth="1"/>
    <col min="5" max="7" width="9.6640625" style="2" customWidth="1"/>
    <col min="8" max="8" width="20.33203125" style="2" customWidth="1"/>
    <col min="9" max="9" width="20.6640625" style="2" customWidth="1"/>
    <col min="10" max="10" width="14.5" style="2" customWidth="1"/>
    <col min="11" max="16384" width="9.1640625" style="2"/>
  </cols>
  <sheetData>
    <row r="1" spans="1:9" ht="19" x14ac:dyDescent="0.25">
      <c r="A1" s="63" t="s">
        <v>60</v>
      </c>
      <c r="B1" s="63"/>
      <c r="C1" s="63"/>
      <c r="D1" s="63"/>
      <c r="E1" s="63"/>
      <c r="F1" s="63"/>
      <c r="I1" s="16" t="s">
        <v>59</v>
      </c>
    </row>
    <row r="2" spans="1:9" ht="16" x14ac:dyDescent="0.2">
      <c r="H2" s="16" t="s">
        <v>58</v>
      </c>
      <c r="I2" s="28">
        <v>42522.000011574099</v>
      </c>
    </row>
    <row r="3" spans="1:9" ht="16" x14ac:dyDescent="0.2">
      <c r="A3" s="2" t="s">
        <v>57</v>
      </c>
      <c r="C3" s="18" t="str">
        <f>IF(MONTH($I$2)=1,"January",IF(MONTH($I$2)=2,"February",IF(MONTH($I$2)=3,"March",IF(MONTH($I$2)=4,"April",IF(MONTH($I$2)=5,"May",IF(MONTH($I$2)=6,"June",IF(MONTH($I$2)=7,"July",IF(MONTH($I$2)=8,"Auguest",IF(MONTH($I$2)=9,"September",IF(MONTH($I$2)=10,"October",IF(MONTH($I$2)=11,"November",IF(MONTH($I$2)=12,"December",A3))))))))))))</f>
        <v>June</v>
      </c>
      <c r="E3" s="2" t="s">
        <v>56</v>
      </c>
      <c r="F3" s="17">
        <f>YEAR($I$2)</f>
        <v>2016</v>
      </c>
      <c r="H3" s="16" t="s">
        <v>55</v>
      </c>
      <c r="I3" s="28">
        <v>42551.999988425901</v>
      </c>
    </row>
    <row r="4" spans="1:9" x14ac:dyDescent="0.2">
      <c r="A4" s="2" t="s">
        <v>54</v>
      </c>
    </row>
    <row r="6" spans="1:9" x14ac:dyDescent="0.2">
      <c r="A6" s="2" t="s">
        <v>53</v>
      </c>
    </row>
    <row r="7" spans="1:9" x14ac:dyDescent="0.2">
      <c r="A7" s="66"/>
      <c r="B7" s="66" t="s">
        <v>14</v>
      </c>
      <c r="C7" s="66"/>
      <c r="D7" s="66" t="s">
        <v>16</v>
      </c>
      <c r="E7" s="66"/>
      <c r="F7" s="57" t="s">
        <v>33</v>
      </c>
    </row>
    <row r="8" spans="1:9" x14ac:dyDescent="0.2">
      <c r="A8" s="66"/>
      <c r="B8" s="27" t="s">
        <v>52</v>
      </c>
      <c r="C8" s="27" t="s">
        <v>61</v>
      </c>
      <c r="D8" s="27" t="s">
        <v>52</v>
      </c>
      <c r="E8" s="27" t="s">
        <v>61</v>
      </c>
      <c r="F8" s="57"/>
    </row>
    <row r="9" spans="1:9" x14ac:dyDescent="0.2">
      <c r="A9" s="12"/>
      <c r="B9" s="11">
        <f>COUNTIFS(GeneDate,"&gt;="&amp;$I$2,GeneDate,"&lt;="&amp;$I$3,GeneAge,"&lt;15",GeneSex,"Male",GeneMTB,"*tive")</f>
        <v>0</v>
      </c>
      <c r="C9" s="11">
        <f>COUNTIFS(GeneDate,"&gt;="&amp;$I$2,GeneDate,"&lt;="&amp;$I$3,GeneAge,"&gt;=15",GeneSex,"M*",GeneMTB,"*tive")</f>
        <v>0</v>
      </c>
      <c r="D9" s="11">
        <f>COUNTIFS(GeneDate,"&gt;="&amp;$I$2,GeneDate,"&lt;="&amp;$I$3,GeneAge,"&lt;15",GeneSex,"F*",GeneMTB,"*tive")</f>
        <v>0</v>
      </c>
      <c r="E9" s="8">
        <f>COUNTIFS(GeneDate,"&gt;="&amp;$I$2,GeneDate,"&lt;="&amp;$I$3,GeneAge,"&gt;=15",GeneSex,"F*",GeneMTB,"*tive")</f>
        <v>0</v>
      </c>
      <c r="F9" s="8">
        <f>COUNTIFS(GeneDate,"&gt;="&amp;$I$2,GeneDate,"&lt;="&amp;$I$3,GeneMTB,"*tive")</f>
        <v>0</v>
      </c>
      <c r="G9" s="7" t="str">
        <f>IF(SUM(B9:E9)=F9,"","Check Total Vaue &amp; Category")</f>
        <v/>
      </c>
      <c r="H9" s="26"/>
    </row>
    <row r="10" spans="1:9" ht="12" customHeight="1" x14ac:dyDescent="0.2">
      <c r="B10" s="19"/>
      <c r="E10" s="7"/>
      <c r="F10" s="7"/>
      <c r="G10" s="7"/>
    </row>
    <row r="11" spans="1:9" x14ac:dyDescent="0.2">
      <c r="A11" s="2" t="s">
        <v>51</v>
      </c>
      <c r="E11" s="7"/>
      <c r="F11" s="7"/>
      <c r="G11" s="7"/>
    </row>
    <row r="12" spans="1:9" x14ac:dyDescent="0.2">
      <c r="A12" s="12"/>
      <c r="B12" s="12"/>
      <c r="C12" s="27" t="s">
        <v>50</v>
      </c>
      <c r="D12" s="27" t="s">
        <v>49</v>
      </c>
      <c r="E12" s="13" t="s">
        <v>15</v>
      </c>
      <c r="F12" s="13" t="s">
        <v>33</v>
      </c>
      <c r="G12" s="7"/>
    </row>
    <row r="13" spans="1:9" ht="15" customHeight="1" x14ac:dyDescent="0.2">
      <c r="A13" s="58" t="s">
        <v>44</v>
      </c>
      <c r="B13" s="12" t="s">
        <v>43</v>
      </c>
      <c r="C13" s="11">
        <f>COUNTIFS(GeneDate,"&gt;="&amp;$I$2,GeneDate,"&lt;="&amp;$I$3,GeneMicroscope,"Pos*",GenePreviousHistory,"N*",GeneMTB,"*tive")</f>
        <v>0</v>
      </c>
      <c r="D13" s="11">
        <f>COUNTIFS(GeneDate,"&gt;="&amp;$I$2,GeneDate,"&lt;="&amp;$I$3,GeneMicroscope,"Pos*",GenePreviousHistory,"Y*",GeneMTB,"*tive")</f>
        <v>0</v>
      </c>
      <c r="E13" s="8">
        <f>COUNTIFS(GeneDate,"&gt;="&amp;$I$2,GeneDate,"&lt;="&amp;$I$3,GeneMicroscope,"Pos*",GenePreviousHistory,"Un*",GeneMTB,"*tive")</f>
        <v>0</v>
      </c>
      <c r="F13" s="8">
        <f>COUNTIFS(GeneDate,"&gt;="&amp;$I$2,GeneDate,"&lt;="&amp;$I$3,GeneMicroscope,"Pos*",GeneMTB,"*tive")</f>
        <v>0</v>
      </c>
      <c r="G13" s="48" t="str">
        <f>IF($F$9=SUM(F13:F15),"","Error! Possibly there were be Error or Missing information at Microscopy Result")</f>
        <v/>
      </c>
      <c r="H13" s="49"/>
      <c r="I13" s="10" t="str">
        <f t="shared" ref="I13:I19" si="0">IF(SUM(C13:E13)=F13,"","Check Total Vaue &amp; Category")</f>
        <v/>
      </c>
    </row>
    <row r="14" spans="1:9" x14ac:dyDescent="0.2">
      <c r="A14" s="59"/>
      <c r="B14" s="12" t="s">
        <v>42</v>
      </c>
      <c r="C14" s="11">
        <f>COUNTIFS(GeneDate,"&gt;="&amp;$I$2,GeneDate,"&lt;="&amp;$I$3,GeneMicroscope,"Neg*",GenePreviousHistory,"N*",GeneMTB,"*tive")</f>
        <v>0</v>
      </c>
      <c r="D14" s="11">
        <f>COUNTIFS(GeneDate,"&gt;="&amp;$I$2,GeneDate,"&lt;="&amp;$I$3,GeneMicroscope,"Neg*",GenePreviousHistory,"Y*",GeneMTB,"*tive")</f>
        <v>0</v>
      </c>
      <c r="E14" s="8">
        <f>COUNTIFS(GeneDate,"&gt;="&amp;$I$2,GeneDate,"&lt;="&amp;$I$3,GeneMicroscope,"Neg*",GenePreviousHistory,"Un*",GeneMTB,"*tive")</f>
        <v>0</v>
      </c>
      <c r="F14" s="8">
        <f>COUNTIFS(GeneDate,"&gt;="&amp;$I$2,GeneDate,"&lt;="&amp;$I$3,GeneMicroscope,"Neg*",GeneMTB,"*tive")</f>
        <v>0</v>
      </c>
      <c r="G14" s="48"/>
      <c r="H14" s="49"/>
      <c r="I14" s="10" t="str">
        <f t="shared" si="0"/>
        <v/>
      </c>
    </row>
    <row r="15" spans="1:9" x14ac:dyDescent="0.2">
      <c r="A15" s="60"/>
      <c r="B15" s="12" t="s">
        <v>41</v>
      </c>
      <c r="C15" s="11">
        <f>COUNTIFS(GeneDate,"&gt;="&amp;$I$2,GeneDate,"&lt;="&amp;$I$3,GeneMicroscope,"Not*",GenePreviousHistory,"N*",GeneMTB,"*tive")</f>
        <v>0</v>
      </c>
      <c r="D15" s="11">
        <f>COUNTIFS(GeneDate,"&gt;="&amp;$I$2,GeneDate,"&lt;="&amp;$I$3,GeneMicroscope,"Not*",GenePreviousHistory,"Y*",GeneMTB,"*tive")</f>
        <v>0</v>
      </c>
      <c r="E15" s="8">
        <f>COUNTIFS(GeneDate,"&gt;="&amp;$I$2,GeneDate,"&lt;="&amp;$I$3,GeneMicroscope,"Not*",GenePreviousHistory,"Un*",GeneMTB,"*tive")</f>
        <v>0</v>
      </c>
      <c r="F15" s="8">
        <f>COUNTIFS(GeneDate,"&gt;="&amp;$I$2,GeneDate,"&lt;="&amp;$I$3,GeneMicroscope,"Not*",GeneMTB,"*tive")</f>
        <v>0</v>
      </c>
      <c r="G15" s="48"/>
      <c r="H15" s="49"/>
      <c r="I15" s="10" t="str">
        <f t="shared" si="0"/>
        <v/>
      </c>
    </row>
    <row r="16" spans="1:9" x14ac:dyDescent="0.2">
      <c r="A16" s="57" t="s">
        <v>40</v>
      </c>
      <c r="B16" s="12" t="s">
        <v>13</v>
      </c>
      <c r="C16" s="11">
        <f>COUNTIFS(GeneDate,"&gt;="&amp;$I$2,GeneDate,"&lt;="&amp;$I$3,GenePreviousHistory,"N*",GeneMTB,"Neg*")</f>
        <v>0</v>
      </c>
      <c r="D16" s="11">
        <f>COUNTIFS(GeneDate,"&gt;="&amp;$I$2,GeneDate,"&lt;="&amp;$I$3,GenePreviousHistory,"Y*",GeneMTB,"Neg*")</f>
        <v>0</v>
      </c>
      <c r="E16" s="8">
        <f>F16-(C16+D16)</f>
        <v>0</v>
      </c>
      <c r="F16" s="8">
        <f>COUNTIFS(GeneDate,"&gt;="&amp;$I$2,GeneDate,"&lt;="&amp;$I$3,GeneMTB,"Neg*")</f>
        <v>0</v>
      </c>
      <c r="G16" s="48" t="str">
        <f>IF($F$9=SUM(F16:F19),"","Error! Cross information between Xpert result and treatment category are not match; possibly there will be Erorr or missing information on MTB result OR RIF result")</f>
        <v/>
      </c>
      <c r="H16" s="49"/>
      <c r="I16" s="10" t="str">
        <f t="shared" si="0"/>
        <v/>
      </c>
    </row>
    <row r="17" spans="1:9" x14ac:dyDescent="0.2">
      <c r="A17" s="57"/>
      <c r="B17" s="12" t="s">
        <v>39</v>
      </c>
      <c r="C17" s="11">
        <f>COUNTIFS(GeneDate,"&gt;="&amp;$I$2,GeneDate,"&lt;="&amp;$I$3,GenePreviousHistory,"N*",GeneMTB,"Pos*",GeneRif,"Neg*")</f>
        <v>0</v>
      </c>
      <c r="D17" s="11">
        <f>COUNTIFS(GeneDate,"&gt;="&amp;$I$2,GeneDate,"&lt;="&amp;$I$3,GenePreviousHistory,"Y*",GeneMTB,"Pos*",GeneRif,"Neg*")</f>
        <v>0</v>
      </c>
      <c r="E17" s="8">
        <f>F17-(C17+D17)</f>
        <v>0</v>
      </c>
      <c r="F17" s="8">
        <f>COUNTIFS(GeneDate,"&gt;="&amp;$I$2,GeneDate,"&lt;="&amp;$I$3,GeneMTB,"Pos*",GeneRif,"Neg*")</f>
        <v>0</v>
      </c>
      <c r="G17" s="48"/>
      <c r="H17" s="49"/>
      <c r="I17" s="10" t="str">
        <f t="shared" si="0"/>
        <v/>
      </c>
    </row>
    <row r="18" spans="1:9" x14ac:dyDescent="0.2">
      <c r="A18" s="57"/>
      <c r="B18" s="12" t="s">
        <v>38</v>
      </c>
      <c r="C18" s="11">
        <f>COUNTIFS(GeneDate,"&gt;="&amp;$I$2,GeneDate,"&lt;="&amp;$I$3,GenePreviousHistory,"N*",GeneMTB,"Pos*",GeneRif,"Pos*")</f>
        <v>0</v>
      </c>
      <c r="D18" s="11">
        <f>COUNTIFS(GeneDate,"&gt;="&amp;$I$2,GeneDate,"&lt;="&amp;$I$3,GenePreviousHistory,"Y*",GeneMTB,"Pos*",GeneRif,"Pos*")</f>
        <v>0</v>
      </c>
      <c r="E18" s="8">
        <f>F18-(C18+D18)</f>
        <v>0</v>
      </c>
      <c r="F18" s="8">
        <f>COUNTIFS(GeneDate,"&gt;="&amp;$I$2,GeneDate,"&lt;="&amp;$I$3,GeneMTB,"Pos*",GeneRif,"Pos*")</f>
        <v>0</v>
      </c>
      <c r="G18" s="48"/>
      <c r="H18" s="49"/>
      <c r="I18" s="10" t="str">
        <f t="shared" si="0"/>
        <v/>
      </c>
    </row>
    <row r="19" spans="1:9" x14ac:dyDescent="0.2">
      <c r="A19" s="57"/>
      <c r="B19" s="12" t="s">
        <v>48</v>
      </c>
      <c r="C19" s="11">
        <f>COUNTIFS(GeneDate,"&gt;="&amp;$I$2,GeneDate,"&lt;="&amp;$I$3,GenePreviousHistory,"N*",GeneMTB,"Pos*",GeneRif,"IND*")</f>
        <v>0</v>
      </c>
      <c r="D19" s="11">
        <f>COUNTIFS(GeneDate,"&gt;="&amp;$I$2,GeneDate,"&lt;="&amp;$I$3,GenePreviousHistory,"Y*",GeneMTB,"Pos*",GeneRif,"IND*")</f>
        <v>0</v>
      </c>
      <c r="E19" s="8">
        <f>F19-(C19+D19)</f>
        <v>0</v>
      </c>
      <c r="F19" s="8">
        <f>COUNTIFS(GeneDate,"&gt;="&amp;$I$2,GeneDate,"&lt;="&amp;$I$3,GeneMTB,"Pos*",GeneRif,"IND*")</f>
        <v>0</v>
      </c>
      <c r="G19" s="48"/>
      <c r="H19" s="49"/>
      <c r="I19" s="10" t="str">
        <f t="shared" si="0"/>
        <v/>
      </c>
    </row>
    <row r="20" spans="1:9" ht="12" customHeight="1" x14ac:dyDescent="0.2">
      <c r="E20" s="7"/>
      <c r="F20" s="7"/>
      <c r="G20" s="7"/>
    </row>
    <row r="21" spans="1:9" x14ac:dyDescent="0.2">
      <c r="A21" s="2" t="s">
        <v>47</v>
      </c>
      <c r="E21" s="7"/>
      <c r="F21" s="7"/>
      <c r="G21" s="7"/>
    </row>
    <row r="22" spans="1:9" ht="30" x14ac:dyDescent="0.2">
      <c r="A22" s="12"/>
      <c r="B22" s="12"/>
      <c r="C22" s="14" t="s">
        <v>46</v>
      </c>
      <c r="D22" s="14" t="s">
        <v>45</v>
      </c>
      <c r="E22" s="13" t="s">
        <v>15</v>
      </c>
      <c r="F22" s="13" t="s">
        <v>33</v>
      </c>
      <c r="G22" s="7"/>
    </row>
    <row r="23" spans="1:9" ht="15" customHeight="1" x14ac:dyDescent="0.2">
      <c r="A23" s="58" t="s">
        <v>44</v>
      </c>
      <c r="B23" s="12" t="s">
        <v>43</v>
      </c>
      <c r="C23" s="11">
        <f>COUNTIFS(GeneDate,"&gt;="&amp;$I$2,GeneDate,"&lt;="&amp;$I$3,GeneMicroscope,"Pos*",GeneHIV,"Pos*",GeneMTB,"*tive")</f>
        <v>0</v>
      </c>
      <c r="D23" s="11">
        <f>COUNTIFS(GeneDate,"&gt;="&amp;$I$2,GeneDate,"&lt;="&amp;$I$3,GeneMicroscope,"Pos*",GeneHIV,"Neg*",GeneMTB,"*tive")</f>
        <v>0</v>
      </c>
      <c r="E23" s="8">
        <f>COUNTIFS(GeneDate,"&gt;="&amp;$I$2,GeneDate,"&lt;="&amp;$I$3,GeneMicroscope,"Pos*",GeneHIV,"Un*",GeneMTB,"*tive")</f>
        <v>0</v>
      </c>
      <c r="F23" s="8">
        <f>COUNTIFS(GeneDate,"&gt;="&amp;$I$2,GeneDate,"&lt;="&amp;$I$3,GeneMicroscope,"Pos*",GeneMTB,"*tive")</f>
        <v>0</v>
      </c>
      <c r="G23" s="48" t="str">
        <f>IF($F$9=SUM(F23:F25),"","Error! Cross information between Microscope Result and HIV Status are not match; possibly there will be Erorr or missing information on Microscope Result OR HIV Status")</f>
        <v/>
      </c>
      <c r="H23" s="49"/>
      <c r="I23" s="10" t="str">
        <f t="shared" ref="I23:I29" si="1">IF(SUM(C23:E23)=F23,"","Check Total Vaue &amp; Category")</f>
        <v/>
      </c>
    </row>
    <row r="24" spans="1:9" x14ac:dyDescent="0.2">
      <c r="A24" s="59"/>
      <c r="B24" s="12" t="s">
        <v>42</v>
      </c>
      <c r="C24" s="11">
        <f>COUNTIFS(GeneDate,"&gt;="&amp;$I$2,GeneDate,"&lt;="&amp;$I$3,GeneMicroscope,"Neg*",GeneHIV,"Pos*",GeneMTB,"*tive")</f>
        <v>0</v>
      </c>
      <c r="D24" s="11">
        <f>COUNTIFS(GeneDate,"&gt;="&amp;$I$2,GeneDate,"&lt;="&amp;$I$3,GeneMicroscope,"Neg*",GeneHIV,"Neg*",GeneMTB,"*tive")</f>
        <v>0</v>
      </c>
      <c r="E24" s="8">
        <f>COUNTIFS(GeneDate,"&gt;="&amp;$I$2,GeneDate,"&lt;="&amp;$I$3,GeneMicroscope,"Neg*",GeneHIV,"Un*",GeneMTB,"*tive")</f>
        <v>0</v>
      </c>
      <c r="F24" s="8">
        <f>COUNTIFS(GeneDate,"&gt;="&amp;$I$2,GeneDate,"&lt;="&amp;$I$3,GeneMicroscope,"Neg*",GeneMTB,"*tive")</f>
        <v>0</v>
      </c>
      <c r="G24" s="48"/>
      <c r="H24" s="49"/>
      <c r="I24" s="10" t="str">
        <f t="shared" si="1"/>
        <v/>
      </c>
    </row>
    <row r="25" spans="1:9" x14ac:dyDescent="0.2">
      <c r="A25" s="60"/>
      <c r="B25" s="12" t="s">
        <v>41</v>
      </c>
      <c r="C25" s="11">
        <f>COUNTIFS(GeneDate,"&gt;="&amp;$I$2,GeneDate,"&lt;="&amp;$I$3,GeneMicroscope,"Not*",GeneHIV,"Pos*",GeneMTB,"*tive")</f>
        <v>0</v>
      </c>
      <c r="D25" s="11">
        <f>COUNTIFS(GeneDate,"&gt;="&amp;$I$2,GeneDate,"&lt;="&amp;$I$3,GeneMicroscope,"Not*",GeneHIV,"Neg*",GeneMTB,"*tive")</f>
        <v>0</v>
      </c>
      <c r="E25" s="8">
        <f>COUNTIFS(GeneDate,"&gt;="&amp;$I$2,GeneDate,"&lt;="&amp;$I$3,GeneMicroscope,"Not*",GeneHIV,"Un*",GeneMTB,"*tive")</f>
        <v>0</v>
      </c>
      <c r="F25" s="8">
        <f>COUNTIFS(GeneDate,"&gt;="&amp;$I$2,GeneDate,"&lt;="&amp;$I$3,GeneMicroscope,"Not*",GeneMTB,"*tive")</f>
        <v>0</v>
      </c>
      <c r="G25" s="48"/>
      <c r="H25" s="49"/>
      <c r="I25" s="10" t="str">
        <f t="shared" si="1"/>
        <v/>
      </c>
    </row>
    <row r="26" spans="1:9" x14ac:dyDescent="0.2">
      <c r="A26" s="57" t="s">
        <v>40</v>
      </c>
      <c r="B26" s="12" t="s">
        <v>13</v>
      </c>
      <c r="C26" s="11">
        <f>COUNTIFS(GeneDate,"&gt;="&amp;$I$2,GeneDate,"&lt;="&amp;$I$3,GeneHIV,"Pos*",GeneMTB,"Neg*")</f>
        <v>0</v>
      </c>
      <c r="D26" s="11">
        <f>COUNTIFS(GeneDate,"&gt;="&amp;$I$2,GeneDate,"&lt;="&amp;$I$3,GeneHIV,"Neg*",GeneMTB,"Neg*")</f>
        <v>0</v>
      </c>
      <c r="E26" s="8">
        <f>COUNTIFS(GeneDate,"&gt;="&amp;$I$2,GeneDate,"&lt;="&amp;$I$3,GeneHIV,"Un*",GeneMTB,"Neg*")</f>
        <v>0</v>
      </c>
      <c r="F26" s="8">
        <f>COUNTIFS(GeneDate,"&gt;="&amp;$I$2,GeneDate,"&lt;="&amp;$I$3,GeneMTB,"*tive",GeneMTB,"Neg*")</f>
        <v>0</v>
      </c>
      <c r="G26" s="48" t="str">
        <f>IF($F$9=SUM(F26:F29),"","Error! Cross information between Xpert result and HIV Status are not match; possibly there will be Erorr or missing information on MTB result OR HIV Status")</f>
        <v/>
      </c>
      <c r="H26" s="49"/>
      <c r="I26" s="10" t="str">
        <f t="shared" si="1"/>
        <v/>
      </c>
    </row>
    <row r="27" spans="1:9" x14ac:dyDescent="0.2">
      <c r="A27" s="57"/>
      <c r="B27" s="12" t="s">
        <v>39</v>
      </c>
      <c r="C27" s="11">
        <f>COUNTIFS(GeneDate,"&gt;="&amp;$I$2,GeneDate,"&lt;="&amp;$I$3,GeneHIV,"Pos*",GeneMTB,"Pos*",GeneRif,"Neg*")</f>
        <v>0</v>
      </c>
      <c r="D27" s="11">
        <f>COUNTIFS(GeneDate,"&gt;="&amp;$I$2,GeneDate,"&lt;="&amp;$I$3,GeneHIV,"Neg*",GeneMTB,"Pos*",GeneRif,"Neg*")</f>
        <v>0</v>
      </c>
      <c r="E27" s="8">
        <f>COUNTIFS(GeneDate,"&gt;="&amp;$I$2,GeneDate,"&lt;="&amp;$I$3,GeneHIV,"Un*",GeneMTB,"Pos*",GeneRif,"Neg*")</f>
        <v>0</v>
      </c>
      <c r="F27" s="8">
        <f>COUNTIFS(GeneDate,"&gt;="&amp;$I$2,GeneDate,"&lt;="&amp;$I$3,GeneMTB,"Pos*",GeneRif,"Neg*")</f>
        <v>0</v>
      </c>
      <c r="G27" s="48"/>
      <c r="H27" s="49"/>
      <c r="I27" s="10" t="str">
        <f t="shared" si="1"/>
        <v/>
      </c>
    </row>
    <row r="28" spans="1:9" x14ac:dyDescent="0.2">
      <c r="A28" s="57"/>
      <c r="B28" s="12" t="s">
        <v>38</v>
      </c>
      <c r="C28" s="11">
        <f>COUNTIFS(GeneDate,"&gt;="&amp;$I$2,GeneDate,"&lt;="&amp;$I$3,GeneHIV,"Pos*",GeneMTB,"Pos*",GeneRif,"Pos*")</f>
        <v>0</v>
      </c>
      <c r="D28" s="11">
        <f>COUNTIFS(GeneDate,"&gt;="&amp;$I$2,GeneDate,"&lt;="&amp;$I$3,GeneHIV,"Neg*",GeneMTB,"Pos*",GeneRif,"Pos*")</f>
        <v>0</v>
      </c>
      <c r="E28" s="8">
        <f>COUNTIFS(GeneDate,"&gt;="&amp;$I$2,GeneDate,"&lt;="&amp;$I$3,GeneHIV,"Un*",GeneMTB,"Pos*",GeneRif,"Pos*")</f>
        <v>0</v>
      </c>
      <c r="F28" s="8">
        <f>COUNTIFS(GeneDate,"&gt;="&amp;$I$2,GeneDate,"&lt;="&amp;$I$3,GeneMTB,"Pos*",GeneRif,"Pos*")</f>
        <v>0</v>
      </c>
      <c r="G28" s="48"/>
      <c r="H28" s="49"/>
      <c r="I28" s="10" t="str">
        <f t="shared" si="1"/>
        <v/>
      </c>
    </row>
    <row r="29" spans="1:9" x14ac:dyDescent="0.2">
      <c r="A29" s="57"/>
      <c r="B29" s="12" t="s">
        <v>37</v>
      </c>
      <c r="C29" s="11">
        <f>COUNTIFS(GeneDate,"&gt;="&amp;$I$2,GeneDate,"&lt;="&amp;$I$3,GeneHIV,"Pos*",GeneMTB,"Pos*",GeneRif,"IND*")</f>
        <v>0</v>
      </c>
      <c r="D29" s="11">
        <f>COUNTIFS(GeneDate,"&gt;="&amp;$I$2,GeneDate,"&lt;="&amp;$I$3,GeneHIV,"Neg*",GeneMTB,"Pos*",GeneRif,"IND*")</f>
        <v>0</v>
      </c>
      <c r="E29" s="8">
        <f>COUNTIFS(GeneDate,"&gt;="&amp;$I$2,GeneDate,"&lt;="&amp;$I$3,GeneHIV,"Un*",GeneMTB,"Pos*",GeneRif,"IND*")</f>
        <v>0</v>
      </c>
      <c r="F29" s="8">
        <f>COUNTIFS(GeneDate,"&gt;="&amp;$I$2,GeneDate,"&lt;="&amp;$I$3,GeneMTB,"Pos*",GeneRif,"IND*")</f>
        <v>0</v>
      </c>
      <c r="G29" s="48"/>
      <c r="H29" s="49"/>
      <c r="I29" s="10" t="str">
        <f t="shared" si="1"/>
        <v/>
      </c>
    </row>
    <row r="30" spans="1:9" ht="12" customHeight="1" x14ac:dyDescent="0.2">
      <c r="E30" s="7"/>
      <c r="F30" s="7"/>
      <c r="G30" s="7"/>
    </row>
    <row r="31" spans="1:9" x14ac:dyDescent="0.2">
      <c r="A31" s="4"/>
      <c r="B31" s="25"/>
      <c r="C31" s="61" t="s">
        <v>14</v>
      </c>
      <c r="D31" s="62"/>
      <c r="E31" s="61" t="s">
        <v>16</v>
      </c>
      <c r="F31" s="62"/>
      <c r="G31" s="9" t="s">
        <v>33</v>
      </c>
    </row>
    <row r="32" spans="1:9" x14ac:dyDescent="0.2">
      <c r="A32" s="24" t="s">
        <v>62</v>
      </c>
      <c r="B32" s="24"/>
      <c r="C32" s="61">
        <f>COUNTIFS(GeneDate,"&gt;="&amp;$I$2,GeneDate,"&lt;="&amp;$I$3,GeneMTB,"Pos*",GeneRif,"Pos*",GeneSex,"Male")</f>
        <v>0</v>
      </c>
      <c r="D32" s="62"/>
      <c r="E32" s="64">
        <f>COUNTIFS(GeneDate,"&gt;="&amp;$I$2,GeneDate,"&lt;="&amp;$I$3,GeneMTB,"Pos*",GeneRif,"Pos*",GeneSex,"Female")</f>
        <v>0</v>
      </c>
      <c r="F32" s="65"/>
      <c r="G32" s="8">
        <f>COUNTIFS(GeneDate,"&gt;="&amp;$I$2,GeneDate,"&lt;="&amp;$I$3,GeneMTB,"Pos*",GeneRif,"Pos*")</f>
        <v>0</v>
      </c>
    </row>
    <row r="33" spans="1:10" ht="12" customHeight="1" x14ac:dyDescent="0.2">
      <c r="E33" s="7"/>
      <c r="F33" s="7"/>
      <c r="G33" s="7"/>
    </row>
    <row r="34" spans="1:10" x14ac:dyDescent="0.2">
      <c r="A34" s="2" t="s">
        <v>36</v>
      </c>
      <c r="E34" s="7"/>
      <c r="F34" s="7"/>
      <c r="G34" s="7"/>
    </row>
    <row r="35" spans="1:10" x14ac:dyDescent="0.2">
      <c r="A35" s="61"/>
      <c r="B35" s="62"/>
      <c r="C35" s="61" t="s">
        <v>35</v>
      </c>
      <c r="D35" s="62"/>
      <c r="E35" s="64" t="s">
        <v>34</v>
      </c>
      <c r="F35" s="65"/>
      <c r="G35" s="9" t="s">
        <v>33</v>
      </c>
    </row>
    <row r="36" spans="1:10" x14ac:dyDescent="0.2">
      <c r="A36" s="50" t="s">
        <v>32</v>
      </c>
      <c r="B36" s="50"/>
      <c r="C36" s="51">
        <f>COUNTIFS(GeneDate,"&gt;="&amp;$I$2,GeneDate,"&lt;="&amp;$I$3,GeneMTB,"Pos*",GeneMicroscope,"Pos*")</f>
        <v>0</v>
      </c>
      <c r="D36" s="52"/>
      <c r="E36" s="53">
        <f>COUNTIFS(GeneDate,"&gt;="&amp;$I$2,GeneDate,"&lt;="&amp;$I$3,GeneMTB,"Neg*",GeneMicroscope,"Pos*")</f>
        <v>0</v>
      </c>
      <c r="F36" s="54"/>
      <c r="G36" s="8">
        <f>COUNTIFS(GeneDate,"&gt;="&amp;$I$2,GeneDate,"&lt;="&amp;$I$3,GeneMicroscope,"Pos*",GeneMTB,"*tive")</f>
        <v>0</v>
      </c>
      <c r="H36" s="55" t="str">
        <f>IF($F$9=SUM(G36:G38),"","Error! Cross information between Xpert result and Microscope result are not match; possibly there will be Erorr or missing information on MTB result OR Microscope result")</f>
        <v/>
      </c>
      <c r="I36" s="56"/>
      <c r="J36" s="2" t="str">
        <f>IF(SUM(C36:F36)=G36,"","Check Total Vaue &amp; Category")</f>
        <v/>
      </c>
    </row>
    <row r="37" spans="1:10" x14ac:dyDescent="0.2">
      <c r="A37" s="50" t="s">
        <v>31</v>
      </c>
      <c r="B37" s="50"/>
      <c r="C37" s="51">
        <f>COUNTIFS(GeneDate,"&gt;="&amp;$I$2,GeneDate,"&lt;="&amp;$I$3,GeneMTB,"Pos*",GeneMicroscope,"Neg*")</f>
        <v>0</v>
      </c>
      <c r="D37" s="52"/>
      <c r="E37" s="53">
        <f>COUNTIFS(GeneDate,"&gt;="&amp;$I$2,GeneDate,"&lt;="&amp;$I$3,GeneMTB,"Neg*",GeneMicroscope,"Neg*")</f>
        <v>0</v>
      </c>
      <c r="F37" s="54"/>
      <c r="G37" s="8">
        <f>COUNTIFS(GeneDate,"&gt;="&amp;$I$2,GeneDate,"&lt;="&amp;$I$3,GeneMicroscope,"Neg*",GeneMTB,"*tive")</f>
        <v>0</v>
      </c>
      <c r="H37" s="55"/>
      <c r="I37" s="56"/>
      <c r="J37" s="2" t="str">
        <f>IF(SUM(C37:F37)=G37,"","Check Total Vaue &amp; Category")</f>
        <v/>
      </c>
    </row>
    <row r="38" spans="1:10" x14ac:dyDescent="0.2">
      <c r="A38" s="50" t="s">
        <v>30</v>
      </c>
      <c r="B38" s="50"/>
      <c r="C38" s="51">
        <f>COUNTIFS(GeneDate,"&gt;="&amp;$I$2,GeneDate,"&lt;="&amp;$I$3,GeneMTB,"Pos*",GeneMicroscope,"Not*")</f>
        <v>0</v>
      </c>
      <c r="D38" s="52"/>
      <c r="E38" s="53">
        <f>COUNTIFS(GeneDate,"&gt;="&amp;$I$2,GeneDate,"&lt;="&amp;$I$3,GeneMTB,"Neg*",GeneMicroscope,"Not*")</f>
        <v>0</v>
      </c>
      <c r="F38" s="54"/>
      <c r="G38" s="8">
        <f>COUNTIFS(GeneDate,"&gt;="&amp;$I$2,GeneDate,"&lt;="&amp;$I$3,GeneMTB,"*tive",GeneMicroscope,"Not*")</f>
        <v>0</v>
      </c>
      <c r="H38" s="55"/>
      <c r="I38" s="56"/>
      <c r="J38" s="2" t="str">
        <f>IF(SUM(C38:F38)=G38,"","Check Total Vaue &amp; Category")</f>
        <v/>
      </c>
    </row>
    <row r="39" spans="1:10" ht="12" customHeight="1" x14ac:dyDescent="0.2">
      <c r="D39" s="2" t="str">
        <f>IF(SUM(C36:D38)=SUM(F27:F29),"","Error")</f>
        <v/>
      </c>
      <c r="E39" s="7"/>
      <c r="F39" s="7"/>
      <c r="G39" s="7"/>
    </row>
    <row r="40" spans="1:10" x14ac:dyDescent="0.2">
      <c r="A40" s="2" t="s">
        <v>29</v>
      </c>
    </row>
    <row r="41" spans="1:10" x14ac:dyDescent="0.2">
      <c r="A41" s="66"/>
      <c r="B41" s="66"/>
      <c r="C41" s="61" t="s">
        <v>28</v>
      </c>
      <c r="D41" s="62"/>
      <c r="E41" s="66" t="s">
        <v>27</v>
      </c>
      <c r="F41" s="66"/>
    </row>
    <row r="42" spans="1:10" x14ac:dyDescent="0.2">
      <c r="A42" s="50" t="s">
        <v>26</v>
      </c>
      <c r="B42" s="50"/>
      <c r="C42" s="51"/>
      <c r="D42" s="52"/>
      <c r="E42" s="67"/>
      <c r="F42" s="67"/>
    </row>
    <row r="43" spans="1:10" x14ac:dyDescent="0.2">
      <c r="A43" s="50" t="s">
        <v>25</v>
      </c>
      <c r="B43" s="50"/>
      <c r="C43" s="51"/>
      <c r="D43" s="52"/>
      <c r="E43" s="67" t="s">
        <v>24</v>
      </c>
      <c r="F43" s="67"/>
    </row>
    <row r="44" spans="1:10" x14ac:dyDescent="0.2">
      <c r="A44" s="50" t="s">
        <v>23</v>
      </c>
      <c r="B44" s="50"/>
      <c r="C44" s="68">
        <f>C46+F9+C47</f>
        <v>0</v>
      </c>
      <c r="D44" s="69"/>
      <c r="E44" s="67"/>
      <c r="F44" s="67"/>
      <c r="G44" s="6"/>
    </row>
    <row r="45" spans="1:10" x14ac:dyDescent="0.2">
      <c r="A45" s="50" t="s">
        <v>22</v>
      </c>
      <c r="B45" s="50"/>
      <c r="C45" s="68">
        <f>SUM(C42+C43)-C44</f>
        <v>0</v>
      </c>
      <c r="D45" s="69"/>
      <c r="E45" s="67"/>
      <c r="F45" s="67"/>
    </row>
    <row r="46" spans="1:10" x14ac:dyDescent="0.2">
      <c r="A46" s="5" t="s">
        <v>21</v>
      </c>
      <c r="B46" s="5"/>
      <c r="C46" s="23">
        <f>COUNTIFS(GeneDate,"&gt;="&amp;$I$2,GeneDate,"&lt;="&amp;$I$3,GeneMTB,"Error")+COUNTIFS(GeneDate,"&gt;="&amp;$I$2,GeneDate,"&lt;="&amp;$I$3,GeneMTB,"Invalid")+COUNTIFS(GeneDate,"&gt;="&amp;$I$2,GeneDate,"&lt;="&amp;$I$3,GeneMTB,"*Result*")</f>
        <v>0</v>
      </c>
    </row>
    <row r="47" spans="1:10" x14ac:dyDescent="0.2">
      <c r="A47" s="5" t="s">
        <v>63</v>
      </c>
      <c r="C47" s="5">
        <v>0</v>
      </c>
    </row>
    <row r="49" spans="5:7" x14ac:dyDescent="0.2">
      <c r="E49" s="2" t="s">
        <v>20</v>
      </c>
      <c r="F49" s="4"/>
      <c r="G49" s="4"/>
    </row>
    <row r="50" spans="5:7" x14ac:dyDescent="0.2">
      <c r="E50" s="2" t="s">
        <v>19</v>
      </c>
      <c r="F50" s="3"/>
      <c r="G50" s="3"/>
    </row>
    <row r="51" spans="5:7" x14ac:dyDescent="0.2">
      <c r="E51" s="2" t="s">
        <v>18</v>
      </c>
      <c r="F51" s="3"/>
      <c r="G51" s="3"/>
    </row>
    <row r="52" spans="5:7" x14ac:dyDescent="0.2">
      <c r="E52" s="2" t="s">
        <v>17</v>
      </c>
      <c r="F52" s="3"/>
      <c r="G52" s="3"/>
    </row>
  </sheetData>
  <sheetProtection algorithmName="SHA-512" hashValue="U/6INhVB3Kw/ny4sngTC3l9GslLOw6mrmU0RgD6dm75Sxjz8Gc0jwwtc7W94SSAv3KEOkn/XFNUDScS3clgw6w==" saltValue="YDoSohdtkCV2M31Cme19nw==" spinCount="100000" sheet="1" objects="1" scenarios="1"/>
  <protectedRanges>
    <protectedRange sqref="B4" name="Range3"/>
    <protectedRange sqref="I2:I3" name="Range2"/>
    <protectedRange sqref="C42:F43 C45 E44:F45 C47" name="Range1"/>
  </protectedRanges>
  <mergeCells count="45">
    <mergeCell ref="A45:B45"/>
    <mergeCell ref="C45:D45"/>
    <mergeCell ref="E45:F45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6:B36"/>
    <mergeCell ref="C36:D36"/>
    <mergeCell ref="E36:F36"/>
    <mergeCell ref="H36:I38"/>
    <mergeCell ref="A37:B37"/>
    <mergeCell ref="C37:D37"/>
    <mergeCell ref="E37:F37"/>
    <mergeCell ref="A38:B38"/>
    <mergeCell ref="C38:D38"/>
    <mergeCell ref="E38:F38"/>
    <mergeCell ref="C31:D31"/>
    <mergeCell ref="E31:F31"/>
    <mergeCell ref="C32:D32"/>
    <mergeCell ref="E32:F32"/>
    <mergeCell ref="A35:B35"/>
    <mergeCell ref="C35:D35"/>
    <mergeCell ref="E35:F35"/>
    <mergeCell ref="A26:A29"/>
    <mergeCell ref="G26:H29"/>
    <mergeCell ref="A1:F1"/>
    <mergeCell ref="A7:A8"/>
    <mergeCell ref="B7:C7"/>
    <mergeCell ref="D7:E7"/>
    <mergeCell ref="F7:F8"/>
    <mergeCell ref="A13:A15"/>
    <mergeCell ref="G13:H15"/>
    <mergeCell ref="A16:A19"/>
    <mergeCell ref="G16:H19"/>
    <mergeCell ref="A23:A25"/>
    <mergeCell ref="G23:H25"/>
  </mergeCells>
  <conditionalFormatting sqref="G13">
    <cfRule type="notContainsBlanks" dxfId="71" priority="6">
      <formula>LEN(TRIM(G13))&gt;0</formula>
    </cfRule>
  </conditionalFormatting>
  <conditionalFormatting sqref="G16">
    <cfRule type="notContainsBlanks" dxfId="70" priority="5">
      <formula>LEN(TRIM(G16))&gt;0</formula>
    </cfRule>
  </conditionalFormatting>
  <conditionalFormatting sqref="G23">
    <cfRule type="notContainsBlanks" dxfId="69" priority="4">
      <formula>LEN(TRIM(G23))&gt;0</formula>
    </cfRule>
  </conditionalFormatting>
  <conditionalFormatting sqref="G26">
    <cfRule type="notContainsBlanks" dxfId="68" priority="3">
      <formula>LEN(TRIM(G26))&gt;0</formula>
    </cfRule>
  </conditionalFormatting>
  <conditionalFormatting sqref="H36">
    <cfRule type="notContainsBlanks" dxfId="67" priority="2">
      <formula>LEN(TRIM(H36))&gt;0</formula>
    </cfRule>
  </conditionalFormatting>
  <conditionalFormatting sqref="I13:I19 I23:I29 J36:J38">
    <cfRule type="notContainsBlanks" dxfId="66" priority="1">
      <formula>LEN(TRIM(I13))&gt;0</formula>
    </cfRule>
  </conditionalFormatting>
  <pageMargins left="0.7" right="0.5" top="0.5" bottom="0.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rgb="FF00B0F0"/>
  </sheetPr>
  <dimension ref="A1:J52"/>
  <sheetViews>
    <sheetView topLeftCell="A2" workbookViewId="0">
      <selection activeCell="E27" sqref="E27"/>
    </sheetView>
  </sheetViews>
  <sheetFormatPr baseColWidth="10" defaultColWidth="9.1640625" defaultRowHeight="15" x14ac:dyDescent="0.2"/>
  <cols>
    <col min="1" max="1" width="14" style="2" customWidth="1"/>
    <col min="2" max="2" width="25.1640625" style="2" bestFit="1" customWidth="1"/>
    <col min="3" max="3" width="9.1640625" style="2" customWidth="1"/>
    <col min="4" max="4" width="12.33203125" style="2" bestFit="1" customWidth="1"/>
    <col min="5" max="7" width="9.6640625" style="2" customWidth="1"/>
    <col min="8" max="8" width="20.33203125" style="2" customWidth="1"/>
    <col min="9" max="9" width="20.6640625" style="2" customWidth="1"/>
    <col min="10" max="10" width="14.5" style="2" customWidth="1"/>
    <col min="11" max="16384" width="9.1640625" style="2"/>
  </cols>
  <sheetData>
    <row r="1" spans="1:9" ht="19" x14ac:dyDescent="0.25">
      <c r="A1" s="63" t="s">
        <v>60</v>
      </c>
      <c r="B1" s="63"/>
      <c r="C1" s="63"/>
      <c r="D1" s="63"/>
      <c r="E1" s="63"/>
      <c r="F1" s="63"/>
      <c r="I1" s="16" t="s">
        <v>59</v>
      </c>
    </row>
    <row r="2" spans="1:9" ht="16" x14ac:dyDescent="0.2">
      <c r="H2" s="16" t="s">
        <v>58</v>
      </c>
      <c r="I2" s="28">
        <v>42461.000011574099</v>
      </c>
    </row>
    <row r="3" spans="1:9" ht="16" x14ac:dyDescent="0.2">
      <c r="A3" s="2" t="s">
        <v>64</v>
      </c>
      <c r="C3" s="18" t="s">
        <v>66</v>
      </c>
      <c r="E3" s="2" t="s">
        <v>56</v>
      </c>
      <c r="F3" s="17">
        <f>YEAR($I$2)</f>
        <v>2016</v>
      </c>
      <c r="H3" s="16" t="s">
        <v>55</v>
      </c>
      <c r="I3" s="28">
        <v>42551.999988425901</v>
      </c>
    </row>
    <row r="4" spans="1:9" x14ac:dyDescent="0.2">
      <c r="A4" s="2" t="s">
        <v>54</v>
      </c>
    </row>
    <row r="6" spans="1:9" x14ac:dyDescent="0.2">
      <c r="A6" s="2" t="s">
        <v>53</v>
      </c>
    </row>
    <row r="7" spans="1:9" x14ac:dyDescent="0.2">
      <c r="A7" s="66"/>
      <c r="B7" s="66" t="s">
        <v>14</v>
      </c>
      <c r="C7" s="66"/>
      <c r="D7" s="66" t="s">
        <v>16</v>
      </c>
      <c r="E7" s="66"/>
      <c r="F7" s="57" t="s">
        <v>33</v>
      </c>
    </row>
    <row r="8" spans="1:9" x14ac:dyDescent="0.2">
      <c r="A8" s="66"/>
      <c r="B8" s="27" t="s">
        <v>52</v>
      </c>
      <c r="C8" s="27" t="s">
        <v>61</v>
      </c>
      <c r="D8" s="27" t="s">
        <v>52</v>
      </c>
      <c r="E8" s="27" t="s">
        <v>61</v>
      </c>
      <c r="F8" s="57"/>
    </row>
    <row r="9" spans="1:9" x14ac:dyDescent="0.2">
      <c r="A9" s="12"/>
      <c r="B9" s="11">
        <f>COUNTIFS(GeneDate,"&gt;="&amp;$I$2,GeneDate,"&lt;="&amp;$I$3,GeneAge,"&lt;15",GeneSex,"Male",GeneMTB,"*tive")</f>
        <v>0</v>
      </c>
      <c r="C9" s="11">
        <f>COUNTIFS(GeneDate,"&gt;="&amp;$I$2,GeneDate,"&lt;="&amp;$I$3,GeneAge,"&gt;=15",GeneSex,"M*",GeneMTB,"*tive")</f>
        <v>0</v>
      </c>
      <c r="D9" s="11">
        <f>COUNTIFS(GeneDate,"&gt;="&amp;$I$2,GeneDate,"&lt;="&amp;$I$3,GeneAge,"&lt;15",GeneSex,"F*",GeneMTB,"*tive")</f>
        <v>0</v>
      </c>
      <c r="E9" s="8">
        <f>COUNTIFS(GeneDate,"&gt;="&amp;$I$2,GeneDate,"&lt;="&amp;$I$3,GeneAge,"&gt;=15",GeneSex,"F*",GeneMTB,"*tive")</f>
        <v>0</v>
      </c>
      <c r="F9" s="8">
        <f>COUNTIFS(GeneDate,"&gt;="&amp;$I$2,GeneDate,"&lt;="&amp;$I$3,GeneMTB,"*tive")</f>
        <v>0</v>
      </c>
      <c r="G9" s="7" t="str">
        <f>IF(SUM(B9:E9)=F9,"","Check Total Vaue &amp; Category")</f>
        <v/>
      </c>
      <c r="H9" s="26"/>
    </row>
    <row r="10" spans="1:9" ht="12" customHeight="1" x14ac:dyDescent="0.2">
      <c r="B10" s="19"/>
      <c r="E10" s="7"/>
      <c r="F10" s="7"/>
      <c r="G10" s="7"/>
    </row>
    <row r="11" spans="1:9" x14ac:dyDescent="0.2">
      <c r="A11" s="2" t="s">
        <v>51</v>
      </c>
      <c r="E11" s="7"/>
      <c r="F11" s="7"/>
      <c r="G11" s="7"/>
    </row>
    <row r="12" spans="1:9" x14ac:dyDescent="0.2">
      <c r="A12" s="12"/>
      <c r="B12" s="12"/>
      <c r="C12" s="27" t="s">
        <v>50</v>
      </c>
      <c r="D12" s="27" t="s">
        <v>49</v>
      </c>
      <c r="E12" s="13" t="s">
        <v>15</v>
      </c>
      <c r="F12" s="13" t="s">
        <v>33</v>
      </c>
      <c r="G12" s="7"/>
    </row>
    <row r="13" spans="1:9" ht="15" customHeight="1" x14ac:dyDescent="0.2">
      <c r="A13" s="58" t="s">
        <v>44</v>
      </c>
      <c r="B13" s="12" t="s">
        <v>43</v>
      </c>
      <c r="C13" s="11">
        <f>COUNTIFS(GeneDate,"&gt;="&amp;$I$2,GeneDate,"&lt;="&amp;$I$3,GeneMicroscope,"Pos*",GenePreviousHistory,"N*",GeneMTB,"*tive")</f>
        <v>0</v>
      </c>
      <c r="D13" s="11">
        <f>COUNTIFS(GeneDate,"&gt;="&amp;$I$2,GeneDate,"&lt;="&amp;$I$3,GeneMicroscope,"Pos*",GenePreviousHistory,"Y*",GeneMTB,"*tive")</f>
        <v>0</v>
      </c>
      <c r="E13" s="8">
        <f>COUNTIFS(GeneDate,"&gt;="&amp;$I$2,GeneDate,"&lt;="&amp;$I$3,GeneMicroscope,"Pos*",GenePreviousHistory,"Un*",GeneMTB,"*tive")</f>
        <v>0</v>
      </c>
      <c r="F13" s="8">
        <f>COUNTIFS(GeneDate,"&gt;="&amp;$I$2,GeneDate,"&lt;="&amp;$I$3,GeneMicroscope,"Pos*",GeneMTB,"*tive")</f>
        <v>0</v>
      </c>
      <c r="G13" s="48" t="str">
        <f>IF($F$9=SUM(F13:F15),"","Error! Possibly there were be Error or Missing information at Microscopy Result")</f>
        <v/>
      </c>
      <c r="H13" s="49"/>
      <c r="I13" s="10" t="str">
        <f t="shared" ref="I13:I19" si="0">IF(SUM(C13:E13)=F13,"","Check Total Vaue &amp; Category")</f>
        <v/>
      </c>
    </row>
    <row r="14" spans="1:9" x14ac:dyDescent="0.2">
      <c r="A14" s="59"/>
      <c r="B14" s="12" t="s">
        <v>42</v>
      </c>
      <c r="C14" s="11">
        <f>COUNTIFS(GeneDate,"&gt;="&amp;$I$2,GeneDate,"&lt;="&amp;$I$3,GeneMicroscope,"Neg*",GenePreviousHistory,"N*",GeneMTB,"*tive")</f>
        <v>0</v>
      </c>
      <c r="D14" s="11">
        <f>COUNTIFS(GeneDate,"&gt;="&amp;$I$2,GeneDate,"&lt;="&amp;$I$3,GeneMicroscope,"Neg*",GenePreviousHistory,"Y*",GeneMTB,"*tive")</f>
        <v>0</v>
      </c>
      <c r="E14" s="8">
        <f>COUNTIFS(GeneDate,"&gt;="&amp;$I$2,GeneDate,"&lt;="&amp;$I$3,GeneMicroscope,"Neg*",GenePreviousHistory,"Un*",GeneMTB,"*tive")</f>
        <v>0</v>
      </c>
      <c r="F14" s="8">
        <f>COUNTIFS(GeneDate,"&gt;="&amp;$I$2,GeneDate,"&lt;="&amp;$I$3,GeneMicroscope,"Neg*",GeneMTB,"*tive")</f>
        <v>0</v>
      </c>
      <c r="G14" s="48"/>
      <c r="H14" s="49"/>
      <c r="I14" s="10" t="str">
        <f t="shared" si="0"/>
        <v/>
      </c>
    </row>
    <row r="15" spans="1:9" x14ac:dyDescent="0.2">
      <c r="A15" s="60"/>
      <c r="B15" s="12" t="s">
        <v>41</v>
      </c>
      <c r="C15" s="11">
        <f>COUNTIFS(GeneDate,"&gt;="&amp;$I$2,GeneDate,"&lt;="&amp;$I$3,GeneMicroscope,"Not*",GenePreviousHistory,"N*",GeneMTB,"*tive")</f>
        <v>0</v>
      </c>
      <c r="D15" s="11">
        <f>COUNTIFS(GeneDate,"&gt;="&amp;$I$2,GeneDate,"&lt;="&amp;$I$3,GeneMicroscope,"Not*",GenePreviousHistory,"Y*",GeneMTB,"*tive")</f>
        <v>0</v>
      </c>
      <c r="E15" s="8">
        <f>COUNTIFS(GeneDate,"&gt;="&amp;$I$2,GeneDate,"&lt;="&amp;$I$3,GeneMicroscope,"Not*",GenePreviousHistory,"Un*",GeneMTB,"*tive")</f>
        <v>0</v>
      </c>
      <c r="F15" s="8">
        <f>COUNTIFS(GeneDate,"&gt;="&amp;$I$2,GeneDate,"&lt;="&amp;$I$3,GeneMicroscope,"Not*",GeneMTB,"*tive")</f>
        <v>0</v>
      </c>
      <c r="G15" s="48"/>
      <c r="H15" s="49"/>
      <c r="I15" s="10" t="str">
        <f t="shared" si="0"/>
        <v/>
      </c>
    </row>
    <row r="16" spans="1:9" x14ac:dyDescent="0.2">
      <c r="A16" s="57" t="s">
        <v>40</v>
      </c>
      <c r="B16" s="12" t="s">
        <v>13</v>
      </c>
      <c r="C16" s="11">
        <f>COUNTIFS(GeneDate,"&gt;="&amp;$I$2,GeneDate,"&lt;="&amp;$I$3,GenePreviousHistory,"N*",GeneMTB,"Neg*")</f>
        <v>0</v>
      </c>
      <c r="D16" s="11">
        <f>COUNTIFS(GeneDate,"&gt;="&amp;$I$2,GeneDate,"&lt;="&amp;$I$3,GenePreviousHistory,"Y*",GeneMTB,"Neg*")</f>
        <v>0</v>
      </c>
      <c r="E16" s="8">
        <f>F16-(C16+D16)</f>
        <v>0</v>
      </c>
      <c r="F16" s="8">
        <f>COUNTIFS(GeneDate,"&gt;="&amp;$I$2,GeneDate,"&lt;="&amp;$I$3,GeneMTB,"Neg*")</f>
        <v>0</v>
      </c>
      <c r="G16" s="48" t="str">
        <f>IF($F$9=SUM(F16:F19),"","Error! Cross information between Xpert result and treatment category are not match; possibly there will be Erorr or missing information on MTB result OR RIF result")</f>
        <v/>
      </c>
      <c r="H16" s="49"/>
      <c r="I16" s="10" t="str">
        <f t="shared" si="0"/>
        <v/>
      </c>
    </row>
    <row r="17" spans="1:9" x14ac:dyDescent="0.2">
      <c r="A17" s="57"/>
      <c r="B17" s="12" t="s">
        <v>39</v>
      </c>
      <c r="C17" s="11">
        <f>COUNTIFS(GeneDate,"&gt;="&amp;$I$2,GeneDate,"&lt;="&amp;$I$3,GenePreviousHistory,"N*",GeneMTB,"Pos*",GeneRif,"Neg*")</f>
        <v>0</v>
      </c>
      <c r="D17" s="11">
        <f>COUNTIFS(GeneDate,"&gt;="&amp;$I$2,GeneDate,"&lt;="&amp;$I$3,GenePreviousHistory,"Y*",GeneMTB,"Pos*",GeneRif,"Neg*")</f>
        <v>0</v>
      </c>
      <c r="E17" s="8">
        <f>F17-(C17+D17)</f>
        <v>0</v>
      </c>
      <c r="F17" s="8">
        <f>COUNTIFS(GeneDate,"&gt;="&amp;$I$2,GeneDate,"&lt;="&amp;$I$3,GeneMTB,"Pos*",GeneRif,"Neg*")</f>
        <v>0</v>
      </c>
      <c r="G17" s="48"/>
      <c r="H17" s="49"/>
      <c r="I17" s="10" t="str">
        <f t="shared" si="0"/>
        <v/>
      </c>
    </row>
    <row r="18" spans="1:9" x14ac:dyDescent="0.2">
      <c r="A18" s="57"/>
      <c r="B18" s="12" t="s">
        <v>38</v>
      </c>
      <c r="C18" s="11">
        <f>COUNTIFS(GeneDate,"&gt;="&amp;$I$2,GeneDate,"&lt;="&amp;$I$3,GenePreviousHistory,"N*",GeneMTB,"Pos*",GeneRif,"Pos*")</f>
        <v>0</v>
      </c>
      <c r="D18" s="11">
        <f>COUNTIFS(GeneDate,"&gt;="&amp;$I$2,GeneDate,"&lt;="&amp;$I$3,GenePreviousHistory,"Y*",GeneMTB,"Pos*",GeneRif,"Pos*")</f>
        <v>0</v>
      </c>
      <c r="E18" s="8">
        <f>F18-(C18+D18)</f>
        <v>0</v>
      </c>
      <c r="F18" s="8">
        <f>COUNTIFS(GeneDate,"&gt;="&amp;$I$2,GeneDate,"&lt;="&amp;$I$3,GeneMTB,"Pos*",GeneRif,"Pos*")</f>
        <v>0</v>
      </c>
      <c r="G18" s="48"/>
      <c r="H18" s="49"/>
      <c r="I18" s="10" t="str">
        <f t="shared" si="0"/>
        <v/>
      </c>
    </row>
    <row r="19" spans="1:9" x14ac:dyDescent="0.2">
      <c r="A19" s="57"/>
      <c r="B19" s="12" t="s">
        <v>48</v>
      </c>
      <c r="C19" s="11">
        <f>COUNTIFS(GeneDate,"&gt;="&amp;$I$2,GeneDate,"&lt;="&amp;$I$3,GenePreviousHistory,"N*",GeneMTB,"Pos*",GeneRif,"IND*")</f>
        <v>0</v>
      </c>
      <c r="D19" s="11">
        <f>COUNTIFS(GeneDate,"&gt;="&amp;$I$2,GeneDate,"&lt;="&amp;$I$3,GenePreviousHistory,"Y*",GeneMTB,"Pos*",GeneRif,"IND*")</f>
        <v>0</v>
      </c>
      <c r="E19" s="8">
        <f>F19-(C19+D19)</f>
        <v>0</v>
      </c>
      <c r="F19" s="8">
        <f>COUNTIFS(GeneDate,"&gt;="&amp;$I$2,GeneDate,"&lt;="&amp;$I$3,GeneMTB,"Pos*",GeneRif,"IND*")</f>
        <v>0</v>
      </c>
      <c r="G19" s="48"/>
      <c r="H19" s="49"/>
      <c r="I19" s="10" t="str">
        <f t="shared" si="0"/>
        <v/>
      </c>
    </row>
    <row r="20" spans="1:9" ht="12" customHeight="1" x14ac:dyDescent="0.2">
      <c r="E20" s="7"/>
      <c r="F20" s="7"/>
      <c r="G20" s="7"/>
    </row>
    <row r="21" spans="1:9" x14ac:dyDescent="0.2">
      <c r="A21" s="2" t="s">
        <v>47</v>
      </c>
      <c r="E21" s="7"/>
      <c r="F21" s="7"/>
      <c r="G21" s="7"/>
    </row>
    <row r="22" spans="1:9" ht="30" x14ac:dyDescent="0.2">
      <c r="A22" s="12"/>
      <c r="B22" s="12"/>
      <c r="C22" s="14" t="s">
        <v>46</v>
      </c>
      <c r="D22" s="14" t="s">
        <v>45</v>
      </c>
      <c r="E22" s="13" t="s">
        <v>15</v>
      </c>
      <c r="F22" s="13" t="s">
        <v>33</v>
      </c>
      <c r="G22" s="7"/>
    </row>
    <row r="23" spans="1:9" ht="15" customHeight="1" x14ac:dyDescent="0.2">
      <c r="A23" s="58" t="s">
        <v>44</v>
      </c>
      <c r="B23" s="12" t="s">
        <v>43</v>
      </c>
      <c r="C23" s="11">
        <f>COUNTIFS(GeneDate,"&gt;="&amp;$I$2,GeneDate,"&lt;="&amp;$I$3,GeneMicroscope,"Pos*",GeneHIV,"Pos*",GeneMTB,"*tive")</f>
        <v>0</v>
      </c>
      <c r="D23" s="11">
        <f>COUNTIFS(GeneDate,"&gt;="&amp;$I$2,GeneDate,"&lt;="&amp;$I$3,GeneMicroscope,"Pos*",GeneHIV,"Neg*",GeneMTB,"*tive")</f>
        <v>0</v>
      </c>
      <c r="E23" s="8">
        <f>COUNTIFS(GeneDate,"&gt;="&amp;$I$2,GeneDate,"&lt;="&amp;$I$3,GeneMicroscope,"Pos*",GeneHIV,"Un*",GeneMTB,"*tive")</f>
        <v>0</v>
      </c>
      <c r="F23" s="8">
        <f>COUNTIFS(GeneDate,"&gt;="&amp;$I$2,GeneDate,"&lt;="&amp;$I$3,GeneMicroscope,"Pos*",GeneMTB,"*tive")</f>
        <v>0</v>
      </c>
      <c r="G23" s="48" t="str">
        <f>IF($F$9=SUM(F23:F25),"","Error! Cross information between Microscope Result and HIV Status are not match; possibly there will be Erorr or missing information on Microscope Result OR HIV Status")</f>
        <v/>
      </c>
      <c r="H23" s="49"/>
      <c r="I23" s="10" t="str">
        <f t="shared" ref="I23:I29" si="1">IF(SUM(C23:E23)=F23,"","Check Total Vaue &amp; Category")</f>
        <v/>
      </c>
    </row>
    <row r="24" spans="1:9" x14ac:dyDescent="0.2">
      <c r="A24" s="59"/>
      <c r="B24" s="12" t="s">
        <v>42</v>
      </c>
      <c r="C24" s="11">
        <f>COUNTIFS(GeneDate,"&gt;="&amp;$I$2,GeneDate,"&lt;="&amp;$I$3,GeneMicroscope,"Neg*",GeneHIV,"Pos*",GeneMTB,"*tive")</f>
        <v>0</v>
      </c>
      <c r="D24" s="11">
        <f>COUNTIFS(GeneDate,"&gt;="&amp;$I$2,GeneDate,"&lt;="&amp;$I$3,GeneMicroscope,"Neg*",GeneHIV,"Neg*",GeneMTB,"*tive")</f>
        <v>0</v>
      </c>
      <c r="E24" s="8">
        <f>COUNTIFS(GeneDate,"&gt;="&amp;$I$2,GeneDate,"&lt;="&amp;$I$3,GeneMicroscope,"Neg*",GeneHIV,"Un*",GeneMTB,"*tive")</f>
        <v>0</v>
      </c>
      <c r="F24" s="8">
        <f>COUNTIFS(GeneDate,"&gt;="&amp;$I$2,GeneDate,"&lt;="&amp;$I$3,GeneMicroscope,"Neg*",GeneMTB,"*tive")</f>
        <v>0</v>
      </c>
      <c r="G24" s="48"/>
      <c r="H24" s="49"/>
      <c r="I24" s="10" t="str">
        <f t="shared" si="1"/>
        <v/>
      </c>
    </row>
    <row r="25" spans="1:9" x14ac:dyDescent="0.2">
      <c r="A25" s="60"/>
      <c r="B25" s="12" t="s">
        <v>41</v>
      </c>
      <c r="C25" s="11">
        <f>COUNTIFS(GeneDate,"&gt;="&amp;$I$2,GeneDate,"&lt;="&amp;$I$3,GeneMicroscope,"Not*",GeneHIV,"Pos*",GeneMTB,"*tive")</f>
        <v>0</v>
      </c>
      <c r="D25" s="11">
        <f>COUNTIFS(GeneDate,"&gt;="&amp;$I$2,GeneDate,"&lt;="&amp;$I$3,GeneMicroscope,"Not*",GeneHIV,"Neg*",GeneMTB,"*tive")</f>
        <v>0</v>
      </c>
      <c r="E25" s="8">
        <f>COUNTIFS(GeneDate,"&gt;="&amp;$I$2,GeneDate,"&lt;="&amp;$I$3,GeneMicroscope,"Not*",GeneHIV,"Un*",GeneMTB,"*tive")</f>
        <v>0</v>
      </c>
      <c r="F25" s="8">
        <f>COUNTIFS(GeneDate,"&gt;="&amp;$I$2,GeneDate,"&lt;="&amp;$I$3,GeneMicroscope,"Not*",GeneMTB,"*tive")</f>
        <v>0</v>
      </c>
      <c r="G25" s="48"/>
      <c r="H25" s="49"/>
      <c r="I25" s="10" t="str">
        <f t="shared" si="1"/>
        <v/>
      </c>
    </row>
    <row r="26" spans="1:9" x14ac:dyDescent="0.2">
      <c r="A26" s="57" t="s">
        <v>40</v>
      </c>
      <c r="B26" s="12" t="s">
        <v>13</v>
      </c>
      <c r="C26" s="11">
        <f>COUNTIFS(GeneDate,"&gt;="&amp;$I$2,GeneDate,"&lt;="&amp;$I$3,GeneHIV,"Pos*",GeneMTB,"Neg*")</f>
        <v>0</v>
      </c>
      <c r="D26" s="11">
        <f>COUNTIFS(GeneDate,"&gt;="&amp;$I$2,GeneDate,"&lt;="&amp;$I$3,GeneHIV,"Neg*",GeneMTB,"Neg*")</f>
        <v>0</v>
      </c>
      <c r="E26" s="8">
        <f>COUNTIFS(GeneDate,"&gt;="&amp;$I$2,GeneDate,"&lt;="&amp;$I$3,GeneHIV,"Un*",GeneMTB,"Neg*")</f>
        <v>0</v>
      </c>
      <c r="F26" s="8">
        <f>COUNTIFS(GeneDate,"&gt;="&amp;$I$2,GeneDate,"&lt;="&amp;$I$3,GeneMTB,"*tive",GeneMTB,"Neg*")</f>
        <v>0</v>
      </c>
      <c r="G26" s="48" t="str">
        <f>IF($F$9=SUM(F26:F29),"","Error! Cross information between Xpert result and HIV Status are not match; possibly there will be Erorr or missing information on MTB result OR HIV Status")</f>
        <v/>
      </c>
      <c r="H26" s="49"/>
      <c r="I26" s="10" t="str">
        <f t="shared" si="1"/>
        <v/>
      </c>
    </row>
    <row r="27" spans="1:9" x14ac:dyDescent="0.2">
      <c r="A27" s="57"/>
      <c r="B27" s="12" t="s">
        <v>39</v>
      </c>
      <c r="C27" s="11">
        <f>COUNTIFS(GeneDate,"&gt;="&amp;$I$2,GeneDate,"&lt;="&amp;$I$3,GeneHIV,"Pos*",GeneMTB,"Pos*",GeneRif,"Neg*")</f>
        <v>0</v>
      </c>
      <c r="D27" s="11">
        <f>COUNTIFS(GeneDate,"&gt;="&amp;$I$2,GeneDate,"&lt;="&amp;$I$3,GeneHIV,"Neg*",GeneMTB,"Pos*",GeneRif,"Neg*")</f>
        <v>0</v>
      </c>
      <c r="E27" s="8">
        <f>COUNTIFS(GeneDate,"&gt;="&amp;$I$2,GeneDate,"&lt;="&amp;$I$3,GeneHIV,"Un*",GeneMTB,"Pos*",GeneRif,"Neg*")</f>
        <v>0</v>
      </c>
      <c r="F27" s="8">
        <f>COUNTIFS(GeneDate,"&gt;="&amp;$I$2,GeneDate,"&lt;="&amp;$I$3,GeneMTB,"Pos*",GeneRif,"Neg*")</f>
        <v>0</v>
      </c>
      <c r="G27" s="48"/>
      <c r="H27" s="49"/>
      <c r="I27" s="10" t="str">
        <f t="shared" si="1"/>
        <v/>
      </c>
    </row>
    <row r="28" spans="1:9" x14ac:dyDescent="0.2">
      <c r="A28" s="57"/>
      <c r="B28" s="12" t="s">
        <v>38</v>
      </c>
      <c r="C28" s="11">
        <f>COUNTIFS(GeneDate,"&gt;="&amp;$I$2,GeneDate,"&lt;="&amp;$I$3,GeneHIV,"Pos*",GeneMTB,"Pos*",GeneRif,"Pos*")</f>
        <v>0</v>
      </c>
      <c r="D28" s="11">
        <f>COUNTIFS(GeneDate,"&gt;="&amp;$I$2,GeneDate,"&lt;="&amp;$I$3,GeneHIV,"Neg*",GeneMTB,"Pos*",GeneRif,"Pos*")</f>
        <v>0</v>
      </c>
      <c r="E28" s="8">
        <f>COUNTIFS(GeneDate,"&gt;="&amp;$I$2,GeneDate,"&lt;="&amp;$I$3,GeneHIV,"Un*",GeneMTB,"Pos*",GeneRif,"Pos*")</f>
        <v>0</v>
      </c>
      <c r="F28" s="8">
        <f>COUNTIFS(GeneDate,"&gt;="&amp;$I$2,GeneDate,"&lt;="&amp;$I$3,GeneMTB,"Pos*",GeneRif,"Pos*")</f>
        <v>0</v>
      </c>
      <c r="G28" s="48"/>
      <c r="H28" s="49"/>
      <c r="I28" s="10" t="str">
        <f t="shared" si="1"/>
        <v/>
      </c>
    </row>
    <row r="29" spans="1:9" x14ac:dyDescent="0.2">
      <c r="A29" s="57"/>
      <c r="B29" s="12" t="s">
        <v>37</v>
      </c>
      <c r="C29" s="11">
        <f>COUNTIFS(GeneDate,"&gt;="&amp;$I$2,GeneDate,"&lt;="&amp;$I$3,GeneHIV,"Pos*",GeneMTB,"Pos*",GeneRif,"IND*")</f>
        <v>0</v>
      </c>
      <c r="D29" s="11">
        <f>COUNTIFS(GeneDate,"&gt;="&amp;$I$2,GeneDate,"&lt;="&amp;$I$3,GeneHIV,"Neg*",GeneMTB,"Pos*",GeneRif,"IND*")</f>
        <v>0</v>
      </c>
      <c r="E29" s="8">
        <f>COUNTIFS(GeneDate,"&gt;="&amp;$I$2,GeneDate,"&lt;="&amp;$I$3,GeneHIV,"Un*",GeneMTB,"Pos*",GeneRif,"IND*")</f>
        <v>0</v>
      </c>
      <c r="F29" s="8">
        <f>COUNTIFS(GeneDate,"&gt;="&amp;$I$2,GeneDate,"&lt;="&amp;$I$3,GeneMTB,"Pos*",GeneRif,"IND*")</f>
        <v>0</v>
      </c>
      <c r="G29" s="48"/>
      <c r="H29" s="49"/>
      <c r="I29" s="10" t="str">
        <f t="shared" si="1"/>
        <v/>
      </c>
    </row>
    <row r="30" spans="1:9" ht="12" customHeight="1" x14ac:dyDescent="0.2">
      <c r="E30" s="7"/>
      <c r="F30" s="7"/>
      <c r="G30" s="7"/>
    </row>
    <row r="31" spans="1:9" x14ac:dyDescent="0.2">
      <c r="A31" s="4"/>
      <c r="B31" s="25"/>
      <c r="C31" s="61" t="s">
        <v>14</v>
      </c>
      <c r="D31" s="62"/>
      <c r="E31" s="61" t="s">
        <v>16</v>
      </c>
      <c r="F31" s="62"/>
      <c r="G31" s="9" t="s">
        <v>33</v>
      </c>
    </row>
    <row r="32" spans="1:9" x14ac:dyDescent="0.2">
      <c r="A32" s="24" t="s">
        <v>62</v>
      </c>
      <c r="B32" s="24"/>
      <c r="C32" s="61">
        <f>COUNTIFS(GeneDate,"&gt;="&amp;$I$2,GeneDate,"&lt;="&amp;$I$3,GeneMTB,"Pos*",GeneRif,"Pos*",GeneSex,"Male")</f>
        <v>0</v>
      </c>
      <c r="D32" s="62"/>
      <c r="E32" s="64">
        <f>COUNTIFS(GeneDate,"&gt;="&amp;$I$2,GeneDate,"&lt;="&amp;$I$3,GeneMTB,"Pos*",GeneRif,"Pos*",GeneSex,"Female")</f>
        <v>0</v>
      </c>
      <c r="F32" s="65"/>
      <c r="G32" s="8">
        <f>COUNTIFS(GeneDate,"&gt;="&amp;$I$2,GeneDate,"&lt;="&amp;$I$3,GeneMTB,"Pos*",GeneRif,"Pos*")</f>
        <v>0</v>
      </c>
    </row>
    <row r="33" spans="1:10" ht="12" customHeight="1" x14ac:dyDescent="0.2">
      <c r="E33" s="7"/>
      <c r="F33" s="7"/>
      <c r="G33" s="7"/>
    </row>
    <row r="34" spans="1:10" x14ac:dyDescent="0.2">
      <c r="A34" s="2" t="s">
        <v>36</v>
      </c>
      <c r="E34" s="7"/>
      <c r="F34" s="7"/>
      <c r="G34" s="7"/>
    </row>
    <row r="35" spans="1:10" x14ac:dyDescent="0.2">
      <c r="A35" s="61"/>
      <c r="B35" s="62"/>
      <c r="C35" s="61" t="s">
        <v>35</v>
      </c>
      <c r="D35" s="62"/>
      <c r="E35" s="64" t="s">
        <v>34</v>
      </c>
      <c r="F35" s="65"/>
      <c r="G35" s="9" t="s">
        <v>33</v>
      </c>
    </row>
    <row r="36" spans="1:10" x14ac:dyDescent="0.2">
      <c r="A36" s="50" t="s">
        <v>32</v>
      </c>
      <c r="B36" s="50"/>
      <c r="C36" s="51">
        <f>COUNTIFS(GeneDate,"&gt;="&amp;$I$2,GeneDate,"&lt;="&amp;$I$3,GeneMTB,"Pos*",GeneMicroscope,"Pos*")</f>
        <v>0</v>
      </c>
      <c r="D36" s="52"/>
      <c r="E36" s="53">
        <f>COUNTIFS(GeneDate,"&gt;="&amp;$I$2,GeneDate,"&lt;="&amp;$I$3,GeneMTB,"Neg*",GeneMicroscope,"Pos*")</f>
        <v>0</v>
      </c>
      <c r="F36" s="54"/>
      <c r="G36" s="8">
        <f>COUNTIFS(GeneDate,"&gt;="&amp;$I$2,GeneDate,"&lt;="&amp;$I$3,GeneMicroscope,"Pos*",GeneMTB,"*tive")</f>
        <v>0</v>
      </c>
      <c r="H36" s="55" t="str">
        <f>IF($F$9=SUM(G36:G38),"","Error! Cross information between Xpert result and Microscope result are not match; possibly there will be Erorr or missing information on MTB result OR Microscope result")</f>
        <v/>
      </c>
      <c r="I36" s="56"/>
      <c r="J36" s="2" t="str">
        <f>IF(SUM(C36:F36)=G36,"","Check Total Vaue &amp; Category")</f>
        <v/>
      </c>
    </row>
    <row r="37" spans="1:10" x14ac:dyDescent="0.2">
      <c r="A37" s="50" t="s">
        <v>31</v>
      </c>
      <c r="B37" s="50"/>
      <c r="C37" s="51">
        <f>COUNTIFS(GeneDate,"&gt;="&amp;$I$2,GeneDate,"&lt;="&amp;$I$3,GeneMTB,"Pos*",GeneMicroscope,"Neg*")</f>
        <v>0</v>
      </c>
      <c r="D37" s="52"/>
      <c r="E37" s="53">
        <f>COUNTIFS(GeneDate,"&gt;="&amp;$I$2,GeneDate,"&lt;="&amp;$I$3,GeneMTB,"Neg*",GeneMicroscope,"Neg*")</f>
        <v>0</v>
      </c>
      <c r="F37" s="54"/>
      <c r="G37" s="8">
        <f>COUNTIFS(GeneDate,"&gt;="&amp;$I$2,GeneDate,"&lt;="&amp;$I$3,GeneMicroscope,"Neg*",GeneMTB,"*tive")</f>
        <v>0</v>
      </c>
      <c r="H37" s="55"/>
      <c r="I37" s="56"/>
      <c r="J37" s="2" t="str">
        <f>IF(SUM(C37:F37)=G37,"","Check Total Vaue &amp; Category")</f>
        <v/>
      </c>
    </row>
    <row r="38" spans="1:10" x14ac:dyDescent="0.2">
      <c r="A38" s="50" t="s">
        <v>30</v>
      </c>
      <c r="B38" s="50"/>
      <c r="C38" s="51">
        <f>COUNTIFS(GeneDate,"&gt;="&amp;$I$2,GeneDate,"&lt;="&amp;$I$3,GeneMTB,"Pos*",GeneMicroscope,"Not*")</f>
        <v>0</v>
      </c>
      <c r="D38" s="52"/>
      <c r="E38" s="53">
        <f>COUNTIFS(GeneDate,"&gt;="&amp;$I$2,GeneDate,"&lt;="&amp;$I$3,GeneMTB,"Neg*",GeneMicroscope,"Not*")</f>
        <v>0</v>
      </c>
      <c r="F38" s="54"/>
      <c r="G38" s="8">
        <f>COUNTIFS(GeneDate,"&gt;="&amp;$I$2,GeneDate,"&lt;="&amp;$I$3,GeneMTB,"*tive",GeneMicroscope,"Not*")</f>
        <v>0</v>
      </c>
      <c r="H38" s="55"/>
      <c r="I38" s="56"/>
      <c r="J38" s="2" t="str">
        <f>IF(SUM(C38:F38)=G38,"","Check Total Vaue &amp; Category")</f>
        <v/>
      </c>
    </row>
    <row r="39" spans="1:10" ht="12" customHeight="1" x14ac:dyDescent="0.2">
      <c r="D39" s="2" t="str">
        <f>IF(SUM(C36:D38)=SUM(F27:F29),"","Error")</f>
        <v/>
      </c>
      <c r="E39" s="7"/>
      <c r="F39" s="7"/>
      <c r="G39" s="7"/>
    </row>
    <row r="40" spans="1:10" x14ac:dyDescent="0.2">
      <c r="A40" s="2" t="s">
        <v>29</v>
      </c>
    </row>
    <row r="41" spans="1:10" x14ac:dyDescent="0.2">
      <c r="A41" s="66"/>
      <c r="B41" s="66"/>
      <c r="C41" s="61" t="s">
        <v>28</v>
      </c>
      <c r="D41" s="62"/>
      <c r="E41" s="66" t="s">
        <v>27</v>
      </c>
      <c r="F41" s="66"/>
    </row>
    <row r="42" spans="1:10" x14ac:dyDescent="0.2">
      <c r="A42" s="50" t="s">
        <v>26</v>
      </c>
      <c r="B42" s="50"/>
      <c r="C42" s="51"/>
      <c r="D42" s="52"/>
      <c r="E42" s="67"/>
      <c r="F42" s="67"/>
    </row>
    <row r="43" spans="1:10" x14ac:dyDescent="0.2">
      <c r="A43" s="50" t="s">
        <v>25</v>
      </c>
      <c r="B43" s="50"/>
      <c r="C43" s="51"/>
      <c r="D43" s="52"/>
      <c r="E43" s="67" t="s">
        <v>24</v>
      </c>
      <c r="F43" s="67"/>
    </row>
    <row r="44" spans="1:10" x14ac:dyDescent="0.2">
      <c r="A44" s="50" t="s">
        <v>23</v>
      </c>
      <c r="B44" s="50"/>
      <c r="C44" s="68">
        <f>C46+F9+C47</f>
        <v>0</v>
      </c>
      <c r="D44" s="69"/>
      <c r="E44" s="67"/>
      <c r="F44" s="67"/>
      <c r="G44" s="6"/>
    </row>
    <row r="45" spans="1:10" x14ac:dyDescent="0.2">
      <c r="A45" s="50" t="s">
        <v>22</v>
      </c>
      <c r="B45" s="50"/>
      <c r="C45" s="68">
        <f>SUM(C42+C43)-C44</f>
        <v>0</v>
      </c>
      <c r="D45" s="69"/>
      <c r="E45" s="67"/>
      <c r="F45" s="67"/>
    </row>
    <row r="46" spans="1:10" x14ac:dyDescent="0.2">
      <c r="A46" s="5" t="s">
        <v>21</v>
      </c>
      <c r="B46" s="5"/>
      <c r="C46" s="23">
        <f>COUNTIFS(GeneDate,"&gt;="&amp;$I$2,GeneDate,"&lt;="&amp;$I$3,GeneMTB,"Error")+COUNTIFS(GeneDate,"&gt;="&amp;$I$2,GeneDate,"&lt;="&amp;$I$3,GeneMTB,"Invalid")+COUNTIFS(GeneDate,"&gt;="&amp;$I$2,GeneDate,"&lt;="&amp;$I$3,GeneMTB,"*Result*")</f>
        <v>0</v>
      </c>
    </row>
    <row r="47" spans="1:10" x14ac:dyDescent="0.2">
      <c r="A47" s="5" t="s">
        <v>63</v>
      </c>
      <c r="C47" s="29">
        <f>SUM('Apr16'!C47,'May16'!C47,'Jun16'!C47)</f>
        <v>0</v>
      </c>
    </row>
    <row r="49" spans="5:7" x14ac:dyDescent="0.2">
      <c r="E49" s="2" t="s">
        <v>20</v>
      </c>
      <c r="F49" s="4"/>
      <c r="G49" s="4"/>
    </row>
    <row r="50" spans="5:7" x14ac:dyDescent="0.2">
      <c r="E50" s="2" t="s">
        <v>19</v>
      </c>
      <c r="F50" s="3"/>
      <c r="G50" s="3"/>
    </row>
    <row r="51" spans="5:7" x14ac:dyDescent="0.2">
      <c r="E51" s="2" t="s">
        <v>18</v>
      </c>
      <c r="F51" s="3"/>
      <c r="G51" s="3"/>
    </row>
    <row r="52" spans="5:7" x14ac:dyDescent="0.2">
      <c r="E52" s="2" t="s">
        <v>17</v>
      </c>
      <c r="F52" s="3"/>
      <c r="G52" s="3"/>
    </row>
  </sheetData>
  <sheetProtection algorithmName="SHA-512" hashValue="WScrBpXfRBn9OFg2OUJtq/7H1vNv5IXNdDkCfkQ45SgCQo2trz27mv4VdA4OsffkpVkYCX64Hbqw6sBOlfhPPw==" saltValue="elSQpPWb8aOc65VSK1qNnQ==" spinCount="100000" sheet="1" objects="1" scenarios="1"/>
  <protectedRanges>
    <protectedRange sqref="B4" name="Range3"/>
    <protectedRange sqref="I2:I3" name="Range2"/>
    <protectedRange sqref="C42:F43 C45 E44:F45 C47" name="Range1"/>
  </protectedRanges>
  <mergeCells count="45">
    <mergeCell ref="A45:B45"/>
    <mergeCell ref="C45:D45"/>
    <mergeCell ref="E45:F45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6:B36"/>
    <mergeCell ref="C36:D36"/>
    <mergeCell ref="E36:F36"/>
    <mergeCell ref="H36:I38"/>
    <mergeCell ref="A37:B37"/>
    <mergeCell ref="C37:D37"/>
    <mergeCell ref="E37:F37"/>
    <mergeCell ref="A38:B38"/>
    <mergeCell ref="C38:D38"/>
    <mergeCell ref="E38:F38"/>
    <mergeCell ref="C31:D31"/>
    <mergeCell ref="E31:F31"/>
    <mergeCell ref="C32:D32"/>
    <mergeCell ref="E32:F32"/>
    <mergeCell ref="A35:B35"/>
    <mergeCell ref="C35:D35"/>
    <mergeCell ref="E35:F35"/>
    <mergeCell ref="A26:A29"/>
    <mergeCell ref="G26:H29"/>
    <mergeCell ref="A1:F1"/>
    <mergeCell ref="A7:A8"/>
    <mergeCell ref="B7:C7"/>
    <mergeCell ref="D7:E7"/>
    <mergeCell ref="F7:F8"/>
    <mergeCell ref="A13:A15"/>
    <mergeCell ref="G13:H15"/>
    <mergeCell ref="A16:A19"/>
    <mergeCell ref="G16:H19"/>
    <mergeCell ref="A23:A25"/>
    <mergeCell ref="G23:H25"/>
  </mergeCells>
  <conditionalFormatting sqref="G13">
    <cfRule type="notContainsBlanks" dxfId="65" priority="6">
      <formula>LEN(TRIM(G13))&gt;0</formula>
    </cfRule>
  </conditionalFormatting>
  <conditionalFormatting sqref="G16">
    <cfRule type="notContainsBlanks" dxfId="64" priority="5">
      <formula>LEN(TRIM(G16))&gt;0</formula>
    </cfRule>
  </conditionalFormatting>
  <conditionalFormatting sqref="G23">
    <cfRule type="notContainsBlanks" dxfId="63" priority="4">
      <formula>LEN(TRIM(G23))&gt;0</formula>
    </cfRule>
  </conditionalFormatting>
  <conditionalFormatting sqref="G26">
    <cfRule type="notContainsBlanks" dxfId="62" priority="3">
      <formula>LEN(TRIM(G26))&gt;0</formula>
    </cfRule>
  </conditionalFormatting>
  <conditionalFormatting sqref="H36">
    <cfRule type="notContainsBlanks" dxfId="61" priority="2">
      <formula>LEN(TRIM(H36))&gt;0</formula>
    </cfRule>
  </conditionalFormatting>
  <conditionalFormatting sqref="I13:I19 I23:I29 J36:J38">
    <cfRule type="notContainsBlanks" dxfId="60" priority="1">
      <formula>LEN(TRIM(I13))&gt;0</formula>
    </cfRule>
  </conditionalFormatting>
  <pageMargins left="0.7" right="0.5" top="0.5" bottom="0.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rgb="FF0070C0"/>
  </sheetPr>
  <dimension ref="A1:J52"/>
  <sheetViews>
    <sheetView topLeftCell="A22" workbookViewId="0">
      <selection activeCell="C47" sqref="C47"/>
    </sheetView>
  </sheetViews>
  <sheetFormatPr baseColWidth="10" defaultColWidth="9.1640625" defaultRowHeight="15" x14ac:dyDescent="0.2"/>
  <cols>
    <col min="1" max="1" width="14" style="2" customWidth="1"/>
    <col min="2" max="2" width="25.1640625" style="2" bestFit="1" customWidth="1"/>
    <col min="3" max="3" width="9.1640625" style="2" customWidth="1"/>
    <col min="4" max="4" width="12.33203125" style="2" bestFit="1" customWidth="1"/>
    <col min="5" max="7" width="9.6640625" style="2" customWidth="1"/>
    <col min="8" max="8" width="20.33203125" style="2" customWidth="1"/>
    <col min="9" max="9" width="20.6640625" style="2" customWidth="1"/>
    <col min="10" max="10" width="14.5" style="2" customWidth="1"/>
    <col min="11" max="16384" width="9.1640625" style="2"/>
  </cols>
  <sheetData>
    <row r="1" spans="1:9" ht="19" x14ac:dyDescent="0.25">
      <c r="A1" s="63" t="s">
        <v>60</v>
      </c>
      <c r="B1" s="63"/>
      <c r="C1" s="63"/>
      <c r="D1" s="63"/>
      <c r="E1" s="63"/>
      <c r="F1" s="63"/>
      <c r="I1" s="16" t="s">
        <v>59</v>
      </c>
    </row>
    <row r="2" spans="1:9" ht="16" x14ac:dyDescent="0.2">
      <c r="H2" s="16" t="s">
        <v>58</v>
      </c>
      <c r="I2" s="28">
        <v>42370.000011574099</v>
      </c>
    </row>
    <row r="3" spans="1:9" ht="16" x14ac:dyDescent="0.2">
      <c r="A3" s="2" t="s">
        <v>64</v>
      </c>
      <c r="C3" s="18" t="s">
        <v>67</v>
      </c>
      <c r="E3" s="2" t="s">
        <v>56</v>
      </c>
      <c r="F3" s="17">
        <f>YEAR($I$2)</f>
        <v>2016</v>
      </c>
      <c r="H3" s="16" t="s">
        <v>55</v>
      </c>
      <c r="I3" s="28">
        <v>42551.999988425901</v>
      </c>
    </row>
    <row r="4" spans="1:9" x14ac:dyDescent="0.2">
      <c r="A4" s="2" t="s">
        <v>54</v>
      </c>
    </row>
    <row r="6" spans="1:9" x14ac:dyDescent="0.2">
      <c r="A6" s="2" t="s">
        <v>53</v>
      </c>
    </row>
    <row r="7" spans="1:9" x14ac:dyDescent="0.2">
      <c r="A7" s="66"/>
      <c r="B7" s="66" t="s">
        <v>14</v>
      </c>
      <c r="C7" s="66"/>
      <c r="D7" s="66" t="s">
        <v>16</v>
      </c>
      <c r="E7" s="66"/>
      <c r="F7" s="57" t="s">
        <v>33</v>
      </c>
    </row>
    <row r="8" spans="1:9" x14ac:dyDescent="0.2">
      <c r="A8" s="66"/>
      <c r="B8" s="27" t="s">
        <v>52</v>
      </c>
      <c r="C8" s="27" t="s">
        <v>61</v>
      </c>
      <c r="D8" s="27" t="s">
        <v>52</v>
      </c>
      <c r="E8" s="27" t="s">
        <v>61</v>
      </c>
      <c r="F8" s="57"/>
    </row>
    <row r="9" spans="1:9" x14ac:dyDescent="0.2">
      <c r="A9" s="12"/>
      <c r="B9" s="11">
        <f>COUNTIFS(GeneDate,"&gt;="&amp;$I$2,GeneDate,"&lt;="&amp;$I$3,GeneAge,"&lt;15",GeneSex,"Male",GeneMTB,"*tive")</f>
        <v>0</v>
      </c>
      <c r="C9" s="11">
        <f>COUNTIFS(GeneDate,"&gt;="&amp;$I$2,GeneDate,"&lt;="&amp;$I$3,GeneAge,"&gt;=15",GeneSex,"M*",GeneMTB,"*tive")</f>
        <v>0</v>
      </c>
      <c r="D9" s="11">
        <f>COUNTIFS(GeneDate,"&gt;="&amp;$I$2,GeneDate,"&lt;="&amp;$I$3,GeneAge,"&lt;15",GeneSex,"F*",GeneMTB,"*tive")</f>
        <v>0</v>
      </c>
      <c r="E9" s="8">
        <f>COUNTIFS(GeneDate,"&gt;="&amp;$I$2,GeneDate,"&lt;="&amp;$I$3,GeneAge,"&gt;=15",GeneSex,"F*",GeneMTB,"*tive")</f>
        <v>0</v>
      </c>
      <c r="F9" s="8">
        <f>COUNTIFS(GeneDate,"&gt;="&amp;$I$2,GeneDate,"&lt;="&amp;$I$3,GeneMTB,"*tive")</f>
        <v>0</v>
      </c>
      <c r="G9" s="7" t="str">
        <f>IF(SUM(B9:E9)=F9,"","Check Total Vaue &amp; Category")</f>
        <v/>
      </c>
      <c r="H9" s="26"/>
    </row>
    <row r="10" spans="1:9" ht="12" customHeight="1" x14ac:dyDescent="0.2">
      <c r="B10" s="19"/>
      <c r="E10" s="7"/>
      <c r="F10" s="7"/>
      <c r="G10" s="7"/>
    </row>
    <row r="11" spans="1:9" x14ac:dyDescent="0.2">
      <c r="A11" s="2" t="s">
        <v>51</v>
      </c>
      <c r="E11" s="7"/>
      <c r="F11" s="7"/>
      <c r="G11" s="7"/>
    </row>
    <row r="12" spans="1:9" x14ac:dyDescent="0.2">
      <c r="A12" s="12"/>
      <c r="B12" s="12"/>
      <c r="C12" s="27" t="s">
        <v>50</v>
      </c>
      <c r="D12" s="27" t="s">
        <v>49</v>
      </c>
      <c r="E12" s="13" t="s">
        <v>15</v>
      </c>
      <c r="F12" s="13" t="s">
        <v>33</v>
      </c>
      <c r="G12" s="7"/>
    </row>
    <row r="13" spans="1:9" ht="15" customHeight="1" x14ac:dyDescent="0.2">
      <c r="A13" s="58" t="s">
        <v>44</v>
      </c>
      <c r="B13" s="12" t="s">
        <v>43</v>
      </c>
      <c r="C13" s="11">
        <f>COUNTIFS(GeneDate,"&gt;="&amp;$I$2,GeneDate,"&lt;="&amp;$I$3,GeneMicroscope,"Pos*",GenePreviousHistory,"N*",GeneMTB,"*tive")</f>
        <v>0</v>
      </c>
      <c r="D13" s="11">
        <f>COUNTIFS(GeneDate,"&gt;="&amp;$I$2,GeneDate,"&lt;="&amp;$I$3,GeneMicroscope,"Pos*",GenePreviousHistory,"Y*",GeneMTB,"*tive")</f>
        <v>0</v>
      </c>
      <c r="E13" s="8">
        <f>COUNTIFS(GeneDate,"&gt;="&amp;$I$2,GeneDate,"&lt;="&amp;$I$3,GeneMicroscope,"Pos*",GenePreviousHistory,"Un*",GeneMTB,"*tive")</f>
        <v>0</v>
      </c>
      <c r="F13" s="8">
        <f>COUNTIFS(GeneDate,"&gt;="&amp;$I$2,GeneDate,"&lt;="&amp;$I$3,GeneMicroscope,"Pos*",GeneMTB,"*tive")</f>
        <v>0</v>
      </c>
      <c r="G13" s="48" t="str">
        <f>IF($F$9=SUM(F13:F15),"","Error! Possibly there were be Error or Missing information at Microscopy Result")</f>
        <v/>
      </c>
      <c r="H13" s="49"/>
      <c r="I13" s="10" t="str">
        <f t="shared" ref="I13:I19" si="0">IF(SUM(C13:E13)=F13,"","Check Total Vaue &amp; Category")</f>
        <v/>
      </c>
    </row>
    <row r="14" spans="1:9" x14ac:dyDescent="0.2">
      <c r="A14" s="59"/>
      <c r="B14" s="12" t="s">
        <v>42</v>
      </c>
      <c r="C14" s="11">
        <f>COUNTIFS(GeneDate,"&gt;="&amp;$I$2,GeneDate,"&lt;="&amp;$I$3,GeneMicroscope,"Neg*",GenePreviousHistory,"N*",GeneMTB,"*tive")</f>
        <v>0</v>
      </c>
      <c r="D14" s="11">
        <f>COUNTIFS(GeneDate,"&gt;="&amp;$I$2,GeneDate,"&lt;="&amp;$I$3,GeneMicroscope,"Neg*",GenePreviousHistory,"Y*",GeneMTB,"*tive")</f>
        <v>0</v>
      </c>
      <c r="E14" s="8">
        <f>COUNTIFS(GeneDate,"&gt;="&amp;$I$2,GeneDate,"&lt;="&amp;$I$3,GeneMicroscope,"Neg*",GenePreviousHistory,"Un*",GeneMTB,"*tive")</f>
        <v>0</v>
      </c>
      <c r="F14" s="8">
        <f>COUNTIFS(GeneDate,"&gt;="&amp;$I$2,GeneDate,"&lt;="&amp;$I$3,GeneMicroscope,"Neg*",GeneMTB,"*tive")</f>
        <v>0</v>
      </c>
      <c r="G14" s="48"/>
      <c r="H14" s="49"/>
      <c r="I14" s="10" t="str">
        <f t="shared" si="0"/>
        <v/>
      </c>
    </row>
    <row r="15" spans="1:9" x14ac:dyDescent="0.2">
      <c r="A15" s="60"/>
      <c r="B15" s="12" t="s">
        <v>41</v>
      </c>
      <c r="C15" s="11">
        <f>COUNTIFS(GeneDate,"&gt;="&amp;$I$2,GeneDate,"&lt;="&amp;$I$3,GeneMicroscope,"Not*",GenePreviousHistory,"N*",GeneMTB,"*tive")</f>
        <v>0</v>
      </c>
      <c r="D15" s="11">
        <f>COUNTIFS(GeneDate,"&gt;="&amp;$I$2,GeneDate,"&lt;="&amp;$I$3,GeneMicroscope,"Not*",GenePreviousHistory,"Y*",GeneMTB,"*tive")</f>
        <v>0</v>
      </c>
      <c r="E15" s="8">
        <f>COUNTIFS(GeneDate,"&gt;="&amp;$I$2,GeneDate,"&lt;="&amp;$I$3,GeneMicroscope,"Not*",GenePreviousHistory,"Un*",GeneMTB,"*tive")</f>
        <v>0</v>
      </c>
      <c r="F15" s="8">
        <f>COUNTIFS(GeneDate,"&gt;="&amp;$I$2,GeneDate,"&lt;="&amp;$I$3,GeneMicroscope,"Not*",GeneMTB,"*tive")</f>
        <v>0</v>
      </c>
      <c r="G15" s="48"/>
      <c r="H15" s="49"/>
      <c r="I15" s="10" t="str">
        <f t="shared" si="0"/>
        <v/>
      </c>
    </row>
    <row r="16" spans="1:9" x14ac:dyDescent="0.2">
      <c r="A16" s="57" t="s">
        <v>40</v>
      </c>
      <c r="B16" s="12" t="s">
        <v>13</v>
      </c>
      <c r="C16" s="11">
        <f>COUNTIFS(GeneDate,"&gt;="&amp;$I$2,GeneDate,"&lt;="&amp;$I$3,GenePreviousHistory,"N*",GeneMTB,"Neg*")</f>
        <v>0</v>
      </c>
      <c r="D16" s="11">
        <f>COUNTIFS(GeneDate,"&gt;="&amp;$I$2,GeneDate,"&lt;="&amp;$I$3,GenePreviousHistory,"Y*",GeneMTB,"Neg*")</f>
        <v>0</v>
      </c>
      <c r="E16" s="8">
        <f>F16-(C16+D16)</f>
        <v>0</v>
      </c>
      <c r="F16" s="8">
        <f>COUNTIFS(GeneDate,"&gt;="&amp;$I$2,GeneDate,"&lt;="&amp;$I$3,GeneMTB,"Neg*")</f>
        <v>0</v>
      </c>
      <c r="G16" s="48" t="str">
        <f>IF($F$9=SUM(F16:F19),"","Error! Cross information between Xpert result and treatment category are not match; possibly there will be Erorr or missing information on MTB result OR RIF result")</f>
        <v/>
      </c>
      <c r="H16" s="49"/>
      <c r="I16" s="10" t="str">
        <f t="shared" si="0"/>
        <v/>
      </c>
    </row>
    <row r="17" spans="1:9" x14ac:dyDescent="0.2">
      <c r="A17" s="57"/>
      <c r="B17" s="12" t="s">
        <v>39</v>
      </c>
      <c r="C17" s="11">
        <f>COUNTIFS(GeneDate,"&gt;="&amp;$I$2,GeneDate,"&lt;="&amp;$I$3,GenePreviousHistory,"N*",GeneMTB,"Pos*",GeneRif,"Neg*")</f>
        <v>0</v>
      </c>
      <c r="D17" s="11">
        <f>COUNTIFS(GeneDate,"&gt;="&amp;$I$2,GeneDate,"&lt;="&amp;$I$3,GenePreviousHistory,"Y*",GeneMTB,"Pos*",GeneRif,"Neg*")</f>
        <v>0</v>
      </c>
      <c r="E17" s="8">
        <f>F17-(C17+D17)</f>
        <v>0</v>
      </c>
      <c r="F17" s="8">
        <f>COUNTIFS(GeneDate,"&gt;="&amp;$I$2,GeneDate,"&lt;="&amp;$I$3,GeneMTB,"Pos*",GeneRif,"Neg*")</f>
        <v>0</v>
      </c>
      <c r="G17" s="48"/>
      <c r="H17" s="49"/>
      <c r="I17" s="10" t="str">
        <f t="shared" si="0"/>
        <v/>
      </c>
    </row>
    <row r="18" spans="1:9" x14ac:dyDescent="0.2">
      <c r="A18" s="57"/>
      <c r="B18" s="12" t="s">
        <v>38</v>
      </c>
      <c r="C18" s="11">
        <f>COUNTIFS(GeneDate,"&gt;="&amp;$I$2,GeneDate,"&lt;="&amp;$I$3,GenePreviousHistory,"N*",GeneMTB,"Pos*",GeneRif,"Pos*")</f>
        <v>0</v>
      </c>
      <c r="D18" s="11">
        <f>COUNTIFS(GeneDate,"&gt;="&amp;$I$2,GeneDate,"&lt;="&amp;$I$3,GenePreviousHistory,"Y*",GeneMTB,"Pos*",GeneRif,"Pos*")</f>
        <v>0</v>
      </c>
      <c r="E18" s="8">
        <f>F18-(C18+D18)</f>
        <v>0</v>
      </c>
      <c r="F18" s="8">
        <f>COUNTIFS(GeneDate,"&gt;="&amp;$I$2,GeneDate,"&lt;="&amp;$I$3,GeneMTB,"Pos*",GeneRif,"Pos*")</f>
        <v>0</v>
      </c>
      <c r="G18" s="48"/>
      <c r="H18" s="49"/>
      <c r="I18" s="10" t="str">
        <f t="shared" si="0"/>
        <v/>
      </c>
    </row>
    <row r="19" spans="1:9" x14ac:dyDescent="0.2">
      <c r="A19" s="57"/>
      <c r="B19" s="12" t="s">
        <v>48</v>
      </c>
      <c r="C19" s="11">
        <f>COUNTIFS(GeneDate,"&gt;="&amp;$I$2,GeneDate,"&lt;="&amp;$I$3,GenePreviousHistory,"N*",GeneMTB,"Pos*",GeneRif,"IND*")</f>
        <v>0</v>
      </c>
      <c r="D19" s="11">
        <f>COUNTIFS(GeneDate,"&gt;="&amp;$I$2,GeneDate,"&lt;="&amp;$I$3,GenePreviousHistory,"Y*",GeneMTB,"Pos*",GeneRif,"IND*")</f>
        <v>0</v>
      </c>
      <c r="E19" s="8">
        <f>F19-(C19+D19)</f>
        <v>0</v>
      </c>
      <c r="F19" s="8">
        <f>COUNTIFS(GeneDate,"&gt;="&amp;$I$2,GeneDate,"&lt;="&amp;$I$3,GeneMTB,"Pos*",GeneRif,"IND*")</f>
        <v>0</v>
      </c>
      <c r="G19" s="48"/>
      <c r="H19" s="49"/>
      <c r="I19" s="10" t="str">
        <f t="shared" si="0"/>
        <v/>
      </c>
    </row>
    <row r="20" spans="1:9" ht="12" customHeight="1" x14ac:dyDescent="0.2">
      <c r="E20" s="7"/>
      <c r="F20" s="7"/>
      <c r="G20" s="7"/>
    </row>
    <row r="21" spans="1:9" x14ac:dyDescent="0.2">
      <c r="A21" s="2" t="s">
        <v>47</v>
      </c>
      <c r="E21" s="7"/>
      <c r="F21" s="7"/>
      <c r="G21" s="7"/>
    </row>
    <row r="22" spans="1:9" ht="30" x14ac:dyDescent="0.2">
      <c r="A22" s="12"/>
      <c r="B22" s="12"/>
      <c r="C22" s="14" t="s">
        <v>46</v>
      </c>
      <c r="D22" s="14" t="s">
        <v>45</v>
      </c>
      <c r="E22" s="13" t="s">
        <v>15</v>
      </c>
      <c r="F22" s="13" t="s">
        <v>33</v>
      </c>
      <c r="G22" s="7"/>
    </row>
    <row r="23" spans="1:9" ht="15" customHeight="1" x14ac:dyDescent="0.2">
      <c r="A23" s="58" t="s">
        <v>44</v>
      </c>
      <c r="B23" s="12" t="s">
        <v>43</v>
      </c>
      <c r="C23" s="11">
        <f>COUNTIFS(GeneDate,"&gt;="&amp;$I$2,GeneDate,"&lt;="&amp;$I$3,GeneMicroscope,"Pos*",GeneHIV,"Pos*",GeneMTB,"*tive")</f>
        <v>0</v>
      </c>
      <c r="D23" s="11">
        <f>COUNTIFS(GeneDate,"&gt;="&amp;$I$2,GeneDate,"&lt;="&amp;$I$3,GeneMicroscope,"Pos*",GeneHIV,"Neg*",GeneMTB,"*tive")</f>
        <v>0</v>
      </c>
      <c r="E23" s="8">
        <f>COUNTIFS(GeneDate,"&gt;="&amp;$I$2,GeneDate,"&lt;="&amp;$I$3,GeneMicroscope,"Pos*",GeneHIV,"Un*",GeneMTB,"*tive")</f>
        <v>0</v>
      </c>
      <c r="F23" s="8">
        <f>COUNTIFS(GeneDate,"&gt;="&amp;$I$2,GeneDate,"&lt;="&amp;$I$3,GeneMicroscope,"Pos*",GeneMTB,"*tive")</f>
        <v>0</v>
      </c>
      <c r="G23" s="48" t="str">
        <f>IF($F$9=SUM(F23:F25),"","Error! Cross information between Microscope Result and HIV Status are not match; possibly there will be Erorr or missing information on Microscope Result OR HIV Status")</f>
        <v/>
      </c>
      <c r="H23" s="49"/>
      <c r="I23" s="10" t="str">
        <f t="shared" ref="I23:I29" si="1">IF(SUM(C23:E23)=F23,"","Check Total Vaue &amp; Category")</f>
        <v/>
      </c>
    </row>
    <row r="24" spans="1:9" x14ac:dyDescent="0.2">
      <c r="A24" s="59"/>
      <c r="B24" s="12" t="s">
        <v>42</v>
      </c>
      <c r="C24" s="11">
        <f>COUNTIFS(GeneDate,"&gt;="&amp;$I$2,GeneDate,"&lt;="&amp;$I$3,GeneMicroscope,"Neg*",GeneHIV,"Pos*",GeneMTB,"*tive")</f>
        <v>0</v>
      </c>
      <c r="D24" s="11">
        <f>COUNTIFS(GeneDate,"&gt;="&amp;$I$2,GeneDate,"&lt;="&amp;$I$3,GeneMicroscope,"Neg*",GeneHIV,"Neg*",GeneMTB,"*tive")</f>
        <v>0</v>
      </c>
      <c r="E24" s="8">
        <f>COUNTIFS(GeneDate,"&gt;="&amp;$I$2,GeneDate,"&lt;="&amp;$I$3,GeneMicroscope,"Neg*",GeneHIV,"Un*",GeneMTB,"*tive")</f>
        <v>0</v>
      </c>
      <c r="F24" s="8">
        <f>COUNTIFS(GeneDate,"&gt;="&amp;$I$2,GeneDate,"&lt;="&amp;$I$3,GeneMicroscope,"Neg*",GeneMTB,"*tive")</f>
        <v>0</v>
      </c>
      <c r="G24" s="48"/>
      <c r="H24" s="49"/>
      <c r="I24" s="10" t="str">
        <f t="shared" si="1"/>
        <v/>
      </c>
    </row>
    <row r="25" spans="1:9" x14ac:dyDescent="0.2">
      <c r="A25" s="60"/>
      <c r="B25" s="12" t="s">
        <v>41</v>
      </c>
      <c r="C25" s="11">
        <f>COUNTIFS(GeneDate,"&gt;="&amp;$I$2,GeneDate,"&lt;="&amp;$I$3,GeneMicroscope,"Not*",GeneHIV,"Pos*",GeneMTB,"*tive")</f>
        <v>0</v>
      </c>
      <c r="D25" s="11">
        <f>COUNTIFS(GeneDate,"&gt;="&amp;$I$2,GeneDate,"&lt;="&amp;$I$3,GeneMicroscope,"Not*",GeneHIV,"Neg*",GeneMTB,"*tive")</f>
        <v>0</v>
      </c>
      <c r="E25" s="8">
        <f>COUNTIFS(GeneDate,"&gt;="&amp;$I$2,GeneDate,"&lt;="&amp;$I$3,GeneMicroscope,"Not*",GeneHIV,"Un*",GeneMTB,"*tive")</f>
        <v>0</v>
      </c>
      <c r="F25" s="8">
        <f>COUNTIFS(GeneDate,"&gt;="&amp;$I$2,GeneDate,"&lt;="&amp;$I$3,GeneMicroscope,"Not*",GeneMTB,"*tive")</f>
        <v>0</v>
      </c>
      <c r="G25" s="48"/>
      <c r="H25" s="49"/>
      <c r="I25" s="10" t="str">
        <f t="shared" si="1"/>
        <v/>
      </c>
    </row>
    <row r="26" spans="1:9" x14ac:dyDescent="0.2">
      <c r="A26" s="57" t="s">
        <v>40</v>
      </c>
      <c r="B26" s="12" t="s">
        <v>13</v>
      </c>
      <c r="C26" s="11">
        <f>COUNTIFS(GeneDate,"&gt;="&amp;$I$2,GeneDate,"&lt;="&amp;$I$3,GeneHIV,"Pos*",GeneMTB,"Neg*")</f>
        <v>0</v>
      </c>
      <c r="D26" s="11">
        <f>COUNTIFS(GeneDate,"&gt;="&amp;$I$2,GeneDate,"&lt;="&amp;$I$3,GeneHIV,"Neg*",GeneMTB,"Neg*")</f>
        <v>0</v>
      </c>
      <c r="E26" s="8">
        <f>COUNTIFS(GeneDate,"&gt;="&amp;$I$2,GeneDate,"&lt;="&amp;$I$3,GeneHIV,"Un*",GeneMTB,"Neg*")</f>
        <v>0</v>
      </c>
      <c r="F26" s="8">
        <f>COUNTIFS(GeneDate,"&gt;="&amp;$I$2,GeneDate,"&lt;="&amp;$I$3,GeneMTB,"*tive",GeneMTB,"Neg*")</f>
        <v>0</v>
      </c>
      <c r="G26" s="48" t="str">
        <f>IF($F$9=SUM(F26:F29),"","Error! Cross information between Xpert result and HIV Status are not match; possibly there will be Erorr or missing information on MTB result OR HIV Status")</f>
        <v/>
      </c>
      <c r="H26" s="49"/>
      <c r="I26" s="10" t="str">
        <f t="shared" si="1"/>
        <v/>
      </c>
    </row>
    <row r="27" spans="1:9" x14ac:dyDescent="0.2">
      <c r="A27" s="57"/>
      <c r="B27" s="12" t="s">
        <v>39</v>
      </c>
      <c r="C27" s="11">
        <f>COUNTIFS(GeneDate,"&gt;="&amp;$I$2,GeneDate,"&lt;="&amp;$I$3,GeneHIV,"Pos*",GeneMTB,"Pos*",GeneRif,"Neg*")</f>
        <v>0</v>
      </c>
      <c r="D27" s="11">
        <f>COUNTIFS(GeneDate,"&gt;="&amp;$I$2,GeneDate,"&lt;="&amp;$I$3,GeneHIV,"Neg*",GeneMTB,"Pos*",GeneRif,"Neg*")</f>
        <v>0</v>
      </c>
      <c r="E27" s="8">
        <f>COUNTIFS(GeneDate,"&gt;="&amp;$I$2,GeneDate,"&lt;="&amp;$I$3,GeneHIV,"Un*",GeneMTB,"Pos*",GeneRif,"Neg*")</f>
        <v>0</v>
      </c>
      <c r="F27" s="8">
        <f>COUNTIFS(GeneDate,"&gt;="&amp;$I$2,GeneDate,"&lt;="&amp;$I$3,GeneMTB,"Pos*",GeneRif,"Neg*")</f>
        <v>0</v>
      </c>
      <c r="G27" s="48"/>
      <c r="H27" s="49"/>
      <c r="I27" s="10" t="str">
        <f t="shared" si="1"/>
        <v/>
      </c>
    </row>
    <row r="28" spans="1:9" x14ac:dyDescent="0.2">
      <c r="A28" s="57"/>
      <c r="B28" s="12" t="s">
        <v>38</v>
      </c>
      <c r="C28" s="11">
        <f>COUNTIFS(GeneDate,"&gt;="&amp;$I$2,GeneDate,"&lt;="&amp;$I$3,GeneHIV,"Pos*",GeneMTB,"Pos*",GeneRif,"Pos*")</f>
        <v>0</v>
      </c>
      <c r="D28" s="11">
        <f>COUNTIFS(GeneDate,"&gt;="&amp;$I$2,GeneDate,"&lt;="&amp;$I$3,GeneHIV,"Neg*",GeneMTB,"Pos*",GeneRif,"Pos*")</f>
        <v>0</v>
      </c>
      <c r="E28" s="8">
        <f>COUNTIFS(GeneDate,"&gt;="&amp;$I$2,GeneDate,"&lt;="&amp;$I$3,GeneHIV,"Un*",GeneMTB,"Pos*",GeneRif,"Pos*")</f>
        <v>0</v>
      </c>
      <c r="F28" s="8">
        <f>COUNTIFS(GeneDate,"&gt;="&amp;$I$2,GeneDate,"&lt;="&amp;$I$3,GeneMTB,"Pos*",GeneRif,"Pos*")</f>
        <v>0</v>
      </c>
      <c r="G28" s="48"/>
      <c r="H28" s="49"/>
      <c r="I28" s="10" t="str">
        <f t="shared" si="1"/>
        <v/>
      </c>
    </row>
    <row r="29" spans="1:9" x14ac:dyDescent="0.2">
      <c r="A29" s="57"/>
      <c r="B29" s="12" t="s">
        <v>37</v>
      </c>
      <c r="C29" s="11">
        <f>COUNTIFS(GeneDate,"&gt;="&amp;$I$2,GeneDate,"&lt;="&amp;$I$3,GeneHIV,"Pos*",GeneMTB,"Pos*",GeneRif,"IND*")</f>
        <v>0</v>
      </c>
      <c r="D29" s="11">
        <f>COUNTIFS(GeneDate,"&gt;="&amp;$I$2,GeneDate,"&lt;="&amp;$I$3,GeneHIV,"Neg*",GeneMTB,"Pos*",GeneRif,"IND*")</f>
        <v>0</v>
      </c>
      <c r="E29" s="8">
        <f>COUNTIFS(GeneDate,"&gt;="&amp;$I$2,GeneDate,"&lt;="&amp;$I$3,GeneHIV,"Un*",GeneMTB,"Pos*",GeneRif,"IND*")</f>
        <v>0</v>
      </c>
      <c r="F29" s="8">
        <f>COUNTIFS(GeneDate,"&gt;="&amp;$I$2,GeneDate,"&lt;="&amp;$I$3,GeneMTB,"Pos*",GeneRif,"IND*")</f>
        <v>0</v>
      </c>
      <c r="G29" s="48"/>
      <c r="H29" s="49"/>
      <c r="I29" s="10" t="str">
        <f t="shared" si="1"/>
        <v/>
      </c>
    </row>
    <row r="30" spans="1:9" ht="12" customHeight="1" x14ac:dyDescent="0.2">
      <c r="E30" s="7"/>
      <c r="F30" s="7"/>
      <c r="G30" s="7"/>
    </row>
    <row r="31" spans="1:9" x14ac:dyDescent="0.2">
      <c r="A31" s="4"/>
      <c r="B31" s="25"/>
      <c r="C31" s="61" t="s">
        <v>14</v>
      </c>
      <c r="D31" s="62"/>
      <c r="E31" s="61" t="s">
        <v>16</v>
      </c>
      <c r="F31" s="62"/>
      <c r="G31" s="9" t="s">
        <v>33</v>
      </c>
    </row>
    <row r="32" spans="1:9" x14ac:dyDescent="0.2">
      <c r="A32" s="24" t="s">
        <v>62</v>
      </c>
      <c r="B32" s="24"/>
      <c r="C32" s="61">
        <f>COUNTIFS(GeneDate,"&gt;="&amp;$I$2,GeneDate,"&lt;="&amp;$I$3,GeneMTB,"Pos*",GeneRif,"Pos*",GeneSex,"Male")</f>
        <v>0</v>
      </c>
      <c r="D32" s="62"/>
      <c r="E32" s="64">
        <f>COUNTIFS(GeneDate,"&gt;="&amp;$I$2,GeneDate,"&lt;="&amp;$I$3,GeneMTB,"Pos*",GeneRif,"Pos*",GeneSex,"Female")</f>
        <v>0</v>
      </c>
      <c r="F32" s="65"/>
      <c r="G32" s="8">
        <f>COUNTIFS(GeneDate,"&gt;="&amp;$I$2,GeneDate,"&lt;="&amp;$I$3,GeneMTB,"Pos*",GeneRif,"Pos*")</f>
        <v>0</v>
      </c>
    </row>
    <row r="33" spans="1:10" ht="12" customHeight="1" x14ac:dyDescent="0.2">
      <c r="E33" s="7"/>
      <c r="F33" s="7"/>
      <c r="G33" s="7"/>
    </row>
    <row r="34" spans="1:10" x14ac:dyDescent="0.2">
      <c r="A34" s="2" t="s">
        <v>36</v>
      </c>
      <c r="E34" s="7"/>
      <c r="F34" s="7"/>
      <c r="G34" s="7"/>
    </row>
    <row r="35" spans="1:10" x14ac:dyDescent="0.2">
      <c r="A35" s="61"/>
      <c r="B35" s="62"/>
      <c r="C35" s="61" t="s">
        <v>35</v>
      </c>
      <c r="D35" s="62"/>
      <c r="E35" s="64" t="s">
        <v>34</v>
      </c>
      <c r="F35" s="65"/>
      <c r="G35" s="9" t="s">
        <v>33</v>
      </c>
    </row>
    <row r="36" spans="1:10" x14ac:dyDescent="0.2">
      <c r="A36" s="50" t="s">
        <v>32</v>
      </c>
      <c r="B36" s="50"/>
      <c r="C36" s="51">
        <f>COUNTIFS(GeneDate,"&gt;="&amp;$I$2,GeneDate,"&lt;="&amp;$I$3,GeneMTB,"Pos*",GeneMicroscope,"Pos*")</f>
        <v>0</v>
      </c>
      <c r="D36" s="52"/>
      <c r="E36" s="53">
        <f>COUNTIFS(GeneDate,"&gt;="&amp;$I$2,GeneDate,"&lt;="&amp;$I$3,GeneMTB,"Neg*",GeneMicroscope,"Pos*")</f>
        <v>0</v>
      </c>
      <c r="F36" s="54"/>
      <c r="G36" s="8">
        <f>COUNTIFS(GeneDate,"&gt;="&amp;$I$2,GeneDate,"&lt;="&amp;$I$3,GeneMicroscope,"Pos*",GeneMTB,"*tive")</f>
        <v>0</v>
      </c>
      <c r="H36" s="55" t="str">
        <f>IF($F$9=SUM(G36:G38),"","Error! Cross information between Xpert result and Microscope result are not match; possibly there will be Erorr or missing information on MTB result OR Microscope result")</f>
        <v/>
      </c>
      <c r="I36" s="56"/>
      <c r="J36" s="2" t="str">
        <f>IF(SUM(C36:F36)=G36,"","Check Total Vaue &amp; Category")</f>
        <v/>
      </c>
    </row>
    <row r="37" spans="1:10" x14ac:dyDescent="0.2">
      <c r="A37" s="50" t="s">
        <v>31</v>
      </c>
      <c r="B37" s="50"/>
      <c r="C37" s="51">
        <f>COUNTIFS(GeneDate,"&gt;="&amp;$I$2,GeneDate,"&lt;="&amp;$I$3,GeneMTB,"Pos*",GeneMicroscope,"Neg*")</f>
        <v>0</v>
      </c>
      <c r="D37" s="52"/>
      <c r="E37" s="53">
        <f>COUNTIFS(GeneDate,"&gt;="&amp;$I$2,GeneDate,"&lt;="&amp;$I$3,GeneMTB,"Neg*",GeneMicroscope,"Neg*")</f>
        <v>0</v>
      </c>
      <c r="F37" s="54"/>
      <c r="G37" s="8">
        <f>COUNTIFS(GeneDate,"&gt;="&amp;$I$2,GeneDate,"&lt;="&amp;$I$3,GeneMicroscope,"Neg*",GeneMTB,"*tive")</f>
        <v>0</v>
      </c>
      <c r="H37" s="55"/>
      <c r="I37" s="56"/>
      <c r="J37" s="2" t="str">
        <f>IF(SUM(C37:F37)=G37,"","Check Total Vaue &amp; Category")</f>
        <v/>
      </c>
    </row>
    <row r="38" spans="1:10" x14ac:dyDescent="0.2">
      <c r="A38" s="50" t="s">
        <v>30</v>
      </c>
      <c r="B38" s="50"/>
      <c r="C38" s="51">
        <f>COUNTIFS(GeneDate,"&gt;="&amp;$I$2,GeneDate,"&lt;="&amp;$I$3,GeneMTB,"Pos*",GeneMicroscope,"Not*")</f>
        <v>0</v>
      </c>
      <c r="D38" s="52"/>
      <c r="E38" s="53">
        <f>COUNTIFS(GeneDate,"&gt;="&amp;$I$2,GeneDate,"&lt;="&amp;$I$3,GeneMTB,"Neg*",GeneMicroscope,"Not*")</f>
        <v>0</v>
      </c>
      <c r="F38" s="54"/>
      <c r="G38" s="8">
        <f>COUNTIFS(GeneDate,"&gt;="&amp;$I$2,GeneDate,"&lt;="&amp;$I$3,GeneMTB,"*tive",GeneMicroscope,"Not*")</f>
        <v>0</v>
      </c>
      <c r="H38" s="55"/>
      <c r="I38" s="56"/>
      <c r="J38" s="2" t="str">
        <f>IF(SUM(C38:F38)=G38,"","Check Total Vaue &amp; Category")</f>
        <v/>
      </c>
    </row>
    <row r="39" spans="1:10" ht="12" customHeight="1" x14ac:dyDescent="0.2">
      <c r="D39" s="2" t="str">
        <f>IF(SUM(C36:D38)=SUM(F27:F29),"","Error")</f>
        <v/>
      </c>
      <c r="E39" s="7"/>
      <c r="F39" s="7"/>
      <c r="G39" s="7"/>
    </row>
    <row r="40" spans="1:10" x14ac:dyDescent="0.2">
      <c r="A40" s="2" t="s">
        <v>29</v>
      </c>
    </row>
    <row r="41" spans="1:10" x14ac:dyDescent="0.2">
      <c r="A41" s="66"/>
      <c r="B41" s="66"/>
      <c r="C41" s="61" t="s">
        <v>28</v>
      </c>
      <c r="D41" s="62"/>
      <c r="E41" s="66" t="s">
        <v>27</v>
      </c>
      <c r="F41" s="66"/>
    </row>
    <row r="42" spans="1:10" x14ac:dyDescent="0.2">
      <c r="A42" s="50" t="s">
        <v>26</v>
      </c>
      <c r="B42" s="50"/>
      <c r="C42" s="51"/>
      <c r="D42" s="52"/>
      <c r="E42" s="67"/>
      <c r="F42" s="67"/>
    </row>
    <row r="43" spans="1:10" x14ac:dyDescent="0.2">
      <c r="A43" s="50" t="s">
        <v>25</v>
      </c>
      <c r="B43" s="50"/>
      <c r="C43" s="51"/>
      <c r="D43" s="52"/>
      <c r="E43" s="67" t="s">
        <v>24</v>
      </c>
      <c r="F43" s="67"/>
    </row>
    <row r="44" spans="1:10" x14ac:dyDescent="0.2">
      <c r="A44" s="50" t="s">
        <v>23</v>
      </c>
      <c r="B44" s="50"/>
      <c r="C44" s="68">
        <f>C46+F9+C47</f>
        <v>0</v>
      </c>
      <c r="D44" s="69"/>
      <c r="E44" s="67"/>
      <c r="F44" s="67"/>
      <c r="G44" s="6"/>
    </row>
    <row r="45" spans="1:10" x14ac:dyDescent="0.2">
      <c r="A45" s="50" t="s">
        <v>22</v>
      </c>
      <c r="B45" s="50"/>
      <c r="C45" s="68">
        <f>SUM(C42+C43)-C44</f>
        <v>0</v>
      </c>
      <c r="D45" s="69"/>
      <c r="E45" s="67"/>
      <c r="F45" s="67"/>
    </row>
    <row r="46" spans="1:10" x14ac:dyDescent="0.2">
      <c r="A46" s="5" t="s">
        <v>21</v>
      </c>
      <c r="B46" s="5"/>
      <c r="C46" s="23">
        <f>COUNTIFS(GeneDate,"&gt;="&amp;$I$2,GeneDate,"&lt;="&amp;$I$3,GeneMTB,"Error")+COUNTIFS(GeneDate,"&gt;="&amp;$I$2,GeneDate,"&lt;="&amp;$I$3,GeneMTB,"Invalid")+COUNTIFS(GeneDate,"&gt;="&amp;$I$2,GeneDate,"&lt;="&amp;$I$3,GeneMTB,"*Result*")</f>
        <v>0</v>
      </c>
    </row>
    <row r="47" spans="1:10" x14ac:dyDescent="0.2">
      <c r="A47" s="5" t="s">
        <v>63</v>
      </c>
      <c r="C47" s="29">
        <f>SUM('Jan16'!C47,'Feb16'!C47,'Mar16'!C47,'Apr16'!C47,'May16'!C47,'Jun16'!C47)</f>
        <v>0</v>
      </c>
    </row>
    <row r="49" spans="5:7" x14ac:dyDescent="0.2">
      <c r="E49" s="2" t="s">
        <v>20</v>
      </c>
      <c r="F49" s="4"/>
      <c r="G49" s="4"/>
    </row>
    <row r="50" spans="5:7" x14ac:dyDescent="0.2">
      <c r="E50" s="2" t="s">
        <v>19</v>
      </c>
      <c r="F50" s="3"/>
      <c r="G50" s="3"/>
    </row>
    <row r="51" spans="5:7" x14ac:dyDescent="0.2">
      <c r="E51" s="2" t="s">
        <v>18</v>
      </c>
      <c r="F51" s="3"/>
      <c r="G51" s="3"/>
    </row>
    <row r="52" spans="5:7" x14ac:dyDescent="0.2">
      <c r="E52" s="2" t="s">
        <v>17</v>
      </c>
      <c r="F52" s="3"/>
      <c r="G52" s="3"/>
    </row>
  </sheetData>
  <sheetProtection algorithmName="SHA-512" hashValue="bIpZo63Fac3hTB9uoi+647j1Fze35o+E4B+kXbW0JmUtDP8t0UXa6hiPXHmvxPxuKJJeVB4Gh/jTF7N4394cPQ==" saltValue="7iRubQnOimCRhrp9Bb5K6w==" spinCount="100000" sheet="1" objects="1" scenarios="1"/>
  <protectedRanges>
    <protectedRange sqref="B4" name="Range3"/>
    <protectedRange sqref="I2:I3" name="Range2"/>
    <protectedRange sqref="C42:F43 C45 E44:F45 C47" name="Range1"/>
  </protectedRanges>
  <mergeCells count="45">
    <mergeCell ref="A45:B45"/>
    <mergeCell ref="C45:D45"/>
    <mergeCell ref="E45:F45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6:B36"/>
    <mergeCell ref="C36:D36"/>
    <mergeCell ref="E36:F36"/>
    <mergeCell ref="H36:I38"/>
    <mergeCell ref="A37:B37"/>
    <mergeCell ref="C37:D37"/>
    <mergeCell ref="E37:F37"/>
    <mergeCell ref="A38:B38"/>
    <mergeCell ref="C38:D38"/>
    <mergeCell ref="E38:F38"/>
    <mergeCell ref="C31:D31"/>
    <mergeCell ref="E31:F31"/>
    <mergeCell ref="C32:D32"/>
    <mergeCell ref="E32:F32"/>
    <mergeCell ref="A35:B35"/>
    <mergeCell ref="C35:D35"/>
    <mergeCell ref="E35:F35"/>
    <mergeCell ref="A26:A29"/>
    <mergeCell ref="G26:H29"/>
    <mergeCell ref="A1:F1"/>
    <mergeCell ref="A7:A8"/>
    <mergeCell ref="B7:C7"/>
    <mergeCell ref="D7:E7"/>
    <mergeCell ref="F7:F8"/>
    <mergeCell ref="A13:A15"/>
    <mergeCell ref="G13:H15"/>
    <mergeCell ref="A16:A19"/>
    <mergeCell ref="G16:H19"/>
    <mergeCell ref="A23:A25"/>
    <mergeCell ref="G23:H25"/>
  </mergeCells>
  <conditionalFormatting sqref="G13">
    <cfRule type="notContainsBlanks" dxfId="59" priority="6">
      <formula>LEN(TRIM(G13))&gt;0</formula>
    </cfRule>
  </conditionalFormatting>
  <conditionalFormatting sqref="G16">
    <cfRule type="notContainsBlanks" dxfId="58" priority="5">
      <formula>LEN(TRIM(G16))&gt;0</formula>
    </cfRule>
  </conditionalFormatting>
  <conditionalFormatting sqref="G23">
    <cfRule type="notContainsBlanks" dxfId="57" priority="4">
      <formula>LEN(TRIM(G23))&gt;0</formula>
    </cfRule>
  </conditionalFormatting>
  <conditionalFormatting sqref="G26">
    <cfRule type="notContainsBlanks" dxfId="56" priority="3">
      <formula>LEN(TRIM(G26))&gt;0</formula>
    </cfRule>
  </conditionalFormatting>
  <conditionalFormatting sqref="H36">
    <cfRule type="notContainsBlanks" dxfId="55" priority="2">
      <formula>LEN(TRIM(H36))&gt;0</formula>
    </cfRule>
  </conditionalFormatting>
  <conditionalFormatting sqref="I13:I19 I23:I29 J36:J38">
    <cfRule type="notContainsBlanks" dxfId="54" priority="1">
      <formula>LEN(TRIM(I13))&gt;0</formula>
    </cfRule>
  </conditionalFormatting>
  <pageMargins left="0.7" right="0.5" top="0.5" bottom="0.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J52"/>
  <sheetViews>
    <sheetView workbookViewId="0">
      <selection activeCell="I4" sqref="I4"/>
    </sheetView>
  </sheetViews>
  <sheetFormatPr baseColWidth="10" defaultColWidth="9.1640625" defaultRowHeight="15" x14ac:dyDescent="0.2"/>
  <cols>
    <col min="1" max="1" width="14" style="2" customWidth="1"/>
    <col min="2" max="2" width="25.1640625" style="2" bestFit="1" customWidth="1"/>
    <col min="3" max="3" width="9.1640625" style="2" customWidth="1"/>
    <col min="4" max="4" width="12.33203125" style="2" bestFit="1" customWidth="1"/>
    <col min="5" max="7" width="9.6640625" style="2" customWidth="1"/>
    <col min="8" max="8" width="20.33203125" style="2" customWidth="1"/>
    <col min="9" max="9" width="20.6640625" style="2" customWidth="1"/>
    <col min="10" max="10" width="14.5" style="2" customWidth="1"/>
    <col min="11" max="16384" width="9.1640625" style="2"/>
  </cols>
  <sheetData>
    <row r="1" spans="1:9" ht="19" x14ac:dyDescent="0.25">
      <c r="A1" s="63" t="s">
        <v>60</v>
      </c>
      <c r="B1" s="63"/>
      <c r="C1" s="63"/>
      <c r="D1" s="63"/>
      <c r="E1" s="63"/>
      <c r="F1" s="63"/>
      <c r="I1" s="16" t="s">
        <v>59</v>
      </c>
    </row>
    <row r="2" spans="1:9" ht="16" x14ac:dyDescent="0.2">
      <c r="H2" s="16" t="s">
        <v>58</v>
      </c>
      <c r="I2" s="28">
        <v>42552.000011574099</v>
      </c>
    </row>
    <row r="3" spans="1:9" ht="16" x14ac:dyDescent="0.2">
      <c r="A3" s="2" t="s">
        <v>57</v>
      </c>
      <c r="C3" s="18" t="str">
        <f>IF(MONTH($I$2)=1,"January",IF(MONTH($I$2)=2,"February",IF(MONTH($I$2)=3,"March",IF(MONTH($I$2)=4,"April",IF(MONTH($I$2)=5,"May",IF(MONTH($I$2)=6,"June",IF(MONTH($I$2)=7,"July",IF(MONTH($I$2)=8,"Auguest",IF(MONTH($I$2)=9,"September",IF(MONTH($I$2)=10,"October",IF(MONTH($I$2)=11,"November",IF(MONTH($I$2)=12,"December",A3))))))))))))</f>
        <v>July</v>
      </c>
      <c r="E3" s="2" t="s">
        <v>56</v>
      </c>
      <c r="F3" s="17">
        <f>YEAR($I$2)</f>
        <v>2016</v>
      </c>
      <c r="H3" s="16" t="s">
        <v>55</v>
      </c>
      <c r="I3" s="28">
        <v>42581.999988425901</v>
      </c>
    </row>
    <row r="4" spans="1:9" x14ac:dyDescent="0.2">
      <c r="A4" s="2" t="s">
        <v>54</v>
      </c>
    </row>
    <row r="6" spans="1:9" x14ac:dyDescent="0.2">
      <c r="A6" s="2" t="s">
        <v>53</v>
      </c>
    </row>
    <row r="7" spans="1:9" x14ac:dyDescent="0.2">
      <c r="A7" s="66"/>
      <c r="B7" s="66" t="s">
        <v>14</v>
      </c>
      <c r="C7" s="66"/>
      <c r="D7" s="66" t="s">
        <v>16</v>
      </c>
      <c r="E7" s="66"/>
      <c r="F7" s="57" t="s">
        <v>33</v>
      </c>
    </row>
    <row r="8" spans="1:9" x14ac:dyDescent="0.2">
      <c r="A8" s="66"/>
      <c r="B8" s="27" t="s">
        <v>52</v>
      </c>
      <c r="C8" s="27" t="s">
        <v>61</v>
      </c>
      <c r="D8" s="27" t="s">
        <v>52</v>
      </c>
      <c r="E8" s="27" t="s">
        <v>61</v>
      </c>
      <c r="F8" s="57"/>
    </row>
    <row r="9" spans="1:9" x14ac:dyDescent="0.2">
      <c r="A9" s="12"/>
      <c r="B9" s="11">
        <f>COUNTIFS(GeneDate,"&gt;="&amp;$I$2,GeneDate,"&lt;="&amp;$I$3,GeneAge,"&lt;15",GeneSex,"Male",GeneMTB,"*tive")</f>
        <v>0</v>
      </c>
      <c r="C9" s="11">
        <f>COUNTIFS(GeneDate,"&gt;="&amp;$I$2,GeneDate,"&lt;="&amp;$I$3,GeneAge,"&gt;=15",GeneSex,"M*",GeneMTB,"*tive")</f>
        <v>0</v>
      </c>
      <c r="D9" s="11">
        <f>COUNTIFS(GeneDate,"&gt;="&amp;$I$2,GeneDate,"&lt;="&amp;$I$3,GeneAge,"&lt;15",GeneSex,"F*",GeneMTB,"*tive")</f>
        <v>0</v>
      </c>
      <c r="E9" s="8">
        <f>COUNTIFS(GeneDate,"&gt;="&amp;$I$2,GeneDate,"&lt;="&amp;$I$3,GeneAge,"&gt;=15",GeneSex,"F*",GeneMTB,"*tive")</f>
        <v>0</v>
      </c>
      <c r="F9" s="8">
        <f>COUNTIFS(GeneDate,"&gt;="&amp;$I$2,GeneDate,"&lt;="&amp;$I$3,GeneMTB,"*tive")</f>
        <v>0</v>
      </c>
      <c r="G9" s="7" t="str">
        <f>IF(SUM(B9:E9)=F9,"","Check Total Vaue &amp; Category")</f>
        <v/>
      </c>
      <c r="H9" s="26"/>
    </row>
    <row r="10" spans="1:9" ht="12" customHeight="1" x14ac:dyDescent="0.2">
      <c r="B10" s="19"/>
      <c r="E10" s="7"/>
      <c r="F10" s="7"/>
      <c r="G10" s="7"/>
    </row>
    <row r="11" spans="1:9" x14ac:dyDescent="0.2">
      <c r="A11" s="2" t="s">
        <v>51</v>
      </c>
      <c r="E11" s="7"/>
      <c r="F11" s="7"/>
      <c r="G11" s="7"/>
    </row>
    <row r="12" spans="1:9" x14ac:dyDescent="0.2">
      <c r="A12" s="12"/>
      <c r="B12" s="12"/>
      <c r="C12" s="27" t="s">
        <v>50</v>
      </c>
      <c r="D12" s="27" t="s">
        <v>49</v>
      </c>
      <c r="E12" s="13" t="s">
        <v>15</v>
      </c>
      <c r="F12" s="13" t="s">
        <v>33</v>
      </c>
      <c r="G12" s="7"/>
    </row>
    <row r="13" spans="1:9" ht="15" customHeight="1" x14ac:dyDescent="0.2">
      <c r="A13" s="58" t="s">
        <v>44</v>
      </c>
      <c r="B13" s="12" t="s">
        <v>43</v>
      </c>
      <c r="C13" s="11">
        <f>COUNTIFS(GeneDate,"&gt;="&amp;$I$2,GeneDate,"&lt;="&amp;$I$3,GeneMicroscope,"Pos*",GenePreviousHistory,"N*",GeneMTB,"*tive")</f>
        <v>0</v>
      </c>
      <c r="D13" s="11">
        <f>COUNTIFS(GeneDate,"&gt;="&amp;$I$2,GeneDate,"&lt;="&amp;$I$3,GeneMicroscope,"Pos*",GenePreviousHistory,"Y*",GeneMTB,"*tive")</f>
        <v>0</v>
      </c>
      <c r="E13" s="8">
        <f>COUNTIFS(GeneDate,"&gt;="&amp;$I$2,GeneDate,"&lt;="&amp;$I$3,GeneMicroscope,"Pos*",GenePreviousHistory,"Un*",GeneMTB,"*tive")</f>
        <v>0</v>
      </c>
      <c r="F13" s="8">
        <f>COUNTIFS(GeneDate,"&gt;="&amp;$I$2,GeneDate,"&lt;="&amp;$I$3,GeneMicroscope,"Pos*",GeneMTB,"*tive")</f>
        <v>0</v>
      </c>
      <c r="G13" s="48" t="str">
        <f>IF($F$9=SUM(F13:F15),"","Error! Possibly there were be Error or Missing information at Microscopy Result")</f>
        <v/>
      </c>
      <c r="H13" s="49"/>
      <c r="I13" s="10" t="str">
        <f t="shared" ref="I13:I19" si="0">IF(SUM(C13:E13)=F13,"","Check Total Vaue &amp; Category")</f>
        <v/>
      </c>
    </row>
    <row r="14" spans="1:9" x14ac:dyDescent="0.2">
      <c r="A14" s="59"/>
      <c r="B14" s="12" t="s">
        <v>42</v>
      </c>
      <c r="C14" s="11">
        <f>COUNTIFS(GeneDate,"&gt;="&amp;$I$2,GeneDate,"&lt;="&amp;$I$3,GeneMicroscope,"Neg*",GenePreviousHistory,"N*",GeneMTB,"*tive")</f>
        <v>0</v>
      </c>
      <c r="D14" s="11">
        <f>COUNTIFS(GeneDate,"&gt;="&amp;$I$2,GeneDate,"&lt;="&amp;$I$3,GeneMicroscope,"Neg*",GenePreviousHistory,"Y*",GeneMTB,"*tive")</f>
        <v>0</v>
      </c>
      <c r="E14" s="8">
        <f>COUNTIFS(GeneDate,"&gt;="&amp;$I$2,GeneDate,"&lt;="&amp;$I$3,GeneMicroscope,"Neg*",GenePreviousHistory,"Un*",GeneMTB,"*tive")</f>
        <v>0</v>
      </c>
      <c r="F14" s="8">
        <f>COUNTIFS(GeneDate,"&gt;="&amp;$I$2,GeneDate,"&lt;="&amp;$I$3,GeneMicroscope,"Neg*",GeneMTB,"*tive")</f>
        <v>0</v>
      </c>
      <c r="G14" s="48"/>
      <c r="H14" s="49"/>
      <c r="I14" s="10" t="str">
        <f t="shared" si="0"/>
        <v/>
      </c>
    </row>
    <row r="15" spans="1:9" x14ac:dyDescent="0.2">
      <c r="A15" s="60"/>
      <c r="B15" s="12" t="s">
        <v>41</v>
      </c>
      <c r="C15" s="11">
        <f>COUNTIFS(GeneDate,"&gt;="&amp;$I$2,GeneDate,"&lt;="&amp;$I$3,GeneMicroscope,"Not*",GenePreviousHistory,"N*",GeneMTB,"*tive")</f>
        <v>0</v>
      </c>
      <c r="D15" s="11">
        <f>COUNTIFS(GeneDate,"&gt;="&amp;$I$2,GeneDate,"&lt;="&amp;$I$3,GeneMicroscope,"Not*",GenePreviousHistory,"Y*",GeneMTB,"*tive")</f>
        <v>0</v>
      </c>
      <c r="E15" s="8">
        <f>COUNTIFS(GeneDate,"&gt;="&amp;$I$2,GeneDate,"&lt;="&amp;$I$3,GeneMicroscope,"Not*",GenePreviousHistory,"Un*",GeneMTB,"*tive")</f>
        <v>0</v>
      </c>
      <c r="F15" s="8">
        <f>COUNTIFS(GeneDate,"&gt;="&amp;$I$2,GeneDate,"&lt;="&amp;$I$3,GeneMicroscope,"Not*",GeneMTB,"*tive")</f>
        <v>0</v>
      </c>
      <c r="G15" s="48"/>
      <c r="H15" s="49"/>
      <c r="I15" s="10" t="str">
        <f t="shared" si="0"/>
        <v/>
      </c>
    </row>
    <row r="16" spans="1:9" x14ac:dyDescent="0.2">
      <c r="A16" s="57" t="s">
        <v>40</v>
      </c>
      <c r="B16" s="12" t="s">
        <v>13</v>
      </c>
      <c r="C16" s="11">
        <f>COUNTIFS(GeneDate,"&gt;="&amp;$I$2,GeneDate,"&lt;="&amp;$I$3,GenePreviousHistory,"N*",GeneMTB,"Neg*")</f>
        <v>0</v>
      </c>
      <c r="D16" s="11">
        <f>COUNTIFS(GeneDate,"&gt;="&amp;$I$2,GeneDate,"&lt;="&amp;$I$3,GenePreviousHistory,"Y*",GeneMTB,"Neg*")</f>
        <v>0</v>
      </c>
      <c r="E16" s="8">
        <f>F16-(C16+D16)</f>
        <v>0</v>
      </c>
      <c r="F16" s="8">
        <f>COUNTIFS(GeneDate,"&gt;="&amp;$I$2,GeneDate,"&lt;="&amp;$I$3,GeneMTB,"Neg*")</f>
        <v>0</v>
      </c>
      <c r="G16" s="48" t="str">
        <f>IF($F$9=SUM(F16:F19),"","Error! Cross information between Xpert result and treatment category are not match; possibly there will be Erorr or missing information on MTB result OR RIF result")</f>
        <v/>
      </c>
      <c r="H16" s="49"/>
      <c r="I16" s="10" t="str">
        <f t="shared" si="0"/>
        <v/>
      </c>
    </row>
    <row r="17" spans="1:9" x14ac:dyDescent="0.2">
      <c r="A17" s="57"/>
      <c r="B17" s="12" t="s">
        <v>39</v>
      </c>
      <c r="C17" s="11">
        <f>COUNTIFS(GeneDate,"&gt;="&amp;$I$2,GeneDate,"&lt;="&amp;$I$3,GenePreviousHistory,"N*",GeneMTB,"Pos*",GeneRif,"Neg*")</f>
        <v>0</v>
      </c>
      <c r="D17" s="11">
        <f>COUNTIFS(GeneDate,"&gt;="&amp;$I$2,GeneDate,"&lt;="&amp;$I$3,GenePreviousHistory,"Y*",GeneMTB,"Pos*",GeneRif,"Neg*")</f>
        <v>0</v>
      </c>
      <c r="E17" s="8">
        <f>F17-(C17+D17)</f>
        <v>0</v>
      </c>
      <c r="F17" s="8">
        <f>COUNTIFS(GeneDate,"&gt;="&amp;$I$2,GeneDate,"&lt;="&amp;$I$3,GeneMTB,"Pos*",GeneRif,"Neg*")</f>
        <v>0</v>
      </c>
      <c r="G17" s="48"/>
      <c r="H17" s="49"/>
      <c r="I17" s="10" t="str">
        <f t="shared" si="0"/>
        <v/>
      </c>
    </row>
    <row r="18" spans="1:9" x14ac:dyDescent="0.2">
      <c r="A18" s="57"/>
      <c r="B18" s="12" t="s">
        <v>38</v>
      </c>
      <c r="C18" s="11">
        <f>COUNTIFS(GeneDate,"&gt;="&amp;$I$2,GeneDate,"&lt;="&amp;$I$3,GenePreviousHistory,"N*",GeneMTB,"Pos*",GeneRif,"Pos*")</f>
        <v>0</v>
      </c>
      <c r="D18" s="11">
        <f>COUNTIFS(GeneDate,"&gt;="&amp;$I$2,GeneDate,"&lt;="&amp;$I$3,GenePreviousHistory,"Y*",GeneMTB,"Pos*",GeneRif,"Pos*")</f>
        <v>0</v>
      </c>
      <c r="E18" s="8">
        <f>F18-(C18+D18)</f>
        <v>0</v>
      </c>
      <c r="F18" s="8">
        <f>COUNTIFS(GeneDate,"&gt;="&amp;$I$2,GeneDate,"&lt;="&amp;$I$3,GeneMTB,"Pos*",GeneRif,"Pos*")</f>
        <v>0</v>
      </c>
      <c r="G18" s="48"/>
      <c r="H18" s="49"/>
      <c r="I18" s="10" t="str">
        <f t="shared" si="0"/>
        <v/>
      </c>
    </row>
    <row r="19" spans="1:9" x14ac:dyDescent="0.2">
      <c r="A19" s="57"/>
      <c r="B19" s="12" t="s">
        <v>48</v>
      </c>
      <c r="C19" s="11">
        <f>COUNTIFS(GeneDate,"&gt;="&amp;$I$2,GeneDate,"&lt;="&amp;$I$3,GenePreviousHistory,"N*",GeneMTB,"Pos*",GeneRif,"IND*")</f>
        <v>0</v>
      </c>
      <c r="D19" s="11">
        <f>COUNTIFS(GeneDate,"&gt;="&amp;$I$2,GeneDate,"&lt;="&amp;$I$3,GenePreviousHistory,"Y*",GeneMTB,"Pos*",GeneRif,"IND*")</f>
        <v>0</v>
      </c>
      <c r="E19" s="8">
        <f>F19-(C19+D19)</f>
        <v>0</v>
      </c>
      <c r="F19" s="8">
        <f>COUNTIFS(GeneDate,"&gt;="&amp;$I$2,GeneDate,"&lt;="&amp;$I$3,GeneMTB,"Pos*",GeneRif,"IND*")</f>
        <v>0</v>
      </c>
      <c r="G19" s="48"/>
      <c r="H19" s="49"/>
      <c r="I19" s="10" t="str">
        <f t="shared" si="0"/>
        <v/>
      </c>
    </row>
    <row r="20" spans="1:9" ht="12" customHeight="1" x14ac:dyDescent="0.2">
      <c r="E20" s="7"/>
      <c r="F20" s="7"/>
      <c r="G20" s="7"/>
    </row>
    <row r="21" spans="1:9" x14ac:dyDescent="0.2">
      <c r="A21" s="2" t="s">
        <v>47</v>
      </c>
      <c r="E21" s="7"/>
      <c r="F21" s="7"/>
      <c r="G21" s="7"/>
    </row>
    <row r="22" spans="1:9" ht="30" x14ac:dyDescent="0.2">
      <c r="A22" s="12"/>
      <c r="B22" s="12"/>
      <c r="C22" s="14" t="s">
        <v>46</v>
      </c>
      <c r="D22" s="14" t="s">
        <v>45</v>
      </c>
      <c r="E22" s="13" t="s">
        <v>15</v>
      </c>
      <c r="F22" s="13" t="s">
        <v>33</v>
      </c>
      <c r="G22" s="7"/>
    </row>
    <row r="23" spans="1:9" ht="15" customHeight="1" x14ac:dyDescent="0.2">
      <c r="A23" s="58" t="s">
        <v>44</v>
      </c>
      <c r="B23" s="12" t="s">
        <v>43</v>
      </c>
      <c r="C23" s="11">
        <f>COUNTIFS(GeneDate,"&gt;="&amp;$I$2,GeneDate,"&lt;="&amp;$I$3,GeneMicroscope,"Pos*",GeneHIV,"Pos*",GeneMTB,"*tive")</f>
        <v>0</v>
      </c>
      <c r="D23" s="11">
        <f>COUNTIFS(GeneDate,"&gt;="&amp;$I$2,GeneDate,"&lt;="&amp;$I$3,GeneMicroscope,"Pos*",GeneHIV,"Neg*",GeneMTB,"*tive")</f>
        <v>0</v>
      </c>
      <c r="E23" s="8">
        <f>COUNTIFS(GeneDate,"&gt;="&amp;$I$2,GeneDate,"&lt;="&amp;$I$3,GeneMicroscope,"Pos*",GeneHIV,"Un*",GeneMTB,"*tive")</f>
        <v>0</v>
      </c>
      <c r="F23" s="8">
        <f>COUNTIFS(GeneDate,"&gt;="&amp;$I$2,GeneDate,"&lt;="&amp;$I$3,GeneMicroscope,"Pos*",GeneMTB,"*tive")</f>
        <v>0</v>
      </c>
      <c r="G23" s="48" t="str">
        <f>IF($F$9=SUM(F23:F25),"","Error! Cross information between Microscope Result and HIV Status are not match; possibly there will be Erorr or missing information on Microscope Result OR HIV Status")</f>
        <v/>
      </c>
      <c r="H23" s="49"/>
      <c r="I23" s="10" t="str">
        <f t="shared" ref="I23:I29" si="1">IF(SUM(C23:E23)=F23,"","Check Total Vaue &amp; Category")</f>
        <v/>
      </c>
    </row>
    <row r="24" spans="1:9" x14ac:dyDescent="0.2">
      <c r="A24" s="59"/>
      <c r="B24" s="12" t="s">
        <v>42</v>
      </c>
      <c r="C24" s="11">
        <f>COUNTIFS(GeneDate,"&gt;="&amp;$I$2,GeneDate,"&lt;="&amp;$I$3,GeneMicroscope,"Neg*",GeneHIV,"Pos*",GeneMTB,"*tive")</f>
        <v>0</v>
      </c>
      <c r="D24" s="11">
        <f>COUNTIFS(GeneDate,"&gt;="&amp;$I$2,GeneDate,"&lt;="&amp;$I$3,GeneMicroscope,"Neg*",GeneHIV,"Neg*",GeneMTB,"*tive")</f>
        <v>0</v>
      </c>
      <c r="E24" s="8">
        <f>COUNTIFS(GeneDate,"&gt;="&amp;$I$2,GeneDate,"&lt;="&amp;$I$3,GeneMicroscope,"Neg*",GeneHIV,"Un*",GeneMTB,"*tive")</f>
        <v>0</v>
      </c>
      <c r="F24" s="8">
        <f>COUNTIFS(GeneDate,"&gt;="&amp;$I$2,GeneDate,"&lt;="&amp;$I$3,GeneMicroscope,"Neg*",GeneMTB,"*tive")</f>
        <v>0</v>
      </c>
      <c r="G24" s="48"/>
      <c r="H24" s="49"/>
      <c r="I24" s="10" t="str">
        <f t="shared" si="1"/>
        <v/>
      </c>
    </row>
    <row r="25" spans="1:9" x14ac:dyDescent="0.2">
      <c r="A25" s="60"/>
      <c r="B25" s="12" t="s">
        <v>41</v>
      </c>
      <c r="C25" s="11">
        <f>COUNTIFS(GeneDate,"&gt;="&amp;$I$2,GeneDate,"&lt;="&amp;$I$3,GeneMicroscope,"Not*",GeneHIV,"Pos*",GeneMTB,"*tive")</f>
        <v>0</v>
      </c>
      <c r="D25" s="11">
        <f>COUNTIFS(GeneDate,"&gt;="&amp;$I$2,GeneDate,"&lt;="&amp;$I$3,GeneMicroscope,"Not*",GeneHIV,"Neg*",GeneMTB,"*tive")</f>
        <v>0</v>
      </c>
      <c r="E25" s="8">
        <f>COUNTIFS(GeneDate,"&gt;="&amp;$I$2,GeneDate,"&lt;="&amp;$I$3,GeneMicroscope,"Not*",GeneHIV,"Un*",GeneMTB,"*tive")</f>
        <v>0</v>
      </c>
      <c r="F25" s="8">
        <f>COUNTIFS(GeneDate,"&gt;="&amp;$I$2,GeneDate,"&lt;="&amp;$I$3,GeneMicroscope,"Not*",GeneMTB,"*tive")</f>
        <v>0</v>
      </c>
      <c r="G25" s="48"/>
      <c r="H25" s="49"/>
      <c r="I25" s="10" t="str">
        <f t="shared" si="1"/>
        <v/>
      </c>
    </row>
    <row r="26" spans="1:9" x14ac:dyDescent="0.2">
      <c r="A26" s="57" t="s">
        <v>40</v>
      </c>
      <c r="B26" s="12" t="s">
        <v>13</v>
      </c>
      <c r="C26" s="11">
        <f>COUNTIFS(GeneDate,"&gt;="&amp;$I$2,GeneDate,"&lt;="&amp;$I$3,GeneHIV,"Pos*",GeneMTB,"Neg*")</f>
        <v>0</v>
      </c>
      <c r="D26" s="11">
        <f>COUNTIFS(GeneDate,"&gt;="&amp;$I$2,GeneDate,"&lt;="&amp;$I$3,GeneHIV,"Neg*",GeneMTB,"Neg*")</f>
        <v>0</v>
      </c>
      <c r="E26" s="8">
        <f>COUNTIFS(GeneDate,"&gt;="&amp;$I$2,GeneDate,"&lt;="&amp;$I$3,GeneHIV,"Un*",GeneMTB,"Neg*")</f>
        <v>0</v>
      </c>
      <c r="F26" s="8">
        <f>COUNTIFS(GeneDate,"&gt;="&amp;$I$2,GeneDate,"&lt;="&amp;$I$3,GeneMTB,"*tive",GeneMTB,"Neg*")</f>
        <v>0</v>
      </c>
      <c r="G26" s="48" t="str">
        <f>IF($F$9=SUM(F26:F29),"","Error! Cross information between Xpert result and HIV Status are not match; possibly there will be Erorr or missing information on MTB result OR HIV Status")</f>
        <v/>
      </c>
      <c r="H26" s="49"/>
      <c r="I26" s="10" t="str">
        <f t="shared" si="1"/>
        <v/>
      </c>
    </row>
    <row r="27" spans="1:9" x14ac:dyDescent="0.2">
      <c r="A27" s="57"/>
      <c r="B27" s="12" t="s">
        <v>39</v>
      </c>
      <c r="C27" s="11">
        <f>COUNTIFS(GeneDate,"&gt;="&amp;$I$2,GeneDate,"&lt;="&amp;$I$3,GeneHIV,"Pos*",GeneMTB,"Pos*",GeneRif,"Neg*")</f>
        <v>0</v>
      </c>
      <c r="D27" s="11">
        <f>COUNTIFS(GeneDate,"&gt;="&amp;$I$2,GeneDate,"&lt;="&amp;$I$3,GeneHIV,"Neg*",GeneMTB,"Pos*",GeneRif,"Neg*")</f>
        <v>0</v>
      </c>
      <c r="E27" s="8">
        <f>COUNTIFS(GeneDate,"&gt;="&amp;$I$2,GeneDate,"&lt;="&amp;$I$3,GeneHIV,"Un*",GeneMTB,"Pos*",GeneRif,"Neg*")</f>
        <v>0</v>
      </c>
      <c r="F27" s="8">
        <f>COUNTIFS(GeneDate,"&gt;="&amp;$I$2,GeneDate,"&lt;="&amp;$I$3,GeneMTB,"Pos*",GeneRif,"Neg*")</f>
        <v>0</v>
      </c>
      <c r="G27" s="48"/>
      <c r="H27" s="49"/>
      <c r="I27" s="10" t="str">
        <f t="shared" si="1"/>
        <v/>
      </c>
    </row>
    <row r="28" spans="1:9" x14ac:dyDescent="0.2">
      <c r="A28" s="57"/>
      <c r="B28" s="12" t="s">
        <v>38</v>
      </c>
      <c r="C28" s="11">
        <f>COUNTIFS(GeneDate,"&gt;="&amp;$I$2,GeneDate,"&lt;="&amp;$I$3,GeneHIV,"Pos*",GeneMTB,"Pos*",GeneRif,"Pos*")</f>
        <v>0</v>
      </c>
      <c r="D28" s="11">
        <f>COUNTIFS(GeneDate,"&gt;="&amp;$I$2,GeneDate,"&lt;="&amp;$I$3,GeneHIV,"Neg*",GeneMTB,"Pos*",GeneRif,"Pos*")</f>
        <v>0</v>
      </c>
      <c r="E28" s="8">
        <f>COUNTIFS(GeneDate,"&gt;="&amp;$I$2,GeneDate,"&lt;="&amp;$I$3,GeneHIV,"Un*",GeneMTB,"Pos*",GeneRif,"Pos*")</f>
        <v>0</v>
      </c>
      <c r="F28" s="8">
        <f>COUNTIFS(GeneDate,"&gt;="&amp;$I$2,GeneDate,"&lt;="&amp;$I$3,GeneMTB,"Pos*",GeneRif,"Pos*")</f>
        <v>0</v>
      </c>
      <c r="G28" s="48"/>
      <c r="H28" s="49"/>
      <c r="I28" s="10" t="str">
        <f t="shared" si="1"/>
        <v/>
      </c>
    </row>
    <row r="29" spans="1:9" x14ac:dyDescent="0.2">
      <c r="A29" s="57"/>
      <c r="B29" s="12" t="s">
        <v>37</v>
      </c>
      <c r="C29" s="11">
        <f>COUNTIFS(GeneDate,"&gt;="&amp;$I$2,GeneDate,"&lt;="&amp;$I$3,GeneHIV,"Pos*",GeneMTB,"Pos*",GeneRif,"IND*")</f>
        <v>0</v>
      </c>
      <c r="D29" s="11">
        <f>COUNTIFS(GeneDate,"&gt;="&amp;$I$2,GeneDate,"&lt;="&amp;$I$3,GeneHIV,"Neg*",GeneMTB,"Pos*",GeneRif,"IND*")</f>
        <v>0</v>
      </c>
      <c r="E29" s="8">
        <f>COUNTIFS(GeneDate,"&gt;="&amp;$I$2,GeneDate,"&lt;="&amp;$I$3,GeneHIV,"Un*",GeneMTB,"Pos*",GeneRif,"IND*")</f>
        <v>0</v>
      </c>
      <c r="F29" s="8">
        <f>COUNTIFS(GeneDate,"&gt;="&amp;$I$2,GeneDate,"&lt;="&amp;$I$3,GeneMTB,"Pos*",GeneRif,"IND*")</f>
        <v>0</v>
      </c>
      <c r="G29" s="48"/>
      <c r="H29" s="49"/>
      <c r="I29" s="10" t="str">
        <f t="shared" si="1"/>
        <v/>
      </c>
    </row>
    <row r="30" spans="1:9" ht="12" customHeight="1" x14ac:dyDescent="0.2">
      <c r="E30" s="7"/>
      <c r="F30" s="7"/>
      <c r="G30" s="7"/>
    </row>
    <row r="31" spans="1:9" x14ac:dyDescent="0.2">
      <c r="A31" s="4"/>
      <c r="B31" s="25"/>
      <c r="C31" s="61" t="s">
        <v>14</v>
      </c>
      <c r="D31" s="62"/>
      <c r="E31" s="61" t="s">
        <v>16</v>
      </c>
      <c r="F31" s="62"/>
      <c r="G31" s="9" t="s">
        <v>33</v>
      </c>
    </row>
    <row r="32" spans="1:9" x14ac:dyDescent="0.2">
      <c r="A32" s="24" t="s">
        <v>62</v>
      </c>
      <c r="B32" s="24"/>
      <c r="C32" s="61">
        <f>COUNTIFS(GeneDate,"&gt;="&amp;$I$2,GeneDate,"&lt;="&amp;$I$3,GeneMTB,"Pos*",GeneRif,"Pos*",GeneSex,"Male")</f>
        <v>0</v>
      </c>
      <c r="D32" s="62"/>
      <c r="E32" s="64">
        <f>COUNTIFS(GeneDate,"&gt;="&amp;$I$2,GeneDate,"&lt;="&amp;$I$3,GeneMTB,"Pos*",GeneRif,"Pos*",GeneSex,"Female")</f>
        <v>0</v>
      </c>
      <c r="F32" s="65"/>
      <c r="G32" s="8">
        <f>COUNTIFS(GeneDate,"&gt;="&amp;$I$2,GeneDate,"&lt;="&amp;$I$3,GeneMTB,"Pos*",GeneRif,"Pos*")</f>
        <v>0</v>
      </c>
    </row>
    <row r="33" spans="1:10" ht="12" customHeight="1" x14ac:dyDescent="0.2">
      <c r="E33" s="7"/>
      <c r="F33" s="7"/>
      <c r="G33" s="7"/>
    </row>
    <row r="34" spans="1:10" x14ac:dyDescent="0.2">
      <c r="A34" s="2" t="s">
        <v>36</v>
      </c>
      <c r="E34" s="7"/>
      <c r="F34" s="7"/>
      <c r="G34" s="7"/>
    </row>
    <row r="35" spans="1:10" x14ac:dyDescent="0.2">
      <c r="A35" s="61"/>
      <c r="B35" s="62"/>
      <c r="C35" s="61" t="s">
        <v>35</v>
      </c>
      <c r="D35" s="62"/>
      <c r="E35" s="64" t="s">
        <v>34</v>
      </c>
      <c r="F35" s="65"/>
      <c r="G35" s="9" t="s">
        <v>33</v>
      </c>
    </row>
    <row r="36" spans="1:10" x14ac:dyDescent="0.2">
      <c r="A36" s="50" t="s">
        <v>32</v>
      </c>
      <c r="B36" s="50"/>
      <c r="C36" s="51">
        <f>COUNTIFS(GeneDate,"&gt;="&amp;$I$2,GeneDate,"&lt;="&amp;$I$3,GeneMTB,"Pos*",GeneMicroscope,"Pos*")</f>
        <v>0</v>
      </c>
      <c r="D36" s="52"/>
      <c r="E36" s="53">
        <f>COUNTIFS(GeneDate,"&gt;="&amp;$I$2,GeneDate,"&lt;="&amp;$I$3,GeneMTB,"Neg*",GeneMicroscope,"Pos*")</f>
        <v>0</v>
      </c>
      <c r="F36" s="54"/>
      <c r="G36" s="8">
        <f>COUNTIFS(GeneDate,"&gt;="&amp;$I$2,GeneDate,"&lt;="&amp;$I$3,GeneMicroscope,"Pos*",GeneMTB,"*tive")</f>
        <v>0</v>
      </c>
      <c r="H36" s="55" t="str">
        <f>IF($F$9=SUM(G36:G38),"","Error! Cross information between Xpert result and Microscope result are not match; possibly there will be Erorr or missing information on MTB result OR Microscope result")</f>
        <v/>
      </c>
      <c r="I36" s="56"/>
      <c r="J36" s="2" t="str">
        <f>IF(SUM(C36:F36)=G36,"","Check Total Vaue &amp; Category")</f>
        <v/>
      </c>
    </row>
    <row r="37" spans="1:10" x14ac:dyDescent="0.2">
      <c r="A37" s="50" t="s">
        <v>31</v>
      </c>
      <c r="B37" s="50"/>
      <c r="C37" s="51">
        <f>COUNTIFS(GeneDate,"&gt;="&amp;$I$2,GeneDate,"&lt;="&amp;$I$3,GeneMTB,"Pos*",GeneMicroscope,"Neg*")</f>
        <v>0</v>
      </c>
      <c r="D37" s="52"/>
      <c r="E37" s="53">
        <f>COUNTIFS(GeneDate,"&gt;="&amp;$I$2,GeneDate,"&lt;="&amp;$I$3,GeneMTB,"Neg*",GeneMicroscope,"Neg*")</f>
        <v>0</v>
      </c>
      <c r="F37" s="54"/>
      <c r="G37" s="8">
        <f>COUNTIFS(GeneDate,"&gt;="&amp;$I$2,GeneDate,"&lt;="&amp;$I$3,GeneMicroscope,"Neg*",GeneMTB,"*tive")</f>
        <v>0</v>
      </c>
      <c r="H37" s="55"/>
      <c r="I37" s="56"/>
      <c r="J37" s="2" t="str">
        <f>IF(SUM(C37:F37)=G37,"","Check Total Vaue &amp; Category")</f>
        <v/>
      </c>
    </row>
    <row r="38" spans="1:10" x14ac:dyDescent="0.2">
      <c r="A38" s="50" t="s">
        <v>30</v>
      </c>
      <c r="B38" s="50"/>
      <c r="C38" s="51">
        <f>COUNTIFS(GeneDate,"&gt;="&amp;$I$2,GeneDate,"&lt;="&amp;$I$3,GeneMTB,"Pos*",GeneMicroscope,"Not*")</f>
        <v>0</v>
      </c>
      <c r="D38" s="52"/>
      <c r="E38" s="53">
        <f>COUNTIFS(GeneDate,"&gt;="&amp;$I$2,GeneDate,"&lt;="&amp;$I$3,GeneMTB,"Neg*",GeneMicroscope,"Not*")</f>
        <v>0</v>
      </c>
      <c r="F38" s="54"/>
      <c r="G38" s="8">
        <f>COUNTIFS(GeneDate,"&gt;="&amp;$I$2,GeneDate,"&lt;="&amp;$I$3,GeneMTB,"*tive",GeneMicroscope,"Not*")</f>
        <v>0</v>
      </c>
      <c r="H38" s="55"/>
      <c r="I38" s="56"/>
      <c r="J38" s="2" t="str">
        <f>IF(SUM(C38:F38)=G38,"","Check Total Vaue &amp; Category")</f>
        <v/>
      </c>
    </row>
    <row r="39" spans="1:10" ht="12" customHeight="1" x14ac:dyDescent="0.2">
      <c r="D39" s="2" t="str">
        <f>IF(SUM(C36:D38)=SUM(F27:F29),"","Error")</f>
        <v/>
      </c>
      <c r="E39" s="7"/>
      <c r="F39" s="7"/>
      <c r="G39" s="7"/>
    </row>
    <row r="40" spans="1:10" x14ac:dyDescent="0.2">
      <c r="A40" s="2" t="s">
        <v>29</v>
      </c>
    </row>
    <row r="41" spans="1:10" x14ac:dyDescent="0.2">
      <c r="A41" s="66"/>
      <c r="B41" s="66"/>
      <c r="C41" s="61" t="s">
        <v>28</v>
      </c>
      <c r="D41" s="62"/>
      <c r="E41" s="66" t="s">
        <v>27</v>
      </c>
      <c r="F41" s="66"/>
    </row>
    <row r="42" spans="1:10" x14ac:dyDescent="0.2">
      <c r="A42" s="50" t="s">
        <v>26</v>
      </c>
      <c r="B42" s="50"/>
      <c r="C42" s="51"/>
      <c r="D42" s="52"/>
      <c r="E42" s="67"/>
      <c r="F42" s="67"/>
    </row>
    <row r="43" spans="1:10" x14ac:dyDescent="0.2">
      <c r="A43" s="50" t="s">
        <v>25</v>
      </c>
      <c r="B43" s="50"/>
      <c r="C43" s="51"/>
      <c r="D43" s="52"/>
      <c r="E43" s="67" t="s">
        <v>24</v>
      </c>
      <c r="F43" s="67"/>
    </row>
    <row r="44" spans="1:10" x14ac:dyDescent="0.2">
      <c r="A44" s="50" t="s">
        <v>23</v>
      </c>
      <c r="B44" s="50"/>
      <c r="C44" s="68">
        <f>C46+F9+C47</f>
        <v>0</v>
      </c>
      <c r="D44" s="69"/>
      <c r="E44" s="67"/>
      <c r="F44" s="67"/>
      <c r="G44" s="6"/>
    </row>
    <row r="45" spans="1:10" x14ac:dyDescent="0.2">
      <c r="A45" s="50" t="s">
        <v>22</v>
      </c>
      <c r="B45" s="50"/>
      <c r="C45" s="68">
        <f>SUM(C42+C43)-C44</f>
        <v>0</v>
      </c>
      <c r="D45" s="69"/>
      <c r="E45" s="67"/>
      <c r="F45" s="67"/>
    </row>
    <row r="46" spans="1:10" x14ac:dyDescent="0.2">
      <c r="A46" s="5" t="s">
        <v>21</v>
      </c>
      <c r="B46" s="5"/>
      <c r="C46" s="23">
        <f>COUNTIFS(GeneDate,"&gt;="&amp;$I$2,GeneDate,"&lt;="&amp;$I$3,GeneMTB,"Error")+COUNTIFS(GeneDate,"&gt;="&amp;$I$2,GeneDate,"&lt;="&amp;$I$3,GeneMTB,"Invalid")+COUNTIFS(GeneDate,"&gt;="&amp;$I$2,GeneDate,"&lt;="&amp;$I$3,GeneMTB,"*Result*")</f>
        <v>0</v>
      </c>
    </row>
    <row r="47" spans="1:10" x14ac:dyDescent="0.2">
      <c r="A47" s="5" t="s">
        <v>63</v>
      </c>
      <c r="C47" s="5">
        <v>0</v>
      </c>
    </row>
    <row r="49" spans="5:7" x14ac:dyDescent="0.2">
      <c r="E49" s="2" t="s">
        <v>20</v>
      </c>
      <c r="F49" s="4"/>
      <c r="G49" s="4"/>
    </row>
    <row r="50" spans="5:7" x14ac:dyDescent="0.2">
      <c r="E50" s="2" t="s">
        <v>19</v>
      </c>
      <c r="F50" s="3"/>
      <c r="G50" s="3"/>
    </row>
    <row r="51" spans="5:7" x14ac:dyDescent="0.2">
      <c r="E51" s="2" t="s">
        <v>18</v>
      </c>
      <c r="F51" s="3"/>
      <c r="G51" s="3"/>
    </row>
    <row r="52" spans="5:7" x14ac:dyDescent="0.2">
      <c r="E52" s="2" t="s">
        <v>17</v>
      </c>
      <c r="F52" s="3"/>
      <c r="G52" s="3"/>
    </row>
  </sheetData>
  <sheetProtection algorithmName="SHA-512" hashValue="0eHuBXcw1OMxxll4/55mMfBNAiXNp7h8iEinzCc8G6ZSKTVToVSDOd+Tvz3m5AUueBTt1kkAtB8TmXycVCirzw==" saltValue="kOqaeVHrCgfXvcGeiPpLbA==" spinCount="100000" sheet="1" objects="1" scenarios="1"/>
  <protectedRanges>
    <protectedRange sqref="B4" name="Range3"/>
    <protectedRange sqref="I2:I3" name="Range2"/>
    <protectedRange sqref="C42:F43 C45 E44:F45 C47" name="Range1"/>
  </protectedRanges>
  <mergeCells count="45">
    <mergeCell ref="A45:B45"/>
    <mergeCell ref="C45:D45"/>
    <mergeCell ref="E45:F45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6:B36"/>
    <mergeCell ref="C36:D36"/>
    <mergeCell ref="E36:F36"/>
    <mergeCell ref="H36:I38"/>
    <mergeCell ref="A37:B37"/>
    <mergeCell ref="C37:D37"/>
    <mergeCell ref="E37:F37"/>
    <mergeCell ref="A38:B38"/>
    <mergeCell ref="C38:D38"/>
    <mergeCell ref="E38:F38"/>
    <mergeCell ref="C31:D31"/>
    <mergeCell ref="E31:F31"/>
    <mergeCell ref="C32:D32"/>
    <mergeCell ref="E32:F32"/>
    <mergeCell ref="A35:B35"/>
    <mergeCell ref="C35:D35"/>
    <mergeCell ref="E35:F35"/>
    <mergeCell ref="A26:A29"/>
    <mergeCell ref="G26:H29"/>
    <mergeCell ref="A1:F1"/>
    <mergeCell ref="A7:A8"/>
    <mergeCell ref="B7:C7"/>
    <mergeCell ref="D7:E7"/>
    <mergeCell ref="F7:F8"/>
    <mergeCell ref="A13:A15"/>
    <mergeCell ref="G13:H15"/>
    <mergeCell ref="A16:A19"/>
    <mergeCell ref="G16:H19"/>
    <mergeCell ref="A23:A25"/>
    <mergeCell ref="G23:H25"/>
  </mergeCells>
  <conditionalFormatting sqref="G13">
    <cfRule type="notContainsBlanks" dxfId="53" priority="6">
      <formula>LEN(TRIM(G13))&gt;0</formula>
    </cfRule>
  </conditionalFormatting>
  <conditionalFormatting sqref="G16">
    <cfRule type="notContainsBlanks" dxfId="52" priority="5">
      <formula>LEN(TRIM(G16))&gt;0</formula>
    </cfRule>
  </conditionalFormatting>
  <conditionalFormatting sqref="G23">
    <cfRule type="notContainsBlanks" dxfId="51" priority="4">
      <formula>LEN(TRIM(G23))&gt;0</formula>
    </cfRule>
  </conditionalFormatting>
  <conditionalFormatting sqref="G26">
    <cfRule type="notContainsBlanks" dxfId="50" priority="3">
      <formula>LEN(TRIM(G26))&gt;0</formula>
    </cfRule>
  </conditionalFormatting>
  <conditionalFormatting sqref="H36">
    <cfRule type="notContainsBlanks" dxfId="49" priority="2">
      <formula>LEN(TRIM(H36))&gt;0</formula>
    </cfRule>
  </conditionalFormatting>
  <conditionalFormatting sqref="I13:I19 I23:I29 J36:J38">
    <cfRule type="notContainsBlanks" dxfId="48" priority="1">
      <formula>LEN(TRIM(I13))&gt;0</formula>
    </cfRule>
  </conditionalFormatting>
  <pageMargins left="0.7" right="0.5" top="0.5" bottom="0.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J52"/>
  <sheetViews>
    <sheetView topLeftCell="A17" workbookViewId="0">
      <selection activeCell="F49" sqref="F49"/>
    </sheetView>
  </sheetViews>
  <sheetFormatPr baseColWidth="10" defaultColWidth="9.1640625" defaultRowHeight="15" x14ac:dyDescent="0.2"/>
  <cols>
    <col min="1" max="1" width="14" style="2" customWidth="1"/>
    <col min="2" max="2" width="25.1640625" style="2" bestFit="1" customWidth="1"/>
    <col min="3" max="3" width="9.1640625" style="2" customWidth="1"/>
    <col min="4" max="4" width="12.33203125" style="2" bestFit="1" customWidth="1"/>
    <col min="5" max="7" width="9.6640625" style="2" customWidth="1"/>
    <col min="8" max="8" width="20.33203125" style="2" customWidth="1"/>
    <col min="9" max="9" width="20.6640625" style="2" customWidth="1"/>
    <col min="10" max="10" width="14.5" style="2" customWidth="1"/>
    <col min="11" max="16384" width="9.1640625" style="2"/>
  </cols>
  <sheetData>
    <row r="1" spans="1:9" ht="19" x14ac:dyDescent="0.25">
      <c r="A1" s="63" t="s">
        <v>60</v>
      </c>
      <c r="B1" s="63"/>
      <c r="C1" s="63"/>
      <c r="D1" s="63"/>
      <c r="E1" s="63"/>
      <c r="F1" s="63"/>
      <c r="I1" s="16" t="s">
        <v>59</v>
      </c>
    </row>
    <row r="2" spans="1:9" ht="16" x14ac:dyDescent="0.2">
      <c r="H2" s="16" t="s">
        <v>58</v>
      </c>
      <c r="I2" s="28">
        <v>42583.000011574099</v>
      </c>
    </row>
    <row r="3" spans="1:9" ht="16" x14ac:dyDescent="0.2">
      <c r="A3" s="2" t="s">
        <v>57</v>
      </c>
      <c r="C3" s="18" t="str">
        <f>IF(MONTH($I$2)=1,"January",IF(MONTH($I$2)=2,"February",IF(MONTH($I$2)=3,"March",IF(MONTH($I$2)=4,"April",IF(MONTH($I$2)=5,"May",IF(MONTH($I$2)=6,"June",IF(MONTH($I$2)=7,"July",IF(MONTH($I$2)=8,"Auguest",IF(MONTH($I$2)=9,"September",IF(MONTH($I$2)=10,"October",IF(MONTH($I$2)=11,"November",IF(MONTH($I$2)=12,"December",A3))))))))))))</f>
        <v>Auguest</v>
      </c>
      <c r="E3" s="2" t="s">
        <v>56</v>
      </c>
      <c r="F3" s="17">
        <f>YEAR($I$2)</f>
        <v>2016</v>
      </c>
      <c r="H3" s="16" t="s">
        <v>55</v>
      </c>
      <c r="I3" s="28">
        <v>42613.999988425901</v>
      </c>
    </row>
    <row r="4" spans="1:9" x14ac:dyDescent="0.2">
      <c r="A4" s="2" t="s">
        <v>54</v>
      </c>
    </row>
    <row r="6" spans="1:9" x14ac:dyDescent="0.2">
      <c r="A6" s="2" t="s">
        <v>53</v>
      </c>
    </row>
    <row r="7" spans="1:9" x14ac:dyDescent="0.2">
      <c r="A7" s="66"/>
      <c r="B7" s="66" t="s">
        <v>14</v>
      </c>
      <c r="C7" s="66"/>
      <c r="D7" s="66" t="s">
        <v>16</v>
      </c>
      <c r="E7" s="66"/>
      <c r="F7" s="57" t="s">
        <v>33</v>
      </c>
    </row>
    <row r="8" spans="1:9" x14ac:dyDescent="0.2">
      <c r="A8" s="66"/>
      <c r="B8" s="27" t="s">
        <v>52</v>
      </c>
      <c r="C8" s="27" t="s">
        <v>61</v>
      </c>
      <c r="D8" s="27" t="s">
        <v>52</v>
      </c>
      <c r="E8" s="27" t="s">
        <v>61</v>
      </c>
      <c r="F8" s="57"/>
    </row>
    <row r="9" spans="1:9" x14ac:dyDescent="0.2">
      <c r="A9" s="12"/>
      <c r="B9" s="11">
        <f>COUNTIFS(GeneDate,"&gt;="&amp;$I$2,GeneDate,"&lt;="&amp;$I$3,GeneAge,"&lt;15",GeneSex,"Male",GeneMTB,"*tive")</f>
        <v>0</v>
      </c>
      <c r="C9" s="11">
        <f>COUNTIFS(GeneDate,"&gt;="&amp;$I$2,GeneDate,"&lt;="&amp;$I$3,GeneAge,"&gt;=15",GeneSex,"M*",GeneMTB,"*tive")</f>
        <v>0</v>
      </c>
      <c r="D9" s="11">
        <f>COUNTIFS(GeneDate,"&gt;="&amp;$I$2,GeneDate,"&lt;="&amp;$I$3,GeneAge,"&lt;15",GeneSex,"F*",GeneMTB,"*tive")</f>
        <v>0</v>
      </c>
      <c r="E9" s="8">
        <f>COUNTIFS(GeneDate,"&gt;="&amp;$I$2,GeneDate,"&lt;="&amp;$I$3,GeneAge,"&gt;=15",GeneSex,"F*",GeneMTB,"*tive")</f>
        <v>0</v>
      </c>
      <c r="F9" s="8">
        <f>COUNTIFS(GeneDate,"&gt;="&amp;$I$2,GeneDate,"&lt;="&amp;$I$3,GeneMTB,"*tive")</f>
        <v>0</v>
      </c>
      <c r="G9" s="7" t="str">
        <f>IF(SUM(B9:E9)=F9,"","Check Total Vaue &amp; Category")</f>
        <v/>
      </c>
      <c r="H9" s="26"/>
    </row>
    <row r="10" spans="1:9" ht="12" customHeight="1" x14ac:dyDescent="0.2">
      <c r="B10" s="19"/>
      <c r="E10" s="7"/>
      <c r="F10" s="7"/>
      <c r="G10" s="7"/>
    </row>
    <row r="11" spans="1:9" x14ac:dyDescent="0.2">
      <c r="A11" s="2" t="s">
        <v>51</v>
      </c>
      <c r="E11" s="7"/>
      <c r="F11" s="7"/>
      <c r="G11" s="7"/>
    </row>
    <row r="12" spans="1:9" x14ac:dyDescent="0.2">
      <c r="A12" s="12"/>
      <c r="B12" s="12"/>
      <c r="C12" s="27" t="s">
        <v>50</v>
      </c>
      <c r="D12" s="27" t="s">
        <v>49</v>
      </c>
      <c r="E12" s="13" t="s">
        <v>15</v>
      </c>
      <c r="F12" s="13" t="s">
        <v>33</v>
      </c>
      <c r="G12" s="7"/>
    </row>
    <row r="13" spans="1:9" ht="15" customHeight="1" x14ac:dyDescent="0.2">
      <c r="A13" s="58" t="s">
        <v>44</v>
      </c>
      <c r="B13" s="12" t="s">
        <v>43</v>
      </c>
      <c r="C13" s="11">
        <f>COUNTIFS(GeneDate,"&gt;="&amp;$I$2,GeneDate,"&lt;="&amp;$I$3,GeneMicroscope,"Pos*",GenePreviousHistory,"N*",GeneMTB,"*tive")</f>
        <v>0</v>
      </c>
      <c r="D13" s="11">
        <f>COUNTIFS(GeneDate,"&gt;="&amp;$I$2,GeneDate,"&lt;="&amp;$I$3,GeneMicroscope,"Pos*",GenePreviousHistory,"Y*",GeneMTB,"*tive")</f>
        <v>0</v>
      </c>
      <c r="E13" s="8">
        <f>COUNTIFS(GeneDate,"&gt;="&amp;$I$2,GeneDate,"&lt;="&amp;$I$3,GeneMicroscope,"Pos*",GenePreviousHistory,"Un*",GeneMTB,"*tive")</f>
        <v>0</v>
      </c>
      <c r="F13" s="8">
        <f>COUNTIFS(GeneDate,"&gt;="&amp;$I$2,GeneDate,"&lt;="&amp;$I$3,GeneMicroscope,"Pos*",GeneMTB,"*tive")</f>
        <v>0</v>
      </c>
      <c r="G13" s="48" t="str">
        <f>IF($F$9=SUM(F13:F15),"","Error! Possibly there were be Error or Missing information at Microscopy Result")</f>
        <v/>
      </c>
      <c r="H13" s="49"/>
      <c r="I13" s="10" t="str">
        <f t="shared" ref="I13:I19" si="0">IF(SUM(C13:E13)=F13,"","Check Total Vaue &amp; Category")</f>
        <v/>
      </c>
    </row>
    <row r="14" spans="1:9" x14ac:dyDescent="0.2">
      <c r="A14" s="59"/>
      <c r="B14" s="12" t="s">
        <v>42</v>
      </c>
      <c r="C14" s="11">
        <f>COUNTIFS(GeneDate,"&gt;="&amp;$I$2,GeneDate,"&lt;="&amp;$I$3,GeneMicroscope,"Neg*",GenePreviousHistory,"N*",GeneMTB,"*tive")</f>
        <v>0</v>
      </c>
      <c r="D14" s="11">
        <f>COUNTIFS(GeneDate,"&gt;="&amp;$I$2,GeneDate,"&lt;="&amp;$I$3,GeneMicroscope,"Neg*",GenePreviousHistory,"Y*",GeneMTB,"*tive")</f>
        <v>0</v>
      </c>
      <c r="E14" s="8">
        <f>COUNTIFS(GeneDate,"&gt;="&amp;$I$2,GeneDate,"&lt;="&amp;$I$3,GeneMicroscope,"Neg*",GenePreviousHistory,"Un*",GeneMTB,"*tive")</f>
        <v>0</v>
      </c>
      <c r="F14" s="8">
        <f>COUNTIFS(GeneDate,"&gt;="&amp;$I$2,GeneDate,"&lt;="&amp;$I$3,GeneMicroscope,"Neg*",GeneMTB,"*tive")</f>
        <v>0</v>
      </c>
      <c r="G14" s="48"/>
      <c r="H14" s="49"/>
      <c r="I14" s="10" t="str">
        <f t="shared" si="0"/>
        <v/>
      </c>
    </row>
    <row r="15" spans="1:9" x14ac:dyDescent="0.2">
      <c r="A15" s="60"/>
      <c r="B15" s="12" t="s">
        <v>41</v>
      </c>
      <c r="C15" s="11">
        <f>COUNTIFS(GeneDate,"&gt;="&amp;$I$2,GeneDate,"&lt;="&amp;$I$3,GeneMicroscope,"Not*",GenePreviousHistory,"N*",GeneMTB,"*tive")</f>
        <v>0</v>
      </c>
      <c r="D15" s="11">
        <f>COUNTIFS(GeneDate,"&gt;="&amp;$I$2,GeneDate,"&lt;="&amp;$I$3,GeneMicroscope,"Not*",GenePreviousHistory,"Y*",GeneMTB,"*tive")</f>
        <v>0</v>
      </c>
      <c r="E15" s="8">
        <f>COUNTIFS(GeneDate,"&gt;="&amp;$I$2,GeneDate,"&lt;="&amp;$I$3,GeneMicroscope,"Not*",GenePreviousHistory,"Un*",GeneMTB,"*tive")</f>
        <v>0</v>
      </c>
      <c r="F15" s="8">
        <f>COUNTIFS(GeneDate,"&gt;="&amp;$I$2,GeneDate,"&lt;="&amp;$I$3,GeneMicroscope,"Not*",GeneMTB,"*tive")</f>
        <v>0</v>
      </c>
      <c r="G15" s="48"/>
      <c r="H15" s="49"/>
      <c r="I15" s="10" t="str">
        <f t="shared" si="0"/>
        <v/>
      </c>
    </row>
    <row r="16" spans="1:9" x14ac:dyDescent="0.2">
      <c r="A16" s="57" t="s">
        <v>40</v>
      </c>
      <c r="B16" s="12" t="s">
        <v>13</v>
      </c>
      <c r="C16" s="11">
        <f>COUNTIFS(GeneDate,"&gt;="&amp;$I$2,GeneDate,"&lt;="&amp;$I$3,GenePreviousHistory,"N*",GeneMTB,"Neg*")</f>
        <v>0</v>
      </c>
      <c r="D16" s="11">
        <f>COUNTIFS(GeneDate,"&gt;="&amp;$I$2,GeneDate,"&lt;="&amp;$I$3,GenePreviousHistory,"Y*",GeneMTB,"Neg*")</f>
        <v>0</v>
      </c>
      <c r="E16" s="8">
        <f>F16-(C16+D16)</f>
        <v>0</v>
      </c>
      <c r="F16" s="8">
        <f>COUNTIFS(GeneDate,"&gt;="&amp;$I$2,GeneDate,"&lt;="&amp;$I$3,GeneMTB,"Neg*")</f>
        <v>0</v>
      </c>
      <c r="G16" s="48" t="str">
        <f>IF($F$9=SUM(F16:F19),"","Error! Cross information between Xpert result and treatment category are not match; possibly there will be Erorr or missing information on MTB result OR RIF result")</f>
        <v/>
      </c>
      <c r="H16" s="49"/>
      <c r="I16" s="10" t="str">
        <f t="shared" si="0"/>
        <v/>
      </c>
    </row>
    <row r="17" spans="1:9" x14ac:dyDescent="0.2">
      <c r="A17" s="57"/>
      <c r="B17" s="12" t="s">
        <v>39</v>
      </c>
      <c r="C17" s="11">
        <f>COUNTIFS(GeneDate,"&gt;="&amp;$I$2,GeneDate,"&lt;="&amp;$I$3,GenePreviousHistory,"N*",GeneMTB,"Pos*",GeneRif,"Neg*")</f>
        <v>0</v>
      </c>
      <c r="D17" s="11">
        <f>COUNTIFS(GeneDate,"&gt;="&amp;$I$2,GeneDate,"&lt;="&amp;$I$3,GenePreviousHistory,"Y*",GeneMTB,"Pos*",GeneRif,"Neg*")</f>
        <v>0</v>
      </c>
      <c r="E17" s="8">
        <f>F17-(C17+D17)</f>
        <v>0</v>
      </c>
      <c r="F17" s="8">
        <f>COUNTIFS(GeneDate,"&gt;="&amp;$I$2,GeneDate,"&lt;="&amp;$I$3,GeneMTB,"Pos*",GeneRif,"Neg*")</f>
        <v>0</v>
      </c>
      <c r="G17" s="48"/>
      <c r="H17" s="49"/>
      <c r="I17" s="10" t="str">
        <f t="shared" si="0"/>
        <v/>
      </c>
    </row>
    <row r="18" spans="1:9" x14ac:dyDescent="0.2">
      <c r="A18" s="57"/>
      <c r="B18" s="12" t="s">
        <v>38</v>
      </c>
      <c r="C18" s="11">
        <f>COUNTIFS(GeneDate,"&gt;="&amp;$I$2,GeneDate,"&lt;="&amp;$I$3,GenePreviousHistory,"N*",GeneMTB,"Pos*",GeneRif,"Pos*")</f>
        <v>0</v>
      </c>
      <c r="D18" s="11">
        <f>COUNTIFS(GeneDate,"&gt;="&amp;$I$2,GeneDate,"&lt;="&amp;$I$3,GenePreviousHistory,"Y*",GeneMTB,"Pos*",GeneRif,"Pos*")</f>
        <v>0</v>
      </c>
      <c r="E18" s="8">
        <f>F18-(C18+D18)</f>
        <v>0</v>
      </c>
      <c r="F18" s="8">
        <f>COUNTIFS(GeneDate,"&gt;="&amp;$I$2,GeneDate,"&lt;="&amp;$I$3,GeneMTB,"Pos*",GeneRif,"Pos*")</f>
        <v>0</v>
      </c>
      <c r="G18" s="48"/>
      <c r="H18" s="49"/>
      <c r="I18" s="10" t="str">
        <f t="shared" si="0"/>
        <v/>
      </c>
    </row>
    <row r="19" spans="1:9" x14ac:dyDescent="0.2">
      <c r="A19" s="57"/>
      <c r="B19" s="12" t="s">
        <v>48</v>
      </c>
      <c r="C19" s="11">
        <f>COUNTIFS(GeneDate,"&gt;="&amp;$I$2,GeneDate,"&lt;="&amp;$I$3,GenePreviousHistory,"N*",GeneMTB,"Pos*",GeneRif,"IND*")</f>
        <v>0</v>
      </c>
      <c r="D19" s="11">
        <f>COUNTIFS(GeneDate,"&gt;="&amp;$I$2,GeneDate,"&lt;="&amp;$I$3,GenePreviousHistory,"Y*",GeneMTB,"Pos*",GeneRif,"IND*")</f>
        <v>0</v>
      </c>
      <c r="E19" s="8">
        <f>F19-(C19+D19)</f>
        <v>0</v>
      </c>
      <c r="F19" s="8">
        <f>COUNTIFS(GeneDate,"&gt;="&amp;$I$2,GeneDate,"&lt;="&amp;$I$3,GeneMTB,"Pos*",GeneRif,"IND*")</f>
        <v>0</v>
      </c>
      <c r="G19" s="48"/>
      <c r="H19" s="49"/>
      <c r="I19" s="10" t="str">
        <f t="shared" si="0"/>
        <v/>
      </c>
    </row>
    <row r="20" spans="1:9" ht="12" customHeight="1" x14ac:dyDescent="0.2">
      <c r="E20" s="7"/>
      <c r="F20" s="7"/>
      <c r="G20" s="7"/>
    </row>
    <row r="21" spans="1:9" x14ac:dyDescent="0.2">
      <c r="A21" s="2" t="s">
        <v>47</v>
      </c>
      <c r="E21" s="7"/>
      <c r="F21" s="7"/>
      <c r="G21" s="7"/>
    </row>
    <row r="22" spans="1:9" ht="30" x14ac:dyDescent="0.2">
      <c r="A22" s="12"/>
      <c r="B22" s="12"/>
      <c r="C22" s="14" t="s">
        <v>46</v>
      </c>
      <c r="D22" s="14" t="s">
        <v>45</v>
      </c>
      <c r="E22" s="13" t="s">
        <v>15</v>
      </c>
      <c r="F22" s="13" t="s">
        <v>33</v>
      </c>
      <c r="G22" s="7"/>
    </row>
    <row r="23" spans="1:9" ht="15" customHeight="1" x14ac:dyDescent="0.2">
      <c r="A23" s="58" t="s">
        <v>44</v>
      </c>
      <c r="B23" s="12" t="s">
        <v>43</v>
      </c>
      <c r="C23" s="11">
        <f>COUNTIFS(GeneDate,"&gt;="&amp;$I$2,GeneDate,"&lt;="&amp;$I$3,GeneMicroscope,"Pos*",GeneHIV,"Pos*",GeneMTB,"*tive")</f>
        <v>0</v>
      </c>
      <c r="D23" s="11">
        <f>COUNTIFS(GeneDate,"&gt;="&amp;$I$2,GeneDate,"&lt;="&amp;$I$3,GeneMicroscope,"Pos*",GeneHIV,"Neg*",GeneMTB,"*tive")</f>
        <v>0</v>
      </c>
      <c r="E23" s="8">
        <f>COUNTIFS(GeneDate,"&gt;="&amp;$I$2,GeneDate,"&lt;="&amp;$I$3,GeneMicroscope,"Pos*",GeneHIV,"Un*",GeneMTB,"*tive")</f>
        <v>0</v>
      </c>
      <c r="F23" s="8">
        <f>COUNTIFS(GeneDate,"&gt;="&amp;$I$2,GeneDate,"&lt;="&amp;$I$3,GeneMicroscope,"Pos*",GeneMTB,"*tive")</f>
        <v>0</v>
      </c>
      <c r="G23" s="48" t="str">
        <f>IF($F$9=SUM(F23:F25),"","Error! Cross information between Microscope Result and HIV Status are not match; possibly there will be Erorr or missing information on Microscope Result OR HIV Status")</f>
        <v/>
      </c>
      <c r="H23" s="49"/>
      <c r="I23" s="10" t="str">
        <f t="shared" ref="I23:I29" si="1">IF(SUM(C23:E23)=F23,"","Check Total Vaue &amp; Category")</f>
        <v/>
      </c>
    </row>
    <row r="24" spans="1:9" x14ac:dyDescent="0.2">
      <c r="A24" s="59"/>
      <c r="B24" s="12" t="s">
        <v>42</v>
      </c>
      <c r="C24" s="11">
        <f>COUNTIFS(GeneDate,"&gt;="&amp;$I$2,GeneDate,"&lt;="&amp;$I$3,GeneMicroscope,"Neg*",GeneHIV,"Pos*",GeneMTB,"*tive")</f>
        <v>0</v>
      </c>
      <c r="D24" s="11">
        <f>COUNTIFS(GeneDate,"&gt;="&amp;$I$2,GeneDate,"&lt;="&amp;$I$3,GeneMicroscope,"Neg*",GeneHIV,"Neg*",GeneMTB,"*tive")</f>
        <v>0</v>
      </c>
      <c r="E24" s="8">
        <f>COUNTIFS(GeneDate,"&gt;="&amp;$I$2,GeneDate,"&lt;="&amp;$I$3,GeneMicroscope,"Neg*",GeneHIV,"Un*",GeneMTB,"*tive")</f>
        <v>0</v>
      </c>
      <c r="F24" s="8">
        <f>COUNTIFS(GeneDate,"&gt;="&amp;$I$2,GeneDate,"&lt;="&amp;$I$3,GeneMicroscope,"Neg*",GeneMTB,"*tive")</f>
        <v>0</v>
      </c>
      <c r="G24" s="48"/>
      <c r="H24" s="49"/>
      <c r="I24" s="10" t="str">
        <f t="shared" si="1"/>
        <v/>
      </c>
    </row>
    <row r="25" spans="1:9" x14ac:dyDescent="0.2">
      <c r="A25" s="60"/>
      <c r="B25" s="12" t="s">
        <v>41</v>
      </c>
      <c r="C25" s="11">
        <f>COUNTIFS(GeneDate,"&gt;="&amp;$I$2,GeneDate,"&lt;="&amp;$I$3,GeneMicroscope,"Not*",GeneHIV,"Pos*",GeneMTB,"*tive")</f>
        <v>0</v>
      </c>
      <c r="D25" s="11">
        <f>COUNTIFS(GeneDate,"&gt;="&amp;$I$2,GeneDate,"&lt;="&amp;$I$3,GeneMicroscope,"Not*",GeneHIV,"Neg*",GeneMTB,"*tive")</f>
        <v>0</v>
      </c>
      <c r="E25" s="8">
        <f>COUNTIFS(GeneDate,"&gt;="&amp;$I$2,GeneDate,"&lt;="&amp;$I$3,GeneMicroscope,"Not*",GeneHIV,"Un*",GeneMTB,"*tive")</f>
        <v>0</v>
      </c>
      <c r="F25" s="8">
        <f>COUNTIFS(GeneDate,"&gt;="&amp;$I$2,GeneDate,"&lt;="&amp;$I$3,GeneMicroscope,"Not*",GeneMTB,"*tive")</f>
        <v>0</v>
      </c>
      <c r="G25" s="48"/>
      <c r="H25" s="49"/>
      <c r="I25" s="10" t="str">
        <f t="shared" si="1"/>
        <v/>
      </c>
    </row>
    <row r="26" spans="1:9" x14ac:dyDescent="0.2">
      <c r="A26" s="57" t="s">
        <v>40</v>
      </c>
      <c r="B26" s="12" t="s">
        <v>13</v>
      </c>
      <c r="C26" s="11">
        <f>COUNTIFS(GeneDate,"&gt;="&amp;$I$2,GeneDate,"&lt;="&amp;$I$3,GeneHIV,"Pos*",GeneMTB,"Neg*")</f>
        <v>0</v>
      </c>
      <c r="D26" s="11">
        <f>COUNTIFS(GeneDate,"&gt;="&amp;$I$2,GeneDate,"&lt;="&amp;$I$3,GeneHIV,"Neg*",GeneMTB,"Neg*")</f>
        <v>0</v>
      </c>
      <c r="E26" s="8">
        <f>COUNTIFS(GeneDate,"&gt;="&amp;$I$2,GeneDate,"&lt;="&amp;$I$3,GeneHIV,"Un*",GeneMTB,"Neg*")</f>
        <v>0</v>
      </c>
      <c r="F26" s="8">
        <f>COUNTIFS(GeneDate,"&gt;="&amp;$I$2,GeneDate,"&lt;="&amp;$I$3,GeneMTB,"*tive",GeneMTB,"Neg*")</f>
        <v>0</v>
      </c>
      <c r="G26" s="48" t="str">
        <f>IF($F$9=SUM(F26:F29),"","Error! Cross information between Xpert result and HIV Status are not match; possibly there will be Erorr or missing information on MTB result OR HIV Status")</f>
        <v/>
      </c>
      <c r="H26" s="49"/>
      <c r="I26" s="10" t="str">
        <f t="shared" si="1"/>
        <v/>
      </c>
    </row>
    <row r="27" spans="1:9" x14ac:dyDescent="0.2">
      <c r="A27" s="57"/>
      <c r="B27" s="12" t="s">
        <v>39</v>
      </c>
      <c r="C27" s="11">
        <f>COUNTIFS(GeneDate,"&gt;="&amp;$I$2,GeneDate,"&lt;="&amp;$I$3,GeneHIV,"Pos*",GeneMTB,"Pos*",GeneRif,"Neg*")</f>
        <v>0</v>
      </c>
      <c r="D27" s="11">
        <f>COUNTIFS(GeneDate,"&gt;="&amp;$I$2,GeneDate,"&lt;="&amp;$I$3,GeneHIV,"Neg*",GeneMTB,"Pos*",GeneRif,"Neg*")</f>
        <v>0</v>
      </c>
      <c r="E27" s="8">
        <f>COUNTIFS(GeneDate,"&gt;="&amp;$I$2,GeneDate,"&lt;="&amp;$I$3,GeneHIV,"Un*",GeneMTB,"Pos*",GeneRif,"Neg*")</f>
        <v>0</v>
      </c>
      <c r="F27" s="8">
        <f>COUNTIFS(GeneDate,"&gt;="&amp;$I$2,GeneDate,"&lt;="&amp;$I$3,GeneMTB,"Pos*",GeneRif,"Neg*")</f>
        <v>0</v>
      </c>
      <c r="G27" s="48"/>
      <c r="H27" s="49"/>
      <c r="I27" s="10" t="str">
        <f t="shared" si="1"/>
        <v/>
      </c>
    </row>
    <row r="28" spans="1:9" x14ac:dyDescent="0.2">
      <c r="A28" s="57"/>
      <c r="B28" s="12" t="s">
        <v>38</v>
      </c>
      <c r="C28" s="11">
        <f>COUNTIFS(GeneDate,"&gt;="&amp;$I$2,GeneDate,"&lt;="&amp;$I$3,GeneHIV,"Pos*",GeneMTB,"Pos*",GeneRif,"Pos*")</f>
        <v>0</v>
      </c>
      <c r="D28" s="11">
        <f>COUNTIFS(GeneDate,"&gt;="&amp;$I$2,GeneDate,"&lt;="&amp;$I$3,GeneHIV,"Neg*",GeneMTB,"Pos*",GeneRif,"Pos*")</f>
        <v>0</v>
      </c>
      <c r="E28" s="8">
        <f>COUNTIFS(GeneDate,"&gt;="&amp;$I$2,GeneDate,"&lt;="&amp;$I$3,GeneHIV,"Un*",GeneMTB,"Pos*",GeneRif,"Pos*")</f>
        <v>0</v>
      </c>
      <c r="F28" s="8">
        <f>COUNTIFS(GeneDate,"&gt;="&amp;$I$2,GeneDate,"&lt;="&amp;$I$3,GeneMTB,"Pos*",GeneRif,"Pos*")</f>
        <v>0</v>
      </c>
      <c r="G28" s="48"/>
      <c r="H28" s="49"/>
      <c r="I28" s="10" t="str">
        <f t="shared" si="1"/>
        <v/>
      </c>
    </row>
    <row r="29" spans="1:9" x14ac:dyDescent="0.2">
      <c r="A29" s="57"/>
      <c r="B29" s="12" t="s">
        <v>37</v>
      </c>
      <c r="C29" s="11">
        <f>COUNTIFS(GeneDate,"&gt;="&amp;$I$2,GeneDate,"&lt;="&amp;$I$3,GeneHIV,"Pos*",GeneMTB,"Pos*",GeneRif,"IND*")</f>
        <v>0</v>
      </c>
      <c r="D29" s="11">
        <f>COUNTIFS(GeneDate,"&gt;="&amp;$I$2,GeneDate,"&lt;="&amp;$I$3,GeneHIV,"Neg*",GeneMTB,"Pos*",GeneRif,"IND*")</f>
        <v>0</v>
      </c>
      <c r="E29" s="8">
        <f>COUNTIFS(GeneDate,"&gt;="&amp;$I$2,GeneDate,"&lt;="&amp;$I$3,GeneHIV,"Un*",GeneMTB,"Pos*",GeneRif,"IND*")</f>
        <v>0</v>
      </c>
      <c r="F29" s="8">
        <f>COUNTIFS(GeneDate,"&gt;="&amp;$I$2,GeneDate,"&lt;="&amp;$I$3,GeneMTB,"Pos*",GeneRif,"IND*")</f>
        <v>0</v>
      </c>
      <c r="G29" s="48"/>
      <c r="H29" s="49"/>
      <c r="I29" s="10" t="str">
        <f t="shared" si="1"/>
        <v/>
      </c>
    </row>
    <row r="30" spans="1:9" ht="12" customHeight="1" x14ac:dyDescent="0.2">
      <c r="E30" s="7"/>
      <c r="F30" s="7"/>
      <c r="G30" s="7"/>
    </row>
    <row r="31" spans="1:9" x14ac:dyDescent="0.2">
      <c r="A31" s="4"/>
      <c r="B31" s="25"/>
      <c r="C31" s="61" t="s">
        <v>14</v>
      </c>
      <c r="D31" s="62"/>
      <c r="E31" s="61" t="s">
        <v>16</v>
      </c>
      <c r="F31" s="62"/>
      <c r="G31" s="9" t="s">
        <v>33</v>
      </c>
    </row>
    <row r="32" spans="1:9" x14ac:dyDescent="0.2">
      <c r="A32" s="24" t="s">
        <v>62</v>
      </c>
      <c r="B32" s="24"/>
      <c r="C32" s="61">
        <f>COUNTIFS(GeneDate,"&gt;="&amp;$I$2,GeneDate,"&lt;="&amp;$I$3,GeneMTB,"Pos*",GeneRif,"Pos*",GeneSex,"Male")</f>
        <v>0</v>
      </c>
      <c r="D32" s="62"/>
      <c r="E32" s="64">
        <f>COUNTIFS(GeneDate,"&gt;="&amp;$I$2,GeneDate,"&lt;="&amp;$I$3,GeneMTB,"Pos*",GeneRif,"Pos*",GeneSex,"Female")</f>
        <v>0</v>
      </c>
      <c r="F32" s="65"/>
      <c r="G32" s="8">
        <f>COUNTIFS(GeneDate,"&gt;="&amp;$I$2,GeneDate,"&lt;="&amp;$I$3,GeneMTB,"Pos*",GeneRif,"Pos*")</f>
        <v>0</v>
      </c>
    </row>
    <row r="33" spans="1:10" ht="12" customHeight="1" x14ac:dyDescent="0.2">
      <c r="E33" s="7"/>
      <c r="F33" s="7"/>
      <c r="G33" s="7"/>
    </row>
    <row r="34" spans="1:10" x14ac:dyDescent="0.2">
      <c r="A34" s="2" t="s">
        <v>36</v>
      </c>
      <c r="E34" s="7"/>
      <c r="F34" s="7"/>
      <c r="G34" s="7"/>
    </row>
    <row r="35" spans="1:10" x14ac:dyDescent="0.2">
      <c r="A35" s="61"/>
      <c r="B35" s="62"/>
      <c r="C35" s="61" t="s">
        <v>35</v>
      </c>
      <c r="D35" s="62"/>
      <c r="E35" s="64" t="s">
        <v>34</v>
      </c>
      <c r="F35" s="65"/>
      <c r="G35" s="9" t="s">
        <v>33</v>
      </c>
    </row>
    <row r="36" spans="1:10" x14ac:dyDescent="0.2">
      <c r="A36" s="50" t="s">
        <v>32</v>
      </c>
      <c r="B36" s="50"/>
      <c r="C36" s="51">
        <f>COUNTIFS(GeneDate,"&gt;="&amp;$I$2,GeneDate,"&lt;="&amp;$I$3,GeneMTB,"Pos*",GeneMicroscope,"Pos*")</f>
        <v>0</v>
      </c>
      <c r="D36" s="52"/>
      <c r="E36" s="53">
        <f>COUNTIFS(GeneDate,"&gt;="&amp;$I$2,GeneDate,"&lt;="&amp;$I$3,GeneMTB,"Neg*",GeneMicroscope,"Pos*")</f>
        <v>0</v>
      </c>
      <c r="F36" s="54"/>
      <c r="G36" s="8">
        <f>COUNTIFS(GeneDate,"&gt;="&amp;$I$2,GeneDate,"&lt;="&amp;$I$3,GeneMicroscope,"Pos*",GeneMTB,"*tive")</f>
        <v>0</v>
      </c>
      <c r="H36" s="55" t="str">
        <f>IF($F$9=SUM(G36:G38),"","Error! Cross information between Xpert result and Microscope result are not match; possibly there will be Erorr or missing information on MTB result OR Microscope result")</f>
        <v/>
      </c>
      <c r="I36" s="56"/>
      <c r="J36" s="2" t="str">
        <f>IF(SUM(C36:F36)=G36,"","Check Total Vaue &amp; Category")</f>
        <v/>
      </c>
    </row>
    <row r="37" spans="1:10" x14ac:dyDescent="0.2">
      <c r="A37" s="50" t="s">
        <v>31</v>
      </c>
      <c r="B37" s="50"/>
      <c r="C37" s="51">
        <f>COUNTIFS(GeneDate,"&gt;="&amp;$I$2,GeneDate,"&lt;="&amp;$I$3,GeneMTB,"Pos*",GeneMicroscope,"Neg*")</f>
        <v>0</v>
      </c>
      <c r="D37" s="52"/>
      <c r="E37" s="53">
        <f>COUNTIFS(GeneDate,"&gt;="&amp;$I$2,GeneDate,"&lt;="&amp;$I$3,GeneMTB,"Neg*",GeneMicroscope,"Neg*")</f>
        <v>0</v>
      </c>
      <c r="F37" s="54"/>
      <c r="G37" s="8">
        <f>COUNTIFS(GeneDate,"&gt;="&amp;$I$2,GeneDate,"&lt;="&amp;$I$3,GeneMicroscope,"Neg*",GeneMTB,"*tive")</f>
        <v>0</v>
      </c>
      <c r="H37" s="55"/>
      <c r="I37" s="56"/>
      <c r="J37" s="2" t="str">
        <f>IF(SUM(C37:F37)=G37,"","Check Total Vaue &amp; Category")</f>
        <v/>
      </c>
    </row>
    <row r="38" spans="1:10" x14ac:dyDescent="0.2">
      <c r="A38" s="50" t="s">
        <v>30</v>
      </c>
      <c r="B38" s="50"/>
      <c r="C38" s="51">
        <f>COUNTIFS(GeneDate,"&gt;="&amp;$I$2,GeneDate,"&lt;="&amp;$I$3,GeneMTB,"Pos*",GeneMicroscope,"Not*")</f>
        <v>0</v>
      </c>
      <c r="D38" s="52"/>
      <c r="E38" s="53">
        <f>COUNTIFS(GeneDate,"&gt;="&amp;$I$2,GeneDate,"&lt;="&amp;$I$3,GeneMTB,"Neg*",GeneMicroscope,"Not*")</f>
        <v>0</v>
      </c>
      <c r="F38" s="54"/>
      <c r="G38" s="8">
        <f>COUNTIFS(GeneDate,"&gt;="&amp;$I$2,GeneDate,"&lt;="&amp;$I$3,GeneMTB,"*tive",GeneMicroscope,"Not*")</f>
        <v>0</v>
      </c>
      <c r="H38" s="55"/>
      <c r="I38" s="56"/>
      <c r="J38" s="2" t="str">
        <f>IF(SUM(C38:F38)=G38,"","Check Total Vaue &amp; Category")</f>
        <v/>
      </c>
    </row>
    <row r="39" spans="1:10" ht="12" customHeight="1" x14ac:dyDescent="0.2">
      <c r="D39" s="2" t="str">
        <f>IF(SUM(C36:D38)=SUM(F27:F29),"","Error")</f>
        <v/>
      </c>
      <c r="E39" s="7"/>
      <c r="F39" s="7"/>
      <c r="G39" s="7"/>
    </row>
    <row r="40" spans="1:10" x14ac:dyDescent="0.2">
      <c r="A40" s="2" t="s">
        <v>29</v>
      </c>
    </row>
    <row r="41" spans="1:10" x14ac:dyDescent="0.2">
      <c r="A41" s="66"/>
      <c r="B41" s="66"/>
      <c r="C41" s="61" t="s">
        <v>28</v>
      </c>
      <c r="D41" s="62"/>
      <c r="E41" s="66" t="s">
        <v>27</v>
      </c>
      <c r="F41" s="66"/>
    </row>
    <row r="42" spans="1:10" x14ac:dyDescent="0.2">
      <c r="A42" s="50" t="s">
        <v>26</v>
      </c>
      <c r="B42" s="50"/>
      <c r="C42" s="51"/>
      <c r="D42" s="52"/>
      <c r="E42" s="67"/>
      <c r="F42" s="67"/>
    </row>
    <row r="43" spans="1:10" x14ac:dyDescent="0.2">
      <c r="A43" s="50" t="s">
        <v>25</v>
      </c>
      <c r="B43" s="50"/>
      <c r="C43" s="51"/>
      <c r="D43" s="52"/>
      <c r="E43" s="67" t="s">
        <v>24</v>
      </c>
      <c r="F43" s="67"/>
    </row>
    <row r="44" spans="1:10" x14ac:dyDescent="0.2">
      <c r="A44" s="50" t="s">
        <v>23</v>
      </c>
      <c r="B44" s="50"/>
      <c r="C44" s="68">
        <f>C46+F9+C47</f>
        <v>0</v>
      </c>
      <c r="D44" s="69"/>
      <c r="E44" s="67"/>
      <c r="F44" s="67"/>
      <c r="G44" s="6"/>
    </row>
    <row r="45" spans="1:10" x14ac:dyDescent="0.2">
      <c r="A45" s="50" t="s">
        <v>22</v>
      </c>
      <c r="B45" s="50"/>
      <c r="C45" s="68">
        <f>SUM(C42+C43)-C44</f>
        <v>0</v>
      </c>
      <c r="D45" s="69"/>
      <c r="E45" s="67"/>
      <c r="F45" s="67"/>
    </row>
    <row r="46" spans="1:10" x14ac:dyDescent="0.2">
      <c r="A46" s="5" t="s">
        <v>21</v>
      </c>
      <c r="B46" s="5"/>
      <c r="C46" s="23">
        <f>COUNTIFS(GeneDate,"&gt;="&amp;$I$2,GeneDate,"&lt;="&amp;$I$3,GeneMTB,"Error")+COUNTIFS(GeneDate,"&gt;="&amp;$I$2,GeneDate,"&lt;="&amp;$I$3,GeneMTB,"Invalid")+COUNTIFS(GeneDate,"&gt;="&amp;$I$2,GeneDate,"&lt;="&amp;$I$3,GeneMTB,"*Result*")</f>
        <v>0</v>
      </c>
    </row>
    <row r="47" spans="1:10" x14ac:dyDescent="0.2">
      <c r="A47" s="5" t="s">
        <v>63</v>
      </c>
      <c r="C47" s="5">
        <v>0</v>
      </c>
    </row>
    <row r="49" spans="5:7" x14ac:dyDescent="0.2">
      <c r="E49" s="2" t="s">
        <v>20</v>
      </c>
      <c r="F49" s="4"/>
      <c r="G49" s="4"/>
    </row>
    <row r="50" spans="5:7" x14ac:dyDescent="0.2">
      <c r="E50" s="2" t="s">
        <v>19</v>
      </c>
      <c r="F50" s="3"/>
      <c r="G50" s="3"/>
    </row>
    <row r="51" spans="5:7" x14ac:dyDescent="0.2">
      <c r="E51" s="2" t="s">
        <v>18</v>
      </c>
      <c r="F51" s="3"/>
      <c r="G51" s="3"/>
    </row>
    <row r="52" spans="5:7" x14ac:dyDescent="0.2">
      <c r="E52" s="2" t="s">
        <v>17</v>
      </c>
      <c r="F52" s="3"/>
      <c r="G52" s="3"/>
    </row>
  </sheetData>
  <sheetProtection algorithmName="SHA-512" hashValue="UltRB1axV4Jz0dsPeoHDHhg1OHaP++EXGY/AccCtodfrgSthAGtamMw/OOdwowZYdyOXJgXRbKrB+YlpY+HokA==" saltValue="lulpedrqsm6irdflsv7i+A==" spinCount="100000" sheet="1" objects="1" scenarios="1"/>
  <protectedRanges>
    <protectedRange sqref="B4" name="Range3"/>
    <protectedRange sqref="I2:I3" name="Range2"/>
    <protectedRange sqref="C42:F43 C45 E44:F45 C47" name="Range1"/>
  </protectedRanges>
  <mergeCells count="45">
    <mergeCell ref="A45:B45"/>
    <mergeCell ref="C45:D45"/>
    <mergeCell ref="E45:F45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6:B36"/>
    <mergeCell ref="C36:D36"/>
    <mergeCell ref="E36:F36"/>
    <mergeCell ref="H36:I38"/>
    <mergeCell ref="A37:B37"/>
    <mergeCell ref="C37:D37"/>
    <mergeCell ref="E37:F37"/>
    <mergeCell ref="A38:B38"/>
    <mergeCell ref="C38:D38"/>
    <mergeCell ref="E38:F38"/>
    <mergeCell ref="C31:D31"/>
    <mergeCell ref="E31:F31"/>
    <mergeCell ref="C32:D32"/>
    <mergeCell ref="E32:F32"/>
    <mergeCell ref="A35:B35"/>
    <mergeCell ref="C35:D35"/>
    <mergeCell ref="E35:F35"/>
    <mergeCell ref="A26:A29"/>
    <mergeCell ref="G26:H29"/>
    <mergeCell ref="A1:F1"/>
    <mergeCell ref="A7:A8"/>
    <mergeCell ref="B7:C7"/>
    <mergeCell ref="D7:E7"/>
    <mergeCell ref="F7:F8"/>
    <mergeCell ref="A13:A15"/>
    <mergeCell ref="G13:H15"/>
    <mergeCell ref="A16:A19"/>
    <mergeCell ref="G16:H19"/>
    <mergeCell ref="A23:A25"/>
    <mergeCell ref="G23:H25"/>
  </mergeCells>
  <conditionalFormatting sqref="G13">
    <cfRule type="notContainsBlanks" dxfId="47" priority="6">
      <formula>LEN(TRIM(G13))&gt;0</formula>
    </cfRule>
  </conditionalFormatting>
  <conditionalFormatting sqref="G16">
    <cfRule type="notContainsBlanks" dxfId="46" priority="5">
      <formula>LEN(TRIM(G16))&gt;0</formula>
    </cfRule>
  </conditionalFormatting>
  <conditionalFormatting sqref="G23">
    <cfRule type="notContainsBlanks" dxfId="45" priority="4">
      <formula>LEN(TRIM(G23))&gt;0</formula>
    </cfRule>
  </conditionalFormatting>
  <conditionalFormatting sqref="G26">
    <cfRule type="notContainsBlanks" dxfId="44" priority="3">
      <formula>LEN(TRIM(G26))&gt;0</formula>
    </cfRule>
  </conditionalFormatting>
  <conditionalFormatting sqref="H36">
    <cfRule type="notContainsBlanks" dxfId="43" priority="2">
      <formula>LEN(TRIM(H36))&gt;0</formula>
    </cfRule>
  </conditionalFormatting>
  <conditionalFormatting sqref="I13:I19 I23:I29 J36:J38">
    <cfRule type="notContainsBlanks" dxfId="42" priority="1">
      <formula>LEN(TRIM(I13))&gt;0</formula>
    </cfRule>
  </conditionalFormatting>
  <pageMargins left="0.7" right="0.5" top="0.5" bottom="0.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J52"/>
  <sheetViews>
    <sheetView workbookViewId="0">
      <selection activeCell="I3" sqref="I3"/>
    </sheetView>
  </sheetViews>
  <sheetFormatPr baseColWidth="10" defaultColWidth="9.1640625" defaultRowHeight="15" x14ac:dyDescent="0.2"/>
  <cols>
    <col min="1" max="1" width="14" style="2" customWidth="1"/>
    <col min="2" max="2" width="25.1640625" style="2" bestFit="1" customWidth="1"/>
    <col min="3" max="3" width="9.1640625" style="2" customWidth="1"/>
    <col min="4" max="4" width="12.33203125" style="2" bestFit="1" customWidth="1"/>
    <col min="5" max="7" width="9.6640625" style="2" customWidth="1"/>
    <col min="8" max="8" width="20.33203125" style="2" customWidth="1"/>
    <col min="9" max="9" width="20.6640625" style="2" customWidth="1"/>
    <col min="10" max="10" width="14.5" style="2" customWidth="1"/>
    <col min="11" max="16384" width="9.1640625" style="2"/>
  </cols>
  <sheetData>
    <row r="1" spans="1:9" ht="19" x14ac:dyDescent="0.25">
      <c r="A1" s="63" t="s">
        <v>60</v>
      </c>
      <c r="B1" s="63"/>
      <c r="C1" s="63"/>
      <c r="D1" s="63"/>
      <c r="E1" s="63"/>
      <c r="F1" s="63"/>
      <c r="I1" s="16" t="s">
        <v>59</v>
      </c>
    </row>
    <row r="2" spans="1:9" ht="16" x14ac:dyDescent="0.2">
      <c r="H2" s="16" t="s">
        <v>58</v>
      </c>
      <c r="I2" s="28">
        <v>42614.000011574099</v>
      </c>
    </row>
    <row r="3" spans="1:9" ht="16" x14ac:dyDescent="0.2">
      <c r="A3" s="2" t="s">
        <v>57</v>
      </c>
      <c r="C3" s="18" t="str">
        <f>IF(MONTH($I$2)=1,"January",IF(MONTH($I$2)=2,"February",IF(MONTH($I$2)=3,"March",IF(MONTH($I$2)=4,"April",IF(MONTH($I$2)=5,"May",IF(MONTH($I$2)=6,"June",IF(MONTH($I$2)=7,"July",IF(MONTH($I$2)=8,"Auguest",IF(MONTH($I$2)=9,"September",IF(MONTH($I$2)=10,"October",IF(MONTH($I$2)=11,"November",IF(MONTH($I$2)=12,"December",A3))))))))))))</f>
        <v>September</v>
      </c>
      <c r="E3" s="2" t="s">
        <v>56</v>
      </c>
      <c r="F3" s="17">
        <f>YEAR($I$2)</f>
        <v>2016</v>
      </c>
      <c r="H3" s="16" t="s">
        <v>55</v>
      </c>
      <c r="I3" s="28">
        <v>42643.999988425901</v>
      </c>
    </row>
    <row r="4" spans="1:9" x14ac:dyDescent="0.2">
      <c r="A4" s="2" t="s">
        <v>54</v>
      </c>
    </row>
    <row r="6" spans="1:9" x14ac:dyDescent="0.2">
      <c r="A6" s="2" t="s">
        <v>53</v>
      </c>
    </row>
    <row r="7" spans="1:9" x14ac:dyDescent="0.2">
      <c r="A7" s="66"/>
      <c r="B7" s="66" t="s">
        <v>14</v>
      </c>
      <c r="C7" s="66"/>
      <c r="D7" s="66" t="s">
        <v>16</v>
      </c>
      <c r="E7" s="66"/>
      <c r="F7" s="57" t="s">
        <v>33</v>
      </c>
    </row>
    <row r="8" spans="1:9" x14ac:dyDescent="0.2">
      <c r="A8" s="66"/>
      <c r="B8" s="27" t="s">
        <v>52</v>
      </c>
      <c r="C8" s="27" t="s">
        <v>61</v>
      </c>
      <c r="D8" s="27" t="s">
        <v>52</v>
      </c>
      <c r="E8" s="27" t="s">
        <v>61</v>
      </c>
      <c r="F8" s="57"/>
    </row>
    <row r="9" spans="1:9" x14ac:dyDescent="0.2">
      <c r="A9" s="12"/>
      <c r="B9" s="11">
        <f>COUNTIFS(GeneDate,"&gt;="&amp;$I$2,GeneDate,"&lt;="&amp;$I$3,GeneAge,"&lt;15",GeneSex,"Male",GeneMTB,"*tive")</f>
        <v>0</v>
      </c>
      <c r="C9" s="11">
        <f>COUNTIFS(GeneDate,"&gt;="&amp;$I$2,GeneDate,"&lt;="&amp;$I$3,GeneAge,"&gt;=15",GeneSex,"M*",GeneMTB,"*tive")</f>
        <v>0</v>
      </c>
      <c r="D9" s="11">
        <f>COUNTIFS(GeneDate,"&gt;="&amp;$I$2,GeneDate,"&lt;="&amp;$I$3,GeneAge,"&lt;15",GeneSex,"F*",GeneMTB,"*tive")</f>
        <v>0</v>
      </c>
      <c r="E9" s="8">
        <f>COUNTIFS(GeneDate,"&gt;="&amp;$I$2,GeneDate,"&lt;="&amp;$I$3,GeneAge,"&gt;=15",GeneSex,"F*",GeneMTB,"*tive")</f>
        <v>0</v>
      </c>
      <c r="F9" s="8">
        <f>COUNTIFS(GeneDate,"&gt;="&amp;$I$2,GeneDate,"&lt;="&amp;$I$3,GeneMTB,"*tive")</f>
        <v>0</v>
      </c>
      <c r="G9" s="7" t="str">
        <f>IF(SUM(B9:E9)=F9,"","Check Total Vaue &amp; Category")</f>
        <v/>
      </c>
      <c r="H9" s="26"/>
    </row>
    <row r="10" spans="1:9" ht="12" customHeight="1" x14ac:dyDescent="0.2">
      <c r="B10" s="19"/>
      <c r="E10" s="7"/>
      <c r="F10" s="7"/>
      <c r="G10" s="7"/>
    </row>
    <row r="11" spans="1:9" x14ac:dyDescent="0.2">
      <c r="A11" s="2" t="s">
        <v>51</v>
      </c>
      <c r="E11" s="7"/>
      <c r="F11" s="7"/>
      <c r="G11" s="7"/>
    </row>
    <row r="12" spans="1:9" x14ac:dyDescent="0.2">
      <c r="A12" s="12"/>
      <c r="B12" s="12"/>
      <c r="C12" s="27" t="s">
        <v>50</v>
      </c>
      <c r="D12" s="27" t="s">
        <v>49</v>
      </c>
      <c r="E12" s="13" t="s">
        <v>15</v>
      </c>
      <c r="F12" s="13" t="s">
        <v>33</v>
      </c>
      <c r="G12" s="7"/>
    </row>
    <row r="13" spans="1:9" ht="15" customHeight="1" x14ac:dyDescent="0.2">
      <c r="A13" s="58" t="s">
        <v>44</v>
      </c>
      <c r="B13" s="12" t="s">
        <v>43</v>
      </c>
      <c r="C13" s="11">
        <f>COUNTIFS(GeneDate,"&gt;="&amp;$I$2,GeneDate,"&lt;="&amp;$I$3,GeneMicroscope,"Pos*",GenePreviousHistory,"N*",GeneMTB,"*tive")</f>
        <v>0</v>
      </c>
      <c r="D13" s="11">
        <f>COUNTIFS(GeneDate,"&gt;="&amp;$I$2,GeneDate,"&lt;="&amp;$I$3,GeneMicroscope,"Pos*",GenePreviousHistory,"Y*",GeneMTB,"*tive")</f>
        <v>0</v>
      </c>
      <c r="E13" s="8">
        <f>COUNTIFS(GeneDate,"&gt;="&amp;$I$2,GeneDate,"&lt;="&amp;$I$3,GeneMicroscope,"Pos*",GenePreviousHistory,"Un*",GeneMTB,"*tive")</f>
        <v>0</v>
      </c>
      <c r="F13" s="8">
        <f>COUNTIFS(GeneDate,"&gt;="&amp;$I$2,GeneDate,"&lt;="&amp;$I$3,GeneMicroscope,"Pos*",GeneMTB,"*tive")</f>
        <v>0</v>
      </c>
      <c r="G13" s="48" t="str">
        <f>IF($F$9=SUM(F13:F15),"","Error! Possibly there were be Error or Missing information at Microscopy Result")</f>
        <v/>
      </c>
      <c r="H13" s="49"/>
      <c r="I13" s="10" t="str">
        <f t="shared" ref="I13:I19" si="0">IF(SUM(C13:E13)=F13,"","Check Total Vaue &amp; Category")</f>
        <v/>
      </c>
    </row>
    <row r="14" spans="1:9" x14ac:dyDescent="0.2">
      <c r="A14" s="59"/>
      <c r="B14" s="12" t="s">
        <v>42</v>
      </c>
      <c r="C14" s="11">
        <f>COUNTIFS(GeneDate,"&gt;="&amp;$I$2,GeneDate,"&lt;="&amp;$I$3,GeneMicroscope,"Neg*",GenePreviousHistory,"N*",GeneMTB,"*tive")</f>
        <v>0</v>
      </c>
      <c r="D14" s="11">
        <f>COUNTIFS(GeneDate,"&gt;="&amp;$I$2,GeneDate,"&lt;="&amp;$I$3,GeneMicroscope,"Neg*",GenePreviousHistory,"Y*",GeneMTB,"*tive")</f>
        <v>0</v>
      </c>
      <c r="E14" s="8">
        <f>COUNTIFS(GeneDate,"&gt;="&amp;$I$2,GeneDate,"&lt;="&amp;$I$3,GeneMicroscope,"Neg*",GenePreviousHistory,"Un*",GeneMTB,"*tive")</f>
        <v>0</v>
      </c>
      <c r="F14" s="8">
        <f>COUNTIFS(GeneDate,"&gt;="&amp;$I$2,GeneDate,"&lt;="&amp;$I$3,GeneMicroscope,"Neg*",GeneMTB,"*tive")</f>
        <v>0</v>
      </c>
      <c r="G14" s="48"/>
      <c r="H14" s="49"/>
      <c r="I14" s="10" t="str">
        <f t="shared" si="0"/>
        <v/>
      </c>
    </row>
    <row r="15" spans="1:9" x14ac:dyDescent="0.2">
      <c r="A15" s="60"/>
      <c r="B15" s="12" t="s">
        <v>41</v>
      </c>
      <c r="C15" s="11">
        <f>COUNTIFS(GeneDate,"&gt;="&amp;$I$2,GeneDate,"&lt;="&amp;$I$3,GeneMicroscope,"Not*",GenePreviousHistory,"N*",GeneMTB,"*tive")</f>
        <v>0</v>
      </c>
      <c r="D15" s="11">
        <f>COUNTIFS(GeneDate,"&gt;="&amp;$I$2,GeneDate,"&lt;="&amp;$I$3,GeneMicroscope,"Not*",GenePreviousHistory,"Y*",GeneMTB,"*tive")</f>
        <v>0</v>
      </c>
      <c r="E15" s="8">
        <f>COUNTIFS(GeneDate,"&gt;="&amp;$I$2,GeneDate,"&lt;="&amp;$I$3,GeneMicroscope,"Not*",GenePreviousHistory,"Un*",GeneMTB,"*tive")</f>
        <v>0</v>
      </c>
      <c r="F15" s="8">
        <f>COUNTIFS(GeneDate,"&gt;="&amp;$I$2,GeneDate,"&lt;="&amp;$I$3,GeneMicroscope,"Not*",GeneMTB,"*tive")</f>
        <v>0</v>
      </c>
      <c r="G15" s="48"/>
      <c r="H15" s="49"/>
      <c r="I15" s="10" t="str">
        <f t="shared" si="0"/>
        <v/>
      </c>
    </row>
    <row r="16" spans="1:9" x14ac:dyDescent="0.2">
      <c r="A16" s="57" t="s">
        <v>40</v>
      </c>
      <c r="B16" s="12" t="s">
        <v>13</v>
      </c>
      <c r="C16" s="11">
        <f>COUNTIFS(GeneDate,"&gt;="&amp;$I$2,GeneDate,"&lt;="&amp;$I$3,GenePreviousHistory,"N*",GeneMTB,"Neg*")</f>
        <v>0</v>
      </c>
      <c r="D16" s="11">
        <f>COUNTIFS(GeneDate,"&gt;="&amp;$I$2,GeneDate,"&lt;="&amp;$I$3,GenePreviousHistory,"Y*",GeneMTB,"Neg*")</f>
        <v>0</v>
      </c>
      <c r="E16" s="8">
        <f>F16-(C16+D16)</f>
        <v>0</v>
      </c>
      <c r="F16" s="8">
        <f>COUNTIFS(GeneDate,"&gt;="&amp;$I$2,GeneDate,"&lt;="&amp;$I$3,GeneMTB,"Neg*")</f>
        <v>0</v>
      </c>
      <c r="G16" s="48" t="str">
        <f>IF($F$9=SUM(F16:F19),"","Error! Cross information between Xpert result and treatment category are not match; possibly there will be Erorr or missing information on MTB result OR RIF result")</f>
        <v/>
      </c>
      <c r="H16" s="49"/>
      <c r="I16" s="10" t="str">
        <f t="shared" si="0"/>
        <v/>
      </c>
    </row>
    <row r="17" spans="1:9" x14ac:dyDescent="0.2">
      <c r="A17" s="57"/>
      <c r="B17" s="12" t="s">
        <v>39</v>
      </c>
      <c r="C17" s="11">
        <f>COUNTIFS(GeneDate,"&gt;="&amp;$I$2,GeneDate,"&lt;="&amp;$I$3,GenePreviousHistory,"N*",GeneMTB,"Pos*",GeneRif,"Neg*")</f>
        <v>0</v>
      </c>
      <c r="D17" s="11">
        <f>COUNTIFS(GeneDate,"&gt;="&amp;$I$2,GeneDate,"&lt;="&amp;$I$3,GenePreviousHistory,"Y*",GeneMTB,"Pos*",GeneRif,"Neg*")</f>
        <v>0</v>
      </c>
      <c r="E17" s="8">
        <f>F17-(C17+D17)</f>
        <v>0</v>
      </c>
      <c r="F17" s="8">
        <f>COUNTIFS(GeneDate,"&gt;="&amp;$I$2,GeneDate,"&lt;="&amp;$I$3,GeneMTB,"Pos*",GeneRif,"Neg*")</f>
        <v>0</v>
      </c>
      <c r="G17" s="48"/>
      <c r="H17" s="49"/>
      <c r="I17" s="10" t="str">
        <f t="shared" si="0"/>
        <v/>
      </c>
    </row>
    <row r="18" spans="1:9" x14ac:dyDescent="0.2">
      <c r="A18" s="57"/>
      <c r="B18" s="12" t="s">
        <v>38</v>
      </c>
      <c r="C18" s="11">
        <f>COUNTIFS(GeneDate,"&gt;="&amp;$I$2,GeneDate,"&lt;="&amp;$I$3,GenePreviousHistory,"N*",GeneMTB,"Pos*",GeneRif,"Pos*")</f>
        <v>0</v>
      </c>
      <c r="D18" s="11">
        <f>COUNTIFS(GeneDate,"&gt;="&amp;$I$2,GeneDate,"&lt;="&amp;$I$3,GenePreviousHistory,"Y*",GeneMTB,"Pos*",GeneRif,"Pos*")</f>
        <v>0</v>
      </c>
      <c r="E18" s="8">
        <f>F18-(C18+D18)</f>
        <v>0</v>
      </c>
      <c r="F18" s="8">
        <f>COUNTIFS(GeneDate,"&gt;="&amp;$I$2,GeneDate,"&lt;="&amp;$I$3,GeneMTB,"Pos*",GeneRif,"Pos*")</f>
        <v>0</v>
      </c>
      <c r="G18" s="48"/>
      <c r="H18" s="49"/>
      <c r="I18" s="10" t="str">
        <f t="shared" si="0"/>
        <v/>
      </c>
    </row>
    <row r="19" spans="1:9" x14ac:dyDescent="0.2">
      <c r="A19" s="57"/>
      <c r="B19" s="12" t="s">
        <v>48</v>
      </c>
      <c r="C19" s="11">
        <f>COUNTIFS(GeneDate,"&gt;="&amp;$I$2,GeneDate,"&lt;="&amp;$I$3,GenePreviousHistory,"N*",GeneMTB,"Pos*",GeneRif,"IND*")</f>
        <v>0</v>
      </c>
      <c r="D19" s="11">
        <f>COUNTIFS(GeneDate,"&gt;="&amp;$I$2,GeneDate,"&lt;="&amp;$I$3,GenePreviousHistory,"Y*",GeneMTB,"Pos*",GeneRif,"IND*")</f>
        <v>0</v>
      </c>
      <c r="E19" s="8">
        <f>F19-(C19+D19)</f>
        <v>0</v>
      </c>
      <c r="F19" s="8">
        <f>COUNTIFS(GeneDate,"&gt;="&amp;$I$2,GeneDate,"&lt;="&amp;$I$3,GeneMTB,"Pos*",GeneRif,"IND*")</f>
        <v>0</v>
      </c>
      <c r="G19" s="48"/>
      <c r="H19" s="49"/>
      <c r="I19" s="10" t="str">
        <f t="shared" si="0"/>
        <v/>
      </c>
    </row>
    <row r="20" spans="1:9" ht="12" customHeight="1" x14ac:dyDescent="0.2">
      <c r="E20" s="7"/>
      <c r="F20" s="7"/>
      <c r="G20" s="7"/>
    </row>
    <row r="21" spans="1:9" x14ac:dyDescent="0.2">
      <c r="A21" s="2" t="s">
        <v>47</v>
      </c>
      <c r="E21" s="7"/>
      <c r="F21" s="7"/>
      <c r="G21" s="7"/>
    </row>
    <row r="22" spans="1:9" ht="30" x14ac:dyDescent="0.2">
      <c r="A22" s="12"/>
      <c r="B22" s="12"/>
      <c r="C22" s="14" t="s">
        <v>46</v>
      </c>
      <c r="D22" s="14" t="s">
        <v>45</v>
      </c>
      <c r="E22" s="13" t="s">
        <v>15</v>
      </c>
      <c r="F22" s="13" t="s">
        <v>33</v>
      </c>
      <c r="G22" s="7"/>
    </row>
    <row r="23" spans="1:9" ht="15" customHeight="1" x14ac:dyDescent="0.2">
      <c r="A23" s="58" t="s">
        <v>44</v>
      </c>
      <c r="B23" s="12" t="s">
        <v>43</v>
      </c>
      <c r="C23" s="11">
        <f>COUNTIFS(GeneDate,"&gt;="&amp;$I$2,GeneDate,"&lt;="&amp;$I$3,GeneMicroscope,"Pos*",GeneHIV,"Pos*",GeneMTB,"*tive")</f>
        <v>0</v>
      </c>
      <c r="D23" s="11">
        <f>COUNTIFS(GeneDate,"&gt;="&amp;$I$2,GeneDate,"&lt;="&amp;$I$3,GeneMicroscope,"Pos*",GeneHIV,"Neg*",GeneMTB,"*tive")</f>
        <v>0</v>
      </c>
      <c r="E23" s="8">
        <f>COUNTIFS(GeneDate,"&gt;="&amp;$I$2,GeneDate,"&lt;="&amp;$I$3,GeneMicroscope,"Pos*",GeneHIV,"Un*",GeneMTB,"*tive")</f>
        <v>0</v>
      </c>
      <c r="F23" s="8">
        <f>COUNTIFS(GeneDate,"&gt;="&amp;$I$2,GeneDate,"&lt;="&amp;$I$3,GeneMicroscope,"Pos*",GeneMTB,"*tive")</f>
        <v>0</v>
      </c>
      <c r="G23" s="48" t="str">
        <f>IF($F$9=SUM(F23:F25),"","Error! Cross information between Microscope Result and HIV Status are not match; possibly there will be Erorr or missing information on Microscope Result OR HIV Status")</f>
        <v/>
      </c>
      <c r="H23" s="49"/>
      <c r="I23" s="10" t="str">
        <f t="shared" ref="I23:I29" si="1">IF(SUM(C23:E23)=F23,"","Check Total Vaue &amp; Category")</f>
        <v/>
      </c>
    </row>
    <row r="24" spans="1:9" x14ac:dyDescent="0.2">
      <c r="A24" s="59"/>
      <c r="B24" s="12" t="s">
        <v>42</v>
      </c>
      <c r="C24" s="11">
        <f>COUNTIFS(GeneDate,"&gt;="&amp;$I$2,GeneDate,"&lt;="&amp;$I$3,GeneMicroscope,"Neg*",GeneHIV,"Pos*",GeneMTB,"*tive")</f>
        <v>0</v>
      </c>
      <c r="D24" s="11">
        <f>COUNTIFS(GeneDate,"&gt;="&amp;$I$2,GeneDate,"&lt;="&amp;$I$3,GeneMicroscope,"Neg*",GeneHIV,"Neg*",GeneMTB,"*tive")</f>
        <v>0</v>
      </c>
      <c r="E24" s="8">
        <f>COUNTIFS(GeneDate,"&gt;="&amp;$I$2,GeneDate,"&lt;="&amp;$I$3,GeneMicroscope,"Neg*",GeneHIV,"Un*",GeneMTB,"*tive")</f>
        <v>0</v>
      </c>
      <c r="F24" s="8">
        <f>COUNTIFS(GeneDate,"&gt;="&amp;$I$2,GeneDate,"&lt;="&amp;$I$3,GeneMicroscope,"Neg*",GeneMTB,"*tive")</f>
        <v>0</v>
      </c>
      <c r="G24" s="48"/>
      <c r="H24" s="49"/>
      <c r="I24" s="10" t="str">
        <f t="shared" si="1"/>
        <v/>
      </c>
    </row>
    <row r="25" spans="1:9" x14ac:dyDescent="0.2">
      <c r="A25" s="60"/>
      <c r="B25" s="12" t="s">
        <v>41</v>
      </c>
      <c r="C25" s="11">
        <f>COUNTIFS(GeneDate,"&gt;="&amp;$I$2,GeneDate,"&lt;="&amp;$I$3,GeneMicroscope,"Not*",GeneHIV,"Pos*",GeneMTB,"*tive")</f>
        <v>0</v>
      </c>
      <c r="D25" s="11">
        <f>COUNTIFS(GeneDate,"&gt;="&amp;$I$2,GeneDate,"&lt;="&amp;$I$3,GeneMicroscope,"Not*",GeneHIV,"Neg*",GeneMTB,"*tive")</f>
        <v>0</v>
      </c>
      <c r="E25" s="8">
        <f>COUNTIFS(GeneDate,"&gt;="&amp;$I$2,GeneDate,"&lt;="&amp;$I$3,GeneMicroscope,"Not*",GeneHIV,"Un*",GeneMTB,"*tive")</f>
        <v>0</v>
      </c>
      <c r="F25" s="8">
        <f>COUNTIFS(GeneDate,"&gt;="&amp;$I$2,GeneDate,"&lt;="&amp;$I$3,GeneMicroscope,"Not*",GeneMTB,"*tive")</f>
        <v>0</v>
      </c>
      <c r="G25" s="48"/>
      <c r="H25" s="49"/>
      <c r="I25" s="10" t="str">
        <f t="shared" si="1"/>
        <v/>
      </c>
    </row>
    <row r="26" spans="1:9" x14ac:dyDescent="0.2">
      <c r="A26" s="57" t="s">
        <v>40</v>
      </c>
      <c r="B26" s="12" t="s">
        <v>13</v>
      </c>
      <c r="C26" s="11">
        <f>COUNTIFS(GeneDate,"&gt;="&amp;$I$2,GeneDate,"&lt;="&amp;$I$3,GeneHIV,"Pos*",GeneMTB,"Neg*")</f>
        <v>0</v>
      </c>
      <c r="D26" s="11">
        <f>COUNTIFS(GeneDate,"&gt;="&amp;$I$2,GeneDate,"&lt;="&amp;$I$3,GeneHIV,"Neg*",GeneMTB,"Neg*")</f>
        <v>0</v>
      </c>
      <c r="E26" s="8">
        <f>COUNTIFS(GeneDate,"&gt;="&amp;$I$2,GeneDate,"&lt;="&amp;$I$3,GeneHIV,"Un*",GeneMTB,"Neg*")</f>
        <v>0</v>
      </c>
      <c r="F26" s="8">
        <f>COUNTIFS(GeneDate,"&gt;="&amp;$I$2,GeneDate,"&lt;="&amp;$I$3,GeneMTB,"*tive",GeneMTB,"Neg*")</f>
        <v>0</v>
      </c>
      <c r="G26" s="48" t="str">
        <f>IF($F$9=SUM(F26:F29),"","Error! Cross information between Xpert result and HIV Status are not match; possibly there will be Erorr or missing information on MTB result OR HIV Status")</f>
        <v/>
      </c>
      <c r="H26" s="49"/>
      <c r="I26" s="10" t="str">
        <f t="shared" si="1"/>
        <v/>
      </c>
    </row>
    <row r="27" spans="1:9" x14ac:dyDescent="0.2">
      <c r="A27" s="57"/>
      <c r="B27" s="12" t="s">
        <v>39</v>
      </c>
      <c r="C27" s="11">
        <f>COUNTIFS(GeneDate,"&gt;="&amp;$I$2,GeneDate,"&lt;="&amp;$I$3,GeneHIV,"Pos*",GeneMTB,"Pos*",GeneRif,"Neg*")</f>
        <v>0</v>
      </c>
      <c r="D27" s="11">
        <f>COUNTIFS(GeneDate,"&gt;="&amp;$I$2,GeneDate,"&lt;="&amp;$I$3,GeneHIV,"Neg*",GeneMTB,"Pos*",GeneRif,"Neg*")</f>
        <v>0</v>
      </c>
      <c r="E27" s="8">
        <f>COUNTIFS(GeneDate,"&gt;="&amp;$I$2,GeneDate,"&lt;="&amp;$I$3,GeneHIV,"Un*",GeneMTB,"Pos*",GeneRif,"Neg*")</f>
        <v>0</v>
      </c>
      <c r="F27" s="8">
        <f>COUNTIFS(GeneDate,"&gt;="&amp;$I$2,GeneDate,"&lt;="&amp;$I$3,GeneMTB,"Pos*",GeneRif,"Neg*")</f>
        <v>0</v>
      </c>
      <c r="G27" s="48"/>
      <c r="H27" s="49"/>
      <c r="I27" s="10" t="str">
        <f t="shared" si="1"/>
        <v/>
      </c>
    </row>
    <row r="28" spans="1:9" x14ac:dyDescent="0.2">
      <c r="A28" s="57"/>
      <c r="B28" s="12" t="s">
        <v>38</v>
      </c>
      <c r="C28" s="11">
        <f>COUNTIFS(GeneDate,"&gt;="&amp;$I$2,GeneDate,"&lt;="&amp;$I$3,GeneHIV,"Pos*",GeneMTB,"Pos*",GeneRif,"Pos*")</f>
        <v>0</v>
      </c>
      <c r="D28" s="11">
        <f>COUNTIFS(GeneDate,"&gt;="&amp;$I$2,GeneDate,"&lt;="&amp;$I$3,GeneHIV,"Neg*",GeneMTB,"Pos*",GeneRif,"Pos*")</f>
        <v>0</v>
      </c>
      <c r="E28" s="8">
        <f>COUNTIFS(GeneDate,"&gt;="&amp;$I$2,GeneDate,"&lt;="&amp;$I$3,GeneHIV,"Un*",GeneMTB,"Pos*",GeneRif,"Pos*")</f>
        <v>0</v>
      </c>
      <c r="F28" s="8">
        <f>COUNTIFS(GeneDate,"&gt;="&amp;$I$2,GeneDate,"&lt;="&amp;$I$3,GeneMTB,"Pos*",GeneRif,"Pos*")</f>
        <v>0</v>
      </c>
      <c r="G28" s="48"/>
      <c r="H28" s="49"/>
      <c r="I28" s="10" t="str">
        <f t="shared" si="1"/>
        <v/>
      </c>
    </row>
    <row r="29" spans="1:9" x14ac:dyDescent="0.2">
      <c r="A29" s="57"/>
      <c r="B29" s="12" t="s">
        <v>37</v>
      </c>
      <c r="C29" s="11">
        <f>COUNTIFS(GeneDate,"&gt;="&amp;$I$2,GeneDate,"&lt;="&amp;$I$3,GeneHIV,"Pos*",GeneMTB,"Pos*",GeneRif,"IND*")</f>
        <v>0</v>
      </c>
      <c r="D29" s="11">
        <f>COUNTIFS(GeneDate,"&gt;="&amp;$I$2,GeneDate,"&lt;="&amp;$I$3,GeneHIV,"Neg*",GeneMTB,"Pos*",GeneRif,"IND*")</f>
        <v>0</v>
      </c>
      <c r="E29" s="8">
        <f>COUNTIFS(GeneDate,"&gt;="&amp;$I$2,GeneDate,"&lt;="&amp;$I$3,GeneHIV,"Un*",GeneMTB,"Pos*",GeneRif,"IND*")</f>
        <v>0</v>
      </c>
      <c r="F29" s="8">
        <f>COUNTIFS(GeneDate,"&gt;="&amp;$I$2,GeneDate,"&lt;="&amp;$I$3,GeneMTB,"Pos*",GeneRif,"IND*")</f>
        <v>0</v>
      </c>
      <c r="G29" s="48"/>
      <c r="H29" s="49"/>
      <c r="I29" s="10" t="str">
        <f t="shared" si="1"/>
        <v/>
      </c>
    </row>
    <row r="30" spans="1:9" ht="12" customHeight="1" x14ac:dyDescent="0.2">
      <c r="E30" s="7"/>
      <c r="F30" s="7"/>
      <c r="G30" s="7"/>
    </row>
    <row r="31" spans="1:9" x14ac:dyDescent="0.2">
      <c r="A31" s="4"/>
      <c r="B31" s="25"/>
      <c r="C31" s="61" t="s">
        <v>14</v>
      </c>
      <c r="D31" s="62"/>
      <c r="E31" s="61" t="s">
        <v>16</v>
      </c>
      <c r="F31" s="62"/>
      <c r="G31" s="9" t="s">
        <v>33</v>
      </c>
    </row>
    <row r="32" spans="1:9" x14ac:dyDescent="0.2">
      <c r="A32" s="24" t="s">
        <v>62</v>
      </c>
      <c r="B32" s="24"/>
      <c r="C32" s="61">
        <f>COUNTIFS(GeneDate,"&gt;="&amp;$I$2,GeneDate,"&lt;="&amp;$I$3,GeneMTB,"Pos*",GeneRif,"Pos*",GeneSex,"Male")</f>
        <v>0</v>
      </c>
      <c r="D32" s="62"/>
      <c r="E32" s="64">
        <f>COUNTIFS(GeneDate,"&gt;="&amp;$I$2,GeneDate,"&lt;="&amp;$I$3,GeneMTB,"Pos*",GeneRif,"Pos*",GeneSex,"Female")</f>
        <v>0</v>
      </c>
      <c r="F32" s="65"/>
      <c r="G32" s="8">
        <f>COUNTIFS(GeneDate,"&gt;="&amp;$I$2,GeneDate,"&lt;="&amp;$I$3,GeneMTB,"Pos*",GeneRif,"Pos*")</f>
        <v>0</v>
      </c>
    </row>
    <row r="33" spans="1:10" ht="12" customHeight="1" x14ac:dyDescent="0.2">
      <c r="E33" s="7"/>
      <c r="F33" s="7"/>
      <c r="G33" s="7"/>
    </row>
    <row r="34" spans="1:10" x14ac:dyDescent="0.2">
      <c r="A34" s="2" t="s">
        <v>36</v>
      </c>
      <c r="E34" s="7"/>
      <c r="F34" s="7"/>
      <c r="G34" s="7"/>
    </row>
    <row r="35" spans="1:10" x14ac:dyDescent="0.2">
      <c r="A35" s="61"/>
      <c r="B35" s="62"/>
      <c r="C35" s="61" t="s">
        <v>35</v>
      </c>
      <c r="D35" s="62"/>
      <c r="E35" s="64" t="s">
        <v>34</v>
      </c>
      <c r="F35" s="65"/>
      <c r="G35" s="9" t="s">
        <v>33</v>
      </c>
    </row>
    <row r="36" spans="1:10" x14ac:dyDescent="0.2">
      <c r="A36" s="50" t="s">
        <v>32</v>
      </c>
      <c r="B36" s="50"/>
      <c r="C36" s="51">
        <f>COUNTIFS(GeneDate,"&gt;="&amp;$I$2,GeneDate,"&lt;="&amp;$I$3,GeneMTB,"Pos*",GeneMicroscope,"Pos*")</f>
        <v>0</v>
      </c>
      <c r="D36" s="52"/>
      <c r="E36" s="53">
        <f>COUNTIFS(GeneDate,"&gt;="&amp;$I$2,GeneDate,"&lt;="&amp;$I$3,GeneMTB,"Neg*",GeneMicroscope,"Pos*")</f>
        <v>0</v>
      </c>
      <c r="F36" s="54"/>
      <c r="G36" s="8">
        <f>COUNTIFS(GeneDate,"&gt;="&amp;$I$2,GeneDate,"&lt;="&amp;$I$3,GeneMicroscope,"Pos*",GeneMTB,"*tive")</f>
        <v>0</v>
      </c>
      <c r="H36" s="55" t="str">
        <f>IF($F$9=SUM(G36:G38),"","Error! Cross information between Xpert result and Microscope result are not match; possibly there will be Erorr or missing information on MTB result OR Microscope result")</f>
        <v/>
      </c>
      <c r="I36" s="56"/>
      <c r="J36" s="2" t="str">
        <f>IF(SUM(C36:F36)=G36,"","Check Total Vaue &amp; Category")</f>
        <v/>
      </c>
    </row>
    <row r="37" spans="1:10" x14ac:dyDescent="0.2">
      <c r="A37" s="50" t="s">
        <v>31</v>
      </c>
      <c r="B37" s="50"/>
      <c r="C37" s="51">
        <f>COUNTIFS(GeneDate,"&gt;="&amp;$I$2,GeneDate,"&lt;="&amp;$I$3,GeneMTB,"Pos*",GeneMicroscope,"Neg*")</f>
        <v>0</v>
      </c>
      <c r="D37" s="52"/>
      <c r="E37" s="53">
        <f>COUNTIFS(GeneDate,"&gt;="&amp;$I$2,GeneDate,"&lt;="&amp;$I$3,GeneMTB,"Neg*",GeneMicroscope,"Neg*")</f>
        <v>0</v>
      </c>
      <c r="F37" s="54"/>
      <c r="G37" s="8">
        <f>COUNTIFS(GeneDate,"&gt;="&amp;$I$2,GeneDate,"&lt;="&amp;$I$3,GeneMicroscope,"Neg*",GeneMTB,"*tive")</f>
        <v>0</v>
      </c>
      <c r="H37" s="55"/>
      <c r="I37" s="56"/>
      <c r="J37" s="2" t="str">
        <f>IF(SUM(C37:F37)=G37,"","Check Total Vaue &amp; Category")</f>
        <v/>
      </c>
    </row>
    <row r="38" spans="1:10" x14ac:dyDescent="0.2">
      <c r="A38" s="50" t="s">
        <v>30</v>
      </c>
      <c r="B38" s="50"/>
      <c r="C38" s="51">
        <f>COUNTIFS(GeneDate,"&gt;="&amp;$I$2,GeneDate,"&lt;="&amp;$I$3,GeneMTB,"Pos*",GeneMicroscope,"Not*")</f>
        <v>0</v>
      </c>
      <c r="D38" s="52"/>
      <c r="E38" s="53">
        <f>COUNTIFS(GeneDate,"&gt;="&amp;$I$2,GeneDate,"&lt;="&amp;$I$3,GeneMTB,"Neg*",GeneMicroscope,"Not*")</f>
        <v>0</v>
      </c>
      <c r="F38" s="54"/>
      <c r="G38" s="8">
        <f>COUNTIFS(GeneDate,"&gt;="&amp;$I$2,GeneDate,"&lt;="&amp;$I$3,GeneMTB,"*tive",GeneMicroscope,"Not*")</f>
        <v>0</v>
      </c>
      <c r="H38" s="55"/>
      <c r="I38" s="56"/>
      <c r="J38" s="2" t="str">
        <f>IF(SUM(C38:F38)=G38,"","Check Total Vaue &amp; Category")</f>
        <v/>
      </c>
    </row>
    <row r="39" spans="1:10" ht="12" customHeight="1" x14ac:dyDescent="0.2">
      <c r="D39" s="2" t="str">
        <f>IF(SUM(C36:D38)=SUM(F27:F29),"","Error")</f>
        <v/>
      </c>
      <c r="E39" s="7"/>
      <c r="F39" s="7"/>
      <c r="G39" s="7"/>
    </row>
    <row r="40" spans="1:10" x14ac:dyDescent="0.2">
      <c r="A40" s="2" t="s">
        <v>29</v>
      </c>
    </row>
    <row r="41" spans="1:10" x14ac:dyDescent="0.2">
      <c r="A41" s="66"/>
      <c r="B41" s="66"/>
      <c r="C41" s="61" t="s">
        <v>28</v>
      </c>
      <c r="D41" s="62"/>
      <c r="E41" s="66" t="s">
        <v>27</v>
      </c>
      <c r="F41" s="66"/>
    </row>
    <row r="42" spans="1:10" x14ac:dyDescent="0.2">
      <c r="A42" s="50" t="s">
        <v>26</v>
      </c>
      <c r="B42" s="50"/>
      <c r="C42" s="51"/>
      <c r="D42" s="52"/>
      <c r="E42" s="67"/>
      <c r="F42" s="67"/>
    </row>
    <row r="43" spans="1:10" x14ac:dyDescent="0.2">
      <c r="A43" s="50" t="s">
        <v>25</v>
      </c>
      <c r="B43" s="50"/>
      <c r="C43" s="51"/>
      <c r="D43" s="52"/>
      <c r="E43" s="67" t="s">
        <v>24</v>
      </c>
      <c r="F43" s="67"/>
    </row>
    <row r="44" spans="1:10" x14ac:dyDescent="0.2">
      <c r="A44" s="50" t="s">
        <v>23</v>
      </c>
      <c r="B44" s="50"/>
      <c r="C44" s="68">
        <f>C46+F9+C47</f>
        <v>0</v>
      </c>
      <c r="D44" s="69"/>
      <c r="E44" s="67"/>
      <c r="F44" s="67"/>
      <c r="G44" s="6"/>
    </row>
    <row r="45" spans="1:10" x14ac:dyDescent="0.2">
      <c r="A45" s="50" t="s">
        <v>22</v>
      </c>
      <c r="B45" s="50"/>
      <c r="C45" s="68">
        <f>SUM(C42+C43)-C44</f>
        <v>0</v>
      </c>
      <c r="D45" s="69"/>
      <c r="E45" s="67"/>
      <c r="F45" s="67"/>
    </row>
    <row r="46" spans="1:10" x14ac:dyDescent="0.2">
      <c r="A46" s="5" t="s">
        <v>21</v>
      </c>
      <c r="B46" s="5"/>
      <c r="C46" s="23">
        <f>COUNTIFS(GeneDate,"&gt;="&amp;$I$2,GeneDate,"&lt;="&amp;$I$3,GeneMTB,"Error")+COUNTIFS(GeneDate,"&gt;="&amp;$I$2,GeneDate,"&lt;="&amp;$I$3,GeneMTB,"Invalid")+COUNTIFS(GeneDate,"&gt;="&amp;$I$2,GeneDate,"&lt;="&amp;$I$3,GeneMTB,"*Result*")</f>
        <v>0</v>
      </c>
    </row>
    <row r="47" spans="1:10" x14ac:dyDescent="0.2">
      <c r="A47" s="5" t="s">
        <v>63</v>
      </c>
      <c r="C47" s="5">
        <v>0</v>
      </c>
    </row>
    <row r="49" spans="5:7" x14ac:dyDescent="0.2">
      <c r="E49" s="2" t="s">
        <v>20</v>
      </c>
      <c r="F49" s="4"/>
      <c r="G49" s="4"/>
    </row>
    <row r="50" spans="5:7" x14ac:dyDescent="0.2">
      <c r="E50" s="2" t="s">
        <v>19</v>
      </c>
      <c r="F50" s="3"/>
      <c r="G50" s="3"/>
    </row>
    <row r="51" spans="5:7" x14ac:dyDescent="0.2">
      <c r="E51" s="2" t="s">
        <v>18</v>
      </c>
      <c r="F51" s="3"/>
      <c r="G51" s="3"/>
    </row>
    <row r="52" spans="5:7" x14ac:dyDescent="0.2">
      <c r="E52" s="2" t="s">
        <v>17</v>
      </c>
      <c r="F52" s="3"/>
      <c r="G52" s="3"/>
    </row>
  </sheetData>
  <sheetProtection algorithmName="SHA-512" hashValue="R3ihetq6aT2i7F3Drie06jMkdEKGCcFdqBrSzqe0nJ4QHvCbnOISSP6rGiBZ/Z/pSLSH9XsJEygm/RJgxNs78Q==" saltValue="x7TpXCkSdOujQGY27LTRDA==" spinCount="100000" sheet="1" objects="1" scenarios="1"/>
  <protectedRanges>
    <protectedRange sqref="B4" name="Range3"/>
    <protectedRange sqref="I2:I3" name="Range2"/>
    <protectedRange sqref="C42:F43 C45 E44:F45 C47" name="Range1"/>
  </protectedRanges>
  <mergeCells count="45">
    <mergeCell ref="A45:B45"/>
    <mergeCell ref="C45:D45"/>
    <mergeCell ref="E45:F45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6:B36"/>
    <mergeCell ref="C36:D36"/>
    <mergeCell ref="E36:F36"/>
    <mergeCell ref="H36:I38"/>
    <mergeCell ref="A37:B37"/>
    <mergeCell ref="C37:D37"/>
    <mergeCell ref="E37:F37"/>
    <mergeCell ref="A38:B38"/>
    <mergeCell ref="C38:D38"/>
    <mergeCell ref="E38:F38"/>
    <mergeCell ref="C31:D31"/>
    <mergeCell ref="E31:F31"/>
    <mergeCell ref="C32:D32"/>
    <mergeCell ref="E32:F32"/>
    <mergeCell ref="A35:B35"/>
    <mergeCell ref="C35:D35"/>
    <mergeCell ref="E35:F35"/>
    <mergeCell ref="A26:A29"/>
    <mergeCell ref="G26:H29"/>
    <mergeCell ref="A1:F1"/>
    <mergeCell ref="A7:A8"/>
    <mergeCell ref="B7:C7"/>
    <mergeCell ref="D7:E7"/>
    <mergeCell ref="F7:F8"/>
    <mergeCell ref="A13:A15"/>
    <mergeCell ref="G13:H15"/>
    <mergeCell ref="A16:A19"/>
    <mergeCell ref="G16:H19"/>
    <mergeCell ref="A23:A25"/>
    <mergeCell ref="G23:H25"/>
  </mergeCells>
  <conditionalFormatting sqref="G13">
    <cfRule type="notContainsBlanks" dxfId="41" priority="6">
      <formula>LEN(TRIM(G13))&gt;0</formula>
    </cfRule>
  </conditionalFormatting>
  <conditionalFormatting sqref="G16">
    <cfRule type="notContainsBlanks" dxfId="40" priority="5">
      <formula>LEN(TRIM(G16))&gt;0</formula>
    </cfRule>
  </conditionalFormatting>
  <conditionalFormatting sqref="G23">
    <cfRule type="notContainsBlanks" dxfId="39" priority="4">
      <formula>LEN(TRIM(G23))&gt;0</formula>
    </cfRule>
  </conditionalFormatting>
  <conditionalFormatting sqref="G26">
    <cfRule type="notContainsBlanks" dxfId="38" priority="3">
      <formula>LEN(TRIM(G26))&gt;0</formula>
    </cfRule>
  </conditionalFormatting>
  <conditionalFormatting sqref="H36">
    <cfRule type="notContainsBlanks" dxfId="37" priority="2">
      <formula>LEN(TRIM(H36))&gt;0</formula>
    </cfRule>
  </conditionalFormatting>
  <conditionalFormatting sqref="I13:I19 I23:I29 J36:J38">
    <cfRule type="notContainsBlanks" dxfId="36" priority="1">
      <formula>LEN(TRIM(I13))&gt;0</formula>
    </cfRule>
  </conditionalFormatting>
  <pageMargins left="0.7" right="0.5" top="0.5" bottom="0.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rgb="FF00B0F0"/>
  </sheetPr>
  <dimension ref="A1:J52"/>
  <sheetViews>
    <sheetView workbookViewId="0">
      <selection activeCell="D17" sqref="D17"/>
    </sheetView>
  </sheetViews>
  <sheetFormatPr baseColWidth="10" defaultColWidth="9.1640625" defaultRowHeight="15" x14ac:dyDescent="0.2"/>
  <cols>
    <col min="1" max="1" width="14" style="2" customWidth="1"/>
    <col min="2" max="2" width="25.1640625" style="2" bestFit="1" customWidth="1"/>
    <col min="3" max="3" width="9.1640625" style="2" customWidth="1"/>
    <col min="4" max="4" width="12.33203125" style="2" bestFit="1" customWidth="1"/>
    <col min="5" max="7" width="9.6640625" style="2" customWidth="1"/>
    <col min="8" max="8" width="20.33203125" style="2" customWidth="1"/>
    <col min="9" max="9" width="20.6640625" style="2" customWidth="1"/>
    <col min="10" max="10" width="14.5" style="2" customWidth="1"/>
    <col min="11" max="16384" width="9.1640625" style="2"/>
  </cols>
  <sheetData>
    <row r="1" spans="1:9" ht="19" x14ac:dyDescent="0.25">
      <c r="A1" s="63" t="s">
        <v>60</v>
      </c>
      <c r="B1" s="63"/>
      <c r="C1" s="63"/>
      <c r="D1" s="63"/>
      <c r="E1" s="63"/>
      <c r="F1" s="63"/>
      <c r="I1" s="16" t="s">
        <v>59</v>
      </c>
    </row>
    <row r="2" spans="1:9" ht="16" x14ac:dyDescent="0.2">
      <c r="H2" s="16" t="s">
        <v>58</v>
      </c>
      <c r="I2" s="28">
        <v>42552.000011574099</v>
      </c>
    </row>
    <row r="3" spans="1:9" ht="16" x14ac:dyDescent="0.2">
      <c r="A3" s="2" t="s">
        <v>64</v>
      </c>
      <c r="C3" s="18" t="s">
        <v>68</v>
      </c>
      <c r="E3" s="2" t="s">
        <v>56</v>
      </c>
      <c r="F3" s="17">
        <f>YEAR($I$2)</f>
        <v>2016</v>
      </c>
      <c r="H3" s="16" t="s">
        <v>55</v>
      </c>
      <c r="I3" s="28">
        <v>42643.999988425901</v>
      </c>
    </row>
    <row r="4" spans="1:9" x14ac:dyDescent="0.2">
      <c r="A4" s="2" t="s">
        <v>54</v>
      </c>
    </row>
    <row r="6" spans="1:9" x14ac:dyDescent="0.2">
      <c r="A6" s="2" t="s">
        <v>53</v>
      </c>
    </row>
    <row r="7" spans="1:9" x14ac:dyDescent="0.2">
      <c r="A7" s="66"/>
      <c r="B7" s="66" t="s">
        <v>14</v>
      </c>
      <c r="C7" s="66"/>
      <c r="D7" s="66" t="s">
        <v>16</v>
      </c>
      <c r="E7" s="66"/>
      <c r="F7" s="57" t="s">
        <v>33</v>
      </c>
    </row>
    <row r="8" spans="1:9" x14ac:dyDescent="0.2">
      <c r="A8" s="66"/>
      <c r="B8" s="27" t="s">
        <v>52</v>
      </c>
      <c r="C8" s="27" t="s">
        <v>61</v>
      </c>
      <c r="D8" s="27" t="s">
        <v>52</v>
      </c>
      <c r="E8" s="27" t="s">
        <v>61</v>
      </c>
      <c r="F8" s="57"/>
    </row>
    <row r="9" spans="1:9" x14ac:dyDescent="0.2">
      <c r="A9" s="12"/>
      <c r="B9" s="11">
        <f>COUNTIFS(GeneDate,"&gt;="&amp;$I$2,GeneDate,"&lt;="&amp;$I$3,GeneAge,"&lt;15",GeneSex,"Male",GeneMTB,"*tive")</f>
        <v>0</v>
      </c>
      <c r="C9" s="11">
        <f>COUNTIFS(GeneDate,"&gt;="&amp;$I$2,GeneDate,"&lt;="&amp;$I$3,GeneAge,"&gt;=15",GeneSex,"M*",GeneMTB,"*tive")</f>
        <v>0</v>
      </c>
      <c r="D9" s="11">
        <f>COUNTIFS(GeneDate,"&gt;="&amp;$I$2,GeneDate,"&lt;="&amp;$I$3,GeneAge,"&lt;15",GeneSex,"F*",GeneMTB,"*tive")</f>
        <v>0</v>
      </c>
      <c r="E9" s="8">
        <f>COUNTIFS(GeneDate,"&gt;="&amp;$I$2,GeneDate,"&lt;="&amp;$I$3,GeneAge,"&gt;=15",GeneSex,"F*",GeneMTB,"*tive")</f>
        <v>0</v>
      </c>
      <c r="F9" s="8">
        <f>COUNTIFS(GeneDate,"&gt;="&amp;$I$2,GeneDate,"&lt;="&amp;$I$3,GeneMTB,"*tive")</f>
        <v>0</v>
      </c>
      <c r="G9" s="7" t="str">
        <f>IF(SUM(B9:E9)=F9,"","Check Total Vaue &amp; Category")</f>
        <v/>
      </c>
      <c r="H9" s="26"/>
    </row>
    <row r="10" spans="1:9" ht="12" customHeight="1" x14ac:dyDescent="0.2">
      <c r="B10" s="19"/>
      <c r="E10" s="7"/>
      <c r="F10" s="7"/>
      <c r="G10" s="7"/>
    </row>
    <row r="11" spans="1:9" x14ac:dyDescent="0.2">
      <c r="A11" s="2" t="s">
        <v>51</v>
      </c>
      <c r="E11" s="7"/>
      <c r="F11" s="7"/>
      <c r="G11" s="7"/>
    </row>
    <row r="12" spans="1:9" x14ac:dyDescent="0.2">
      <c r="A12" s="12"/>
      <c r="B12" s="12"/>
      <c r="C12" s="27" t="s">
        <v>50</v>
      </c>
      <c r="D12" s="27" t="s">
        <v>49</v>
      </c>
      <c r="E12" s="13" t="s">
        <v>15</v>
      </c>
      <c r="F12" s="13" t="s">
        <v>33</v>
      </c>
      <c r="G12" s="7"/>
    </row>
    <row r="13" spans="1:9" ht="15" customHeight="1" x14ac:dyDescent="0.2">
      <c r="A13" s="58" t="s">
        <v>44</v>
      </c>
      <c r="B13" s="12" t="s">
        <v>43</v>
      </c>
      <c r="C13" s="11">
        <f>COUNTIFS(GeneDate,"&gt;="&amp;$I$2,GeneDate,"&lt;="&amp;$I$3,GeneMicroscope,"Pos*",GenePreviousHistory,"N*",GeneMTB,"*tive")</f>
        <v>0</v>
      </c>
      <c r="D13" s="11">
        <f>COUNTIFS(GeneDate,"&gt;="&amp;$I$2,GeneDate,"&lt;="&amp;$I$3,GeneMicroscope,"Pos*",GenePreviousHistory,"Y*",GeneMTB,"*tive")</f>
        <v>0</v>
      </c>
      <c r="E13" s="8">
        <f>COUNTIFS(GeneDate,"&gt;="&amp;$I$2,GeneDate,"&lt;="&amp;$I$3,GeneMicroscope,"Pos*",GenePreviousHistory,"Un*",GeneMTB,"*tive")</f>
        <v>0</v>
      </c>
      <c r="F13" s="8">
        <f>COUNTIFS(GeneDate,"&gt;="&amp;$I$2,GeneDate,"&lt;="&amp;$I$3,GeneMicroscope,"Pos*",GeneMTB,"*tive")</f>
        <v>0</v>
      </c>
      <c r="G13" s="48" t="str">
        <f>IF($F$9=SUM(F13:F15),"","Error! Possibly there were be Error or Missing information at Microscopy Result")</f>
        <v/>
      </c>
      <c r="H13" s="49"/>
      <c r="I13" s="10" t="str">
        <f t="shared" ref="I13:I19" si="0">IF(SUM(C13:E13)=F13,"","Check Total Vaue &amp; Category")</f>
        <v/>
      </c>
    </row>
    <row r="14" spans="1:9" x14ac:dyDescent="0.2">
      <c r="A14" s="59"/>
      <c r="B14" s="12" t="s">
        <v>42</v>
      </c>
      <c r="C14" s="11">
        <f>COUNTIFS(GeneDate,"&gt;="&amp;$I$2,GeneDate,"&lt;="&amp;$I$3,GeneMicroscope,"Neg*",GenePreviousHistory,"N*",GeneMTB,"*tive")</f>
        <v>0</v>
      </c>
      <c r="D14" s="11">
        <f>COUNTIFS(GeneDate,"&gt;="&amp;$I$2,GeneDate,"&lt;="&amp;$I$3,GeneMicroscope,"Neg*",GenePreviousHistory,"Y*",GeneMTB,"*tive")</f>
        <v>0</v>
      </c>
      <c r="E14" s="8">
        <f>COUNTIFS(GeneDate,"&gt;="&amp;$I$2,GeneDate,"&lt;="&amp;$I$3,GeneMicroscope,"Neg*",GenePreviousHistory,"Un*",GeneMTB,"*tive")</f>
        <v>0</v>
      </c>
      <c r="F14" s="8">
        <f>COUNTIFS(GeneDate,"&gt;="&amp;$I$2,GeneDate,"&lt;="&amp;$I$3,GeneMicroscope,"Neg*",GeneMTB,"*tive")</f>
        <v>0</v>
      </c>
      <c r="G14" s="48"/>
      <c r="H14" s="49"/>
      <c r="I14" s="10" t="str">
        <f t="shared" si="0"/>
        <v/>
      </c>
    </row>
    <row r="15" spans="1:9" x14ac:dyDescent="0.2">
      <c r="A15" s="60"/>
      <c r="B15" s="12" t="s">
        <v>41</v>
      </c>
      <c r="C15" s="11">
        <f>COUNTIFS(GeneDate,"&gt;="&amp;$I$2,GeneDate,"&lt;="&amp;$I$3,GeneMicroscope,"Not*",GenePreviousHistory,"N*",GeneMTB,"*tive")</f>
        <v>0</v>
      </c>
      <c r="D15" s="11">
        <f>COUNTIFS(GeneDate,"&gt;="&amp;$I$2,GeneDate,"&lt;="&amp;$I$3,GeneMicroscope,"Not*",GenePreviousHistory,"Y*",GeneMTB,"*tive")</f>
        <v>0</v>
      </c>
      <c r="E15" s="8">
        <f>COUNTIFS(GeneDate,"&gt;="&amp;$I$2,GeneDate,"&lt;="&amp;$I$3,GeneMicroscope,"Not*",GenePreviousHistory,"Un*",GeneMTB,"*tive")</f>
        <v>0</v>
      </c>
      <c r="F15" s="8">
        <f>COUNTIFS(GeneDate,"&gt;="&amp;$I$2,GeneDate,"&lt;="&amp;$I$3,GeneMicroscope,"Not*",GeneMTB,"*tive")</f>
        <v>0</v>
      </c>
      <c r="G15" s="48"/>
      <c r="H15" s="49"/>
      <c r="I15" s="10" t="str">
        <f t="shared" si="0"/>
        <v/>
      </c>
    </row>
    <row r="16" spans="1:9" x14ac:dyDescent="0.2">
      <c r="A16" s="57" t="s">
        <v>40</v>
      </c>
      <c r="B16" s="12" t="s">
        <v>13</v>
      </c>
      <c r="C16" s="11">
        <f>COUNTIFS(GeneDate,"&gt;="&amp;$I$2,GeneDate,"&lt;="&amp;$I$3,GenePreviousHistory,"N*",GeneMTB,"Neg*")</f>
        <v>0</v>
      </c>
      <c r="D16" s="11">
        <f>COUNTIFS(GeneDate,"&gt;="&amp;$I$2,GeneDate,"&lt;="&amp;$I$3,GenePreviousHistory,"Y*",GeneMTB,"Neg*")</f>
        <v>0</v>
      </c>
      <c r="E16" s="8">
        <f>F16-(C16+D16)</f>
        <v>0</v>
      </c>
      <c r="F16" s="8">
        <f>COUNTIFS(GeneDate,"&gt;="&amp;$I$2,GeneDate,"&lt;="&amp;$I$3,GeneMTB,"Neg*")</f>
        <v>0</v>
      </c>
      <c r="G16" s="48" t="str">
        <f>IF($F$9=SUM(F16:F19),"","Error! Cross information between Xpert result and treatment category are not match; possibly there will be Erorr or missing information on MTB result OR RIF result")</f>
        <v/>
      </c>
      <c r="H16" s="49"/>
      <c r="I16" s="10" t="str">
        <f t="shared" si="0"/>
        <v/>
      </c>
    </row>
    <row r="17" spans="1:9" x14ac:dyDescent="0.2">
      <c r="A17" s="57"/>
      <c r="B17" s="12" t="s">
        <v>39</v>
      </c>
      <c r="C17" s="11">
        <f>COUNTIFS(GeneDate,"&gt;="&amp;$I$2,GeneDate,"&lt;="&amp;$I$3,GenePreviousHistory,"N*",GeneMTB,"Pos*",GeneRif,"Neg*")</f>
        <v>0</v>
      </c>
      <c r="D17" s="11">
        <f>COUNTIFS(GeneDate,"&gt;="&amp;$I$2,GeneDate,"&lt;="&amp;$I$3,GenePreviousHistory,"Y*",GeneMTB,"Pos*",GeneRif,"Neg*")</f>
        <v>0</v>
      </c>
      <c r="E17" s="8">
        <f>F17-(C17+D17)</f>
        <v>0</v>
      </c>
      <c r="F17" s="8">
        <f>COUNTIFS(GeneDate,"&gt;="&amp;$I$2,GeneDate,"&lt;="&amp;$I$3,GeneMTB,"Pos*",GeneRif,"Neg*")</f>
        <v>0</v>
      </c>
      <c r="G17" s="48"/>
      <c r="H17" s="49"/>
      <c r="I17" s="10" t="str">
        <f t="shared" si="0"/>
        <v/>
      </c>
    </row>
    <row r="18" spans="1:9" x14ac:dyDescent="0.2">
      <c r="A18" s="57"/>
      <c r="B18" s="12" t="s">
        <v>38</v>
      </c>
      <c r="C18" s="11">
        <f>COUNTIFS(GeneDate,"&gt;="&amp;$I$2,GeneDate,"&lt;="&amp;$I$3,GenePreviousHistory,"N*",GeneMTB,"Pos*",GeneRif,"Pos*")</f>
        <v>0</v>
      </c>
      <c r="D18" s="11">
        <f>COUNTIFS(GeneDate,"&gt;="&amp;$I$2,GeneDate,"&lt;="&amp;$I$3,GenePreviousHistory,"Y*",GeneMTB,"Pos*",GeneRif,"Pos*")</f>
        <v>0</v>
      </c>
      <c r="E18" s="8">
        <f>F18-(C18+D18)</f>
        <v>0</v>
      </c>
      <c r="F18" s="8">
        <f>COUNTIFS(GeneDate,"&gt;="&amp;$I$2,GeneDate,"&lt;="&amp;$I$3,GeneMTB,"Pos*",GeneRif,"Pos*")</f>
        <v>0</v>
      </c>
      <c r="G18" s="48"/>
      <c r="H18" s="49"/>
      <c r="I18" s="10" t="str">
        <f t="shared" si="0"/>
        <v/>
      </c>
    </row>
    <row r="19" spans="1:9" x14ac:dyDescent="0.2">
      <c r="A19" s="57"/>
      <c r="B19" s="12" t="s">
        <v>48</v>
      </c>
      <c r="C19" s="11">
        <f>COUNTIFS(GeneDate,"&gt;="&amp;$I$2,GeneDate,"&lt;="&amp;$I$3,GenePreviousHistory,"N*",GeneMTB,"Pos*",GeneRif,"IND*")</f>
        <v>0</v>
      </c>
      <c r="D19" s="11">
        <f>COUNTIFS(GeneDate,"&gt;="&amp;$I$2,GeneDate,"&lt;="&amp;$I$3,GenePreviousHistory,"Y*",GeneMTB,"Pos*",GeneRif,"IND*")</f>
        <v>0</v>
      </c>
      <c r="E19" s="8">
        <f>F19-(C19+D19)</f>
        <v>0</v>
      </c>
      <c r="F19" s="8">
        <f>COUNTIFS(GeneDate,"&gt;="&amp;$I$2,GeneDate,"&lt;="&amp;$I$3,GeneMTB,"Pos*",GeneRif,"IND*")</f>
        <v>0</v>
      </c>
      <c r="G19" s="48"/>
      <c r="H19" s="49"/>
      <c r="I19" s="10" t="str">
        <f t="shared" si="0"/>
        <v/>
      </c>
    </row>
    <row r="20" spans="1:9" ht="12" customHeight="1" x14ac:dyDescent="0.2">
      <c r="E20" s="7"/>
      <c r="F20" s="7"/>
      <c r="G20" s="7"/>
    </row>
    <row r="21" spans="1:9" x14ac:dyDescent="0.2">
      <c r="A21" s="2" t="s">
        <v>47</v>
      </c>
      <c r="E21" s="7"/>
      <c r="F21" s="7"/>
      <c r="G21" s="7"/>
    </row>
    <row r="22" spans="1:9" ht="30" x14ac:dyDescent="0.2">
      <c r="A22" s="12"/>
      <c r="B22" s="12"/>
      <c r="C22" s="14" t="s">
        <v>46</v>
      </c>
      <c r="D22" s="14" t="s">
        <v>45</v>
      </c>
      <c r="E22" s="13" t="s">
        <v>15</v>
      </c>
      <c r="F22" s="13" t="s">
        <v>33</v>
      </c>
      <c r="G22" s="7"/>
    </row>
    <row r="23" spans="1:9" ht="15" customHeight="1" x14ac:dyDescent="0.2">
      <c r="A23" s="58" t="s">
        <v>44</v>
      </c>
      <c r="B23" s="12" t="s">
        <v>43</v>
      </c>
      <c r="C23" s="11">
        <f>COUNTIFS(GeneDate,"&gt;="&amp;$I$2,GeneDate,"&lt;="&amp;$I$3,GeneMicroscope,"Pos*",GeneHIV,"Pos*",GeneMTB,"*tive")</f>
        <v>0</v>
      </c>
      <c r="D23" s="11">
        <f>COUNTIFS(GeneDate,"&gt;="&amp;$I$2,GeneDate,"&lt;="&amp;$I$3,GeneMicroscope,"Pos*",GeneHIV,"Neg*",GeneMTB,"*tive")</f>
        <v>0</v>
      </c>
      <c r="E23" s="8">
        <f>COUNTIFS(GeneDate,"&gt;="&amp;$I$2,GeneDate,"&lt;="&amp;$I$3,GeneMicroscope,"Pos*",GeneHIV,"Un*",GeneMTB,"*tive")</f>
        <v>0</v>
      </c>
      <c r="F23" s="8">
        <f>COUNTIFS(GeneDate,"&gt;="&amp;$I$2,GeneDate,"&lt;="&amp;$I$3,GeneMicroscope,"Pos*",GeneMTB,"*tive")</f>
        <v>0</v>
      </c>
      <c r="G23" s="48" t="str">
        <f>IF($F$9=SUM(F23:F25),"","Error! Cross information between Microscope Result and HIV Status are not match; possibly there will be Erorr or missing information on Microscope Result OR HIV Status")</f>
        <v/>
      </c>
      <c r="H23" s="49"/>
      <c r="I23" s="10" t="str">
        <f t="shared" ref="I23:I29" si="1">IF(SUM(C23:E23)=F23,"","Check Total Vaue &amp; Category")</f>
        <v/>
      </c>
    </row>
    <row r="24" spans="1:9" x14ac:dyDescent="0.2">
      <c r="A24" s="59"/>
      <c r="B24" s="12" t="s">
        <v>42</v>
      </c>
      <c r="C24" s="11">
        <f>COUNTIFS(GeneDate,"&gt;="&amp;$I$2,GeneDate,"&lt;="&amp;$I$3,GeneMicroscope,"Neg*",GeneHIV,"Pos*",GeneMTB,"*tive")</f>
        <v>0</v>
      </c>
      <c r="D24" s="11">
        <f>COUNTIFS(GeneDate,"&gt;="&amp;$I$2,GeneDate,"&lt;="&amp;$I$3,GeneMicroscope,"Neg*",GeneHIV,"Neg*",GeneMTB,"*tive")</f>
        <v>0</v>
      </c>
      <c r="E24" s="8">
        <f>COUNTIFS(GeneDate,"&gt;="&amp;$I$2,GeneDate,"&lt;="&amp;$I$3,GeneMicroscope,"Neg*",GeneHIV,"Un*",GeneMTB,"*tive")</f>
        <v>0</v>
      </c>
      <c r="F24" s="8">
        <f>COUNTIFS(GeneDate,"&gt;="&amp;$I$2,GeneDate,"&lt;="&amp;$I$3,GeneMicroscope,"Neg*",GeneMTB,"*tive")</f>
        <v>0</v>
      </c>
      <c r="G24" s="48"/>
      <c r="H24" s="49"/>
      <c r="I24" s="10" t="str">
        <f t="shared" si="1"/>
        <v/>
      </c>
    </row>
    <row r="25" spans="1:9" x14ac:dyDescent="0.2">
      <c r="A25" s="60"/>
      <c r="B25" s="12" t="s">
        <v>41</v>
      </c>
      <c r="C25" s="11">
        <f>COUNTIFS(GeneDate,"&gt;="&amp;$I$2,GeneDate,"&lt;="&amp;$I$3,GeneMicroscope,"Not*",GeneHIV,"Pos*",GeneMTB,"*tive")</f>
        <v>0</v>
      </c>
      <c r="D25" s="11">
        <f>COUNTIFS(GeneDate,"&gt;="&amp;$I$2,GeneDate,"&lt;="&amp;$I$3,GeneMicroscope,"Not*",GeneHIV,"Neg*",GeneMTB,"*tive")</f>
        <v>0</v>
      </c>
      <c r="E25" s="8">
        <f>COUNTIFS(GeneDate,"&gt;="&amp;$I$2,GeneDate,"&lt;="&amp;$I$3,GeneMicroscope,"Not*",GeneHIV,"Un*",GeneMTB,"*tive")</f>
        <v>0</v>
      </c>
      <c r="F25" s="8">
        <f>COUNTIFS(GeneDate,"&gt;="&amp;$I$2,GeneDate,"&lt;="&amp;$I$3,GeneMicroscope,"Not*",GeneMTB,"*tive")</f>
        <v>0</v>
      </c>
      <c r="G25" s="48"/>
      <c r="H25" s="49"/>
      <c r="I25" s="10" t="str">
        <f t="shared" si="1"/>
        <v/>
      </c>
    </row>
    <row r="26" spans="1:9" x14ac:dyDescent="0.2">
      <c r="A26" s="57" t="s">
        <v>40</v>
      </c>
      <c r="B26" s="12" t="s">
        <v>13</v>
      </c>
      <c r="C26" s="11">
        <f>COUNTIFS(GeneDate,"&gt;="&amp;$I$2,GeneDate,"&lt;="&amp;$I$3,GeneHIV,"Pos*",GeneMTB,"Neg*")</f>
        <v>0</v>
      </c>
      <c r="D26" s="11">
        <f>COUNTIFS(GeneDate,"&gt;="&amp;$I$2,GeneDate,"&lt;="&amp;$I$3,GeneHIV,"Neg*",GeneMTB,"Neg*")</f>
        <v>0</v>
      </c>
      <c r="E26" s="8">
        <f>COUNTIFS(GeneDate,"&gt;="&amp;$I$2,GeneDate,"&lt;="&amp;$I$3,GeneHIV,"Un*",GeneMTB,"Neg*")</f>
        <v>0</v>
      </c>
      <c r="F26" s="8">
        <f>COUNTIFS(GeneDate,"&gt;="&amp;$I$2,GeneDate,"&lt;="&amp;$I$3,GeneMTB,"*tive",GeneMTB,"Neg*")</f>
        <v>0</v>
      </c>
      <c r="G26" s="48" t="str">
        <f>IF($F$9=SUM(F26:F29),"","Error! Cross information between Xpert result and HIV Status are not match; possibly there will be Erorr or missing information on MTB result OR HIV Status")</f>
        <v/>
      </c>
      <c r="H26" s="49"/>
      <c r="I26" s="10" t="str">
        <f t="shared" si="1"/>
        <v/>
      </c>
    </row>
    <row r="27" spans="1:9" x14ac:dyDescent="0.2">
      <c r="A27" s="57"/>
      <c r="B27" s="12" t="s">
        <v>39</v>
      </c>
      <c r="C27" s="11">
        <f>COUNTIFS(GeneDate,"&gt;="&amp;$I$2,GeneDate,"&lt;="&amp;$I$3,GeneHIV,"Pos*",GeneMTB,"Pos*",GeneRif,"Neg*")</f>
        <v>0</v>
      </c>
      <c r="D27" s="11">
        <f>COUNTIFS(GeneDate,"&gt;="&amp;$I$2,GeneDate,"&lt;="&amp;$I$3,GeneHIV,"Neg*",GeneMTB,"Pos*",GeneRif,"Neg*")</f>
        <v>0</v>
      </c>
      <c r="E27" s="8">
        <f>COUNTIFS(GeneDate,"&gt;="&amp;$I$2,GeneDate,"&lt;="&amp;$I$3,GeneHIV,"Un*",GeneMTB,"Pos*",GeneRif,"Neg*")</f>
        <v>0</v>
      </c>
      <c r="F27" s="8">
        <f>COUNTIFS(GeneDate,"&gt;="&amp;$I$2,GeneDate,"&lt;="&amp;$I$3,GeneMTB,"Pos*",GeneRif,"Neg*")</f>
        <v>0</v>
      </c>
      <c r="G27" s="48"/>
      <c r="H27" s="49"/>
      <c r="I27" s="10" t="str">
        <f t="shared" si="1"/>
        <v/>
      </c>
    </row>
    <row r="28" spans="1:9" x14ac:dyDescent="0.2">
      <c r="A28" s="57"/>
      <c r="B28" s="12" t="s">
        <v>38</v>
      </c>
      <c r="C28" s="11">
        <f>COUNTIFS(GeneDate,"&gt;="&amp;$I$2,GeneDate,"&lt;="&amp;$I$3,GeneHIV,"Pos*",GeneMTB,"Pos*",GeneRif,"Pos*")</f>
        <v>0</v>
      </c>
      <c r="D28" s="11">
        <f>COUNTIFS(GeneDate,"&gt;="&amp;$I$2,GeneDate,"&lt;="&amp;$I$3,GeneHIV,"Neg*",GeneMTB,"Pos*",GeneRif,"Pos*")</f>
        <v>0</v>
      </c>
      <c r="E28" s="8">
        <f>COUNTIFS(GeneDate,"&gt;="&amp;$I$2,GeneDate,"&lt;="&amp;$I$3,GeneHIV,"Un*",GeneMTB,"Pos*",GeneRif,"Pos*")</f>
        <v>0</v>
      </c>
      <c r="F28" s="8">
        <f>COUNTIFS(GeneDate,"&gt;="&amp;$I$2,GeneDate,"&lt;="&amp;$I$3,GeneMTB,"Pos*",GeneRif,"Pos*")</f>
        <v>0</v>
      </c>
      <c r="G28" s="48"/>
      <c r="H28" s="49"/>
      <c r="I28" s="10" t="str">
        <f t="shared" si="1"/>
        <v/>
      </c>
    </row>
    <row r="29" spans="1:9" x14ac:dyDescent="0.2">
      <c r="A29" s="57"/>
      <c r="B29" s="12" t="s">
        <v>37</v>
      </c>
      <c r="C29" s="11">
        <f>COUNTIFS(GeneDate,"&gt;="&amp;$I$2,GeneDate,"&lt;="&amp;$I$3,GeneHIV,"Pos*",GeneMTB,"Pos*",GeneRif,"IND*")</f>
        <v>0</v>
      </c>
      <c r="D29" s="11">
        <f>COUNTIFS(GeneDate,"&gt;="&amp;$I$2,GeneDate,"&lt;="&amp;$I$3,GeneHIV,"Neg*",GeneMTB,"Pos*",GeneRif,"IND*")</f>
        <v>0</v>
      </c>
      <c r="E29" s="8">
        <f>COUNTIFS(GeneDate,"&gt;="&amp;$I$2,GeneDate,"&lt;="&amp;$I$3,GeneHIV,"Un*",GeneMTB,"Pos*",GeneRif,"IND*")</f>
        <v>0</v>
      </c>
      <c r="F29" s="8">
        <f>COUNTIFS(GeneDate,"&gt;="&amp;$I$2,GeneDate,"&lt;="&amp;$I$3,GeneMTB,"Pos*",GeneRif,"IND*")</f>
        <v>0</v>
      </c>
      <c r="G29" s="48"/>
      <c r="H29" s="49"/>
      <c r="I29" s="10" t="str">
        <f t="shared" si="1"/>
        <v/>
      </c>
    </row>
    <row r="30" spans="1:9" ht="12" customHeight="1" x14ac:dyDescent="0.2">
      <c r="E30" s="7"/>
      <c r="F30" s="7"/>
      <c r="G30" s="7"/>
    </row>
    <row r="31" spans="1:9" x14ac:dyDescent="0.2">
      <c r="A31" s="4"/>
      <c r="B31" s="25"/>
      <c r="C31" s="61" t="s">
        <v>14</v>
      </c>
      <c r="D31" s="62"/>
      <c r="E31" s="61" t="s">
        <v>16</v>
      </c>
      <c r="F31" s="62"/>
      <c r="G31" s="9" t="s">
        <v>33</v>
      </c>
    </row>
    <row r="32" spans="1:9" x14ac:dyDescent="0.2">
      <c r="A32" s="24" t="s">
        <v>62</v>
      </c>
      <c r="B32" s="24"/>
      <c r="C32" s="61">
        <f>COUNTIFS(GeneDate,"&gt;="&amp;$I$2,GeneDate,"&lt;="&amp;$I$3,GeneMTB,"Pos*",GeneRif,"Pos*",GeneSex,"Male")</f>
        <v>0</v>
      </c>
      <c r="D32" s="62"/>
      <c r="E32" s="64">
        <f>COUNTIFS(GeneDate,"&gt;="&amp;$I$2,GeneDate,"&lt;="&amp;$I$3,GeneMTB,"Pos*",GeneRif,"Pos*",GeneSex,"Female")</f>
        <v>0</v>
      </c>
      <c r="F32" s="65"/>
      <c r="G32" s="8">
        <f>COUNTIFS(GeneDate,"&gt;="&amp;$I$2,GeneDate,"&lt;="&amp;$I$3,GeneMTB,"Pos*",GeneRif,"Pos*")</f>
        <v>0</v>
      </c>
    </row>
    <row r="33" spans="1:10" ht="12" customHeight="1" x14ac:dyDescent="0.2">
      <c r="E33" s="7"/>
      <c r="F33" s="7"/>
      <c r="G33" s="7"/>
    </row>
    <row r="34" spans="1:10" x14ac:dyDescent="0.2">
      <c r="A34" s="2" t="s">
        <v>36</v>
      </c>
      <c r="E34" s="7"/>
      <c r="F34" s="7"/>
      <c r="G34" s="7"/>
    </row>
    <row r="35" spans="1:10" x14ac:dyDescent="0.2">
      <c r="A35" s="61"/>
      <c r="B35" s="62"/>
      <c r="C35" s="61" t="s">
        <v>35</v>
      </c>
      <c r="D35" s="62"/>
      <c r="E35" s="64" t="s">
        <v>34</v>
      </c>
      <c r="F35" s="65"/>
      <c r="G35" s="9" t="s">
        <v>33</v>
      </c>
    </row>
    <row r="36" spans="1:10" x14ac:dyDescent="0.2">
      <c r="A36" s="50" t="s">
        <v>32</v>
      </c>
      <c r="B36" s="50"/>
      <c r="C36" s="51">
        <f>COUNTIFS(GeneDate,"&gt;="&amp;$I$2,GeneDate,"&lt;="&amp;$I$3,GeneMTB,"Pos*",GeneMicroscope,"Pos*")</f>
        <v>0</v>
      </c>
      <c r="D36" s="52"/>
      <c r="E36" s="53">
        <f>COUNTIFS(GeneDate,"&gt;="&amp;$I$2,GeneDate,"&lt;="&amp;$I$3,GeneMTB,"Neg*",GeneMicroscope,"Pos*")</f>
        <v>0</v>
      </c>
      <c r="F36" s="54"/>
      <c r="G36" s="8">
        <f>COUNTIFS(GeneDate,"&gt;="&amp;$I$2,GeneDate,"&lt;="&amp;$I$3,GeneMicroscope,"Pos*",GeneMTB,"*tive")</f>
        <v>0</v>
      </c>
      <c r="H36" s="55" t="str">
        <f>IF($F$9=SUM(G36:G38),"","Error! Cross information between Xpert result and Microscope result are not match; possibly there will be Erorr or missing information on MTB result OR Microscope result")</f>
        <v/>
      </c>
      <c r="I36" s="56"/>
      <c r="J36" s="2" t="str">
        <f>IF(SUM(C36:F36)=G36,"","Check Total Vaue &amp; Category")</f>
        <v/>
      </c>
    </row>
    <row r="37" spans="1:10" x14ac:dyDescent="0.2">
      <c r="A37" s="50" t="s">
        <v>31</v>
      </c>
      <c r="B37" s="50"/>
      <c r="C37" s="51">
        <f>COUNTIFS(GeneDate,"&gt;="&amp;$I$2,GeneDate,"&lt;="&amp;$I$3,GeneMTB,"Pos*",GeneMicroscope,"Neg*")</f>
        <v>0</v>
      </c>
      <c r="D37" s="52"/>
      <c r="E37" s="53">
        <f>COUNTIFS(GeneDate,"&gt;="&amp;$I$2,GeneDate,"&lt;="&amp;$I$3,GeneMTB,"Neg*",GeneMicroscope,"Neg*")</f>
        <v>0</v>
      </c>
      <c r="F37" s="54"/>
      <c r="G37" s="8">
        <f>COUNTIFS(GeneDate,"&gt;="&amp;$I$2,GeneDate,"&lt;="&amp;$I$3,GeneMicroscope,"Neg*",GeneMTB,"*tive")</f>
        <v>0</v>
      </c>
      <c r="H37" s="55"/>
      <c r="I37" s="56"/>
      <c r="J37" s="2" t="str">
        <f>IF(SUM(C37:F37)=G37,"","Check Total Vaue &amp; Category")</f>
        <v/>
      </c>
    </row>
    <row r="38" spans="1:10" x14ac:dyDescent="0.2">
      <c r="A38" s="50" t="s">
        <v>30</v>
      </c>
      <c r="B38" s="50"/>
      <c r="C38" s="51">
        <f>COUNTIFS(GeneDate,"&gt;="&amp;$I$2,GeneDate,"&lt;="&amp;$I$3,GeneMTB,"Pos*",GeneMicroscope,"Not*")</f>
        <v>0</v>
      </c>
      <c r="D38" s="52"/>
      <c r="E38" s="53">
        <f>COUNTIFS(GeneDate,"&gt;="&amp;$I$2,GeneDate,"&lt;="&amp;$I$3,GeneMTB,"Neg*",GeneMicroscope,"Not*")</f>
        <v>0</v>
      </c>
      <c r="F38" s="54"/>
      <c r="G38" s="8">
        <f>COUNTIFS(GeneDate,"&gt;="&amp;$I$2,GeneDate,"&lt;="&amp;$I$3,GeneMTB,"*tive",GeneMicroscope,"Not*")</f>
        <v>0</v>
      </c>
      <c r="H38" s="55"/>
      <c r="I38" s="56"/>
      <c r="J38" s="2" t="str">
        <f>IF(SUM(C38:F38)=G38,"","Check Total Vaue &amp; Category")</f>
        <v/>
      </c>
    </row>
    <row r="39" spans="1:10" ht="12" customHeight="1" x14ac:dyDescent="0.2">
      <c r="D39" s="2" t="str">
        <f>IF(SUM(C36:D38)=SUM(F27:F29),"","Error")</f>
        <v/>
      </c>
      <c r="E39" s="7"/>
      <c r="F39" s="7"/>
      <c r="G39" s="7"/>
    </row>
    <row r="40" spans="1:10" x14ac:dyDescent="0.2">
      <c r="A40" s="2" t="s">
        <v>29</v>
      </c>
    </row>
    <row r="41" spans="1:10" x14ac:dyDescent="0.2">
      <c r="A41" s="66"/>
      <c r="B41" s="66"/>
      <c r="C41" s="61" t="s">
        <v>28</v>
      </c>
      <c r="D41" s="62"/>
      <c r="E41" s="66" t="s">
        <v>27</v>
      </c>
      <c r="F41" s="66"/>
    </row>
    <row r="42" spans="1:10" x14ac:dyDescent="0.2">
      <c r="A42" s="50" t="s">
        <v>26</v>
      </c>
      <c r="B42" s="50"/>
      <c r="C42" s="51"/>
      <c r="D42" s="52"/>
      <c r="E42" s="67"/>
      <c r="F42" s="67"/>
    </row>
    <row r="43" spans="1:10" x14ac:dyDescent="0.2">
      <c r="A43" s="50" t="s">
        <v>25</v>
      </c>
      <c r="B43" s="50"/>
      <c r="C43" s="51"/>
      <c r="D43" s="52"/>
      <c r="E43" s="67" t="s">
        <v>24</v>
      </c>
      <c r="F43" s="67"/>
    </row>
    <row r="44" spans="1:10" x14ac:dyDescent="0.2">
      <c r="A44" s="50" t="s">
        <v>23</v>
      </c>
      <c r="B44" s="50"/>
      <c r="C44" s="68">
        <f>C46+F9+C47</f>
        <v>0</v>
      </c>
      <c r="D44" s="69"/>
      <c r="E44" s="67"/>
      <c r="F44" s="67"/>
      <c r="G44" s="6"/>
    </row>
    <row r="45" spans="1:10" x14ac:dyDescent="0.2">
      <c r="A45" s="50" t="s">
        <v>22</v>
      </c>
      <c r="B45" s="50"/>
      <c r="C45" s="68">
        <f>SUM(C42+C43)-C44</f>
        <v>0</v>
      </c>
      <c r="D45" s="69"/>
      <c r="E45" s="67"/>
      <c r="F45" s="67"/>
    </row>
    <row r="46" spans="1:10" x14ac:dyDescent="0.2">
      <c r="A46" s="5" t="s">
        <v>21</v>
      </c>
      <c r="B46" s="5"/>
      <c r="C46" s="23">
        <f>COUNTIFS(GeneDate,"&gt;="&amp;$I$2,GeneDate,"&lt;="&amp;$I$3,GeneMTB,"Error")+COUNTIFS(GeneDate,"&gt;="&amp;$I$2,GeneDate,"&lt;="&amp;$I$3,GeneMTB,"Invalid")+COUNTIFS(GeneDate,"&gt;="&amp;$I$2,GeneDate,"&lt;="&amp;$I$3,GeneMTB,"*Result*")</f>
        <v>0</v>
      </c>
    </row>
    <row r="47" spans="1:10" x14ac:dyDescent="0.2">
      <c r="A47" s="5" t="s">
        <v>63</v>
      </c>
      <c r="C47" s="29">
        <f>SUM('Jul16'!C47,'Aug16'!C47,'Sep16'!C47)</f>
        <v>0</v>
      </c>
    </row>
    <row r="49" spans="5:7" x14ac:dyDescent="0.2">
      <c r="E49" s="2" t="s">
        <v>20</v>
      </c>
      <c r="F49" s="4"/>
      <c r="G49" s="4"/>
    </row>
    <row r="50" spans="5:7" x14ac:dyDescent="0.2">
      <c r="E50" s="2" t="s">
        <v>19</v>
      </c>
      <c r="F50" s="3"/>
      <c r="G50" s="3"/>
    </row>
    <row r="51" spans="5:7" x14ac:dyDescent="0.2">
      <c r="E51" s="2" t="s">
        <v>18</v>
      </c>
      <c r="F51" s="3"/>
      <c r="G51" s="3"/>
    </row>
    <row r="52" spans="5:7" x14ac:dyDescent="0.2">
      <c r="E52" s="2" t="s">
        <v>17</v>
      </c>
      <c r="F52" s="3"/>
      <c r="G52" s="3"/>
    </row>
  </sheetData>
  <sheetProtection algorithmName="SHA-512" hashValue="Br5t+fA5SPJBLby11JUBJ2zGE+ysysyXnww6RPLG5XDzVG19bhZjSnNETnmdYcVe3eJFG16sLc76xerbi++vgA==" saltValue="1Eo7rRVjhRMLqLCtiOSQOw==" spinCount="100000" sheet="1" objects="1" scenarios="1"/>
  <protectedRanges>
    <protectedRange sqref="B4" name="Range3"/>
    <protectedRange sqref="I2:I3" name="Range2"/>
    <protectedRange sqref="C42:F43 C45 E44:F45 C47" name="Range1"/>
  </protectedRanges>
  <mergeCells count="45">
    <mergeCell ref="A45:B45"/>
    <mergeCell ref="C45:D45"/>
    <mergeCell ref="E45:F45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6:B36"/>
    <mergeCell ref="C36:D36"/>
    <mergeCell ref="E36:F36"/>
    <mergeCell ref="H36:I38"/>
    <mergeCell ref="A37:B37"/>
    <mergeCell ref="C37:D37"/>
    <mergeCell ref="E37:F37"/>
    <mergeCell ref="A38:B38"/>
    <mergeCell ref="C38:D38"/>
    <mergeCell ref="E38:F38"/>
    <mergeCell ref="C31:D31"/>
    <mergeCell ref="E31:F31"/>
    <mergeCell ref="C32:D32"/>
    <mergeCell ref="E32:F32"/>
    <mergeCell ref="A35:B35"/>
    <mergeCell ref="C35:D35"/>
    <mergeCell ref="E35:F35"/>
    <mergeCell ref="A26:A29"/>
    <mergeCell ref="G26:H29"/>
    <mergeCell ref="A1:F1"/>
    <mergeCell ref="A7:A8"/>
    <mergeCell ref="B7:C7"/>
    <mergeCell ref="D7:E7"/>
    <mergeCell ref="F7:F8"/>
    <mergeCell ref="A13:A15"/>
    <mergeCell ref="G13:H15"/>
    <mergeCell ref="A16:A19"/>
    <mergeCell ref="G16:H19"/>
    <mergeCell ref="A23:A25"/>
    <mergeCell ref="G23:H25"/>
  </mergeCells>
  <conditionalFormatting sqref="G13">
    <cfRule type="notContainsBlanks" dxfId="35" priority="6">
      <formula>LEN(TRIM(G13))&gt;0</formula>
    </cfRule>
  </conditionalFormatting>
  <conditionalFormatting sqref="G16">
    <cfRule type="notContainsBlanks" dxfId="34" priority="5">
      <formula>LEN(TRIM(G16))&gt;0</formula>
    </cfRule>
  </conditionalFormatting>
  <conditionalFormatting sqref="G23">
    <cfRule type="notContainsBlanks" dxfId="33" priority="4">
      <formula>LEN(TRIM(G23))&gt;0</formula>
    </cfRule>
  </conditionalFormatting>
  <conditionalFormatting sqref="G26">
    <cfRule type="notContainsBlanks" dxfId="32" priority="3">
      <formula>LEN(TRIM(G26))&gt;0</formula>
    </cfRule>
  </conditionalFormatting>
  <conditionalFormatting sqref="H36">
    <cfRule type="notContainsBlanks" dxfId="31" priority="2">
      <formula>LEN(TRIM(H36))&gt;0</formula>
    </cfRule>
  </conditionalFormatting>
  <conditionalFormatting sqref="I13:I19 I23:I29 J36:J38">
    <cfRule type="notContainsBlanks" dxfId="30" priority="1">
      <formula>LEN(TRIM(I13))&gt;0</formula>
    </cfRule>
  </conditionalFormatting>
  <pageMargins left="0.7" right="0.5" top="0.5" bottom="0.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J52"/>
  <sheetViews>
    <sheetView workbookViewId="0">
      <selection activeCell="I3" sqref="I3"/>
    </sheetView>
  </sheetViews>
  <sheetFormatPr baseColWidth="10" defaultColWidth="9.1640625" defaultRowHeight="15" x14ac:dyDescent="0.2"/>
  <cols>
    <col min="1" max="1" width="14" style="2" customWidth="1"/>
    <col min="2" max="2" width="25.1640625" style="2" bestFit="1" customWidth="1"/>
    <col min="3" max="3" width="9.1640625" style="2" customWidth="1"/>
    <col min="4" max="4" width="12.33203125" style="2" bestFit="1" customWidth="1"/>
    <col min="5" max="7" width="9.6640625" style="2" customWidth="1"/>
    <col min="8" max="8" width="20.33203125" style="2" customWidth="1"/>
    <col min="9" max="9" width="20.6640625" style="2" customWidth="1"/>
    <col min="10" max="10" width="14.5" style="2" customWidth="1"/>
    <col min="11" max="16384" width="9.1640625" style="2"/>
  </cols>
  <sheetData>
    <row r="1" spans="1:9" ht="19" x14ac:dyDescent="0.25">
      <c r="A1" s="63" t="s">
        <v>60</v>
      </c>
      <c r="B1" s="63"/>
      <c r="C1" s="63"/>
      <c r="D1" s="63"/>
      <c r="E1" s="63"/>
      <c r="F1" s="63"/>
      <c r="I1" s="16" t="s">
        <v>59</v>
      </c>
    </row>
    <row r="2" spans="1:9" ht="16" x14ac:dyDescent="0.2">
      <c r="H2" s="16" t="s">
        <v>58</v>
      </c>
      <c r="I2" s="28">
        <v>42644.000011574099</v>
      </c>
    </row>
    <row r="3" spans="1:9" ht="16" x14ac:dyDescent="0.2">
      <c r="A3" s="2" t="s">
        <v>57</v>
      </c>
      <c r="C3" s="18" t="str">
        <f>IF(MONTH($I$2)=1,"January",IF(MONTH($I$2)=2,"February",IF(MONTH($I$2)=3,"March",IF(MONTH($I$2)=4,"April",IF(MONTH($I$2)=5,"May",IF(MONTH($I$2)=6,"June",IF(MONTH($I$2)=7,"July",IF(MONTH($I$2)=8,"Auguest",IF(MONTH($I$2)=9,"September",IF(MONTH($I$2)=10,"October",IF(MONTH($I$2)=11,"November",IF(MONTH($I$2)=12,"December",A3))))))))))))</f>
        <v>October</v>
      </c>
      <c r="E3" s="2" t="s">
        <v>56</v>
      </c>
      <c r="F3" s="17">
        <f>YEAR($I$2)</f>
        <v>2016</v>
      </c>
      <c r="H3" s="16" t="s">
        <v>55</v>
      </c>
      <c r="I3" s="28">
        <v>42674.999988425901</v>
      </c>
    </row>
    <row r="4" spans="1:9" x14ac:dyDescent="0.2">
      <c r="A4" s="2" t="s">
        <v>54</v>
      </c>
    </row>
    <row r="6" spans="1:9" x14ac:dyDescent="0.2">
      <c r="A6" s="2" t="s">
        <v>53</v>
      </c>
    </row>
    <row r="7" spans="1:9" x14ac:dyDescent="0.2">
      <c r="A7" s="66"/>
      <c r="B7" s="66" t="s">
        <v>14</v>
      </c>
      <c r="C7" s="66"/>
      <c r="D7" s="66" t="s">
        <v>16</v>
      </c>
      <c r="E7" s="66"/>
      <c r="F7" s="57" t="s">
        <v>33</v>
      </c>
    </row>
    <row r="8" spans="1:9" x14ac:dyDescent="0.2">
      <c r="A8" s="66"/>
      <c r="B8" s="27" t="s">
        <v>52</v>
      </c>
      <c r="C8" s="27" t="s">
        <v>61</v>
      </c>
      <c r="D8" s="27" t="s">
        <v>52</v>
      </c>
      <c r="E8" s="27" t="s">
        <v>61</v>
      </c>
      <c r="F8" s="57"/>
    </row>
    <row r="9" spans="1:9" x14ac:dyDescent="0.2">
      <c r="A9" s="12"/>
      <c r="B9" s="11">
        <f>COUNTIFS(GeneDate,"&gt;="&amp;$I$2,GeneDate,"&lt;="&amp;$I$3,GeneAge,"&lt;15",GeneSex,"Male",GeneMTB,"*tive")</f>
        <v>0</v>
      </c>
      <c r="C9" s="11">
        <f>COUNTIFS(GeneDate,"&gt;="&amp;$I$2,GeneDate,"&lt;="&amp;$I$3,GeneAge,"&gt;=15",GeneSex,"M*",GeneMTB,"*tive")</f>
        <v>0</v>
      </c>
      <c r="D9" s="11">
        <f>COUNTIFS(GeneDate,"&gt;="&amp;$I$2,GeneDate,"&lt;="&amp;$I$3,GeneAge,"&lt;15",GeneSex,"F*",GeneMTB,"*tive")</f>
        <v>0</v>
      </c>
      <c r="E9" s="8">
        <f>COUNTIFS(GeneDate,"&gt;="&amp;$I$2,GeneDate,"&lt;="&amp;$I$3,GeneAge,"&gt;=15",GeneSex,"F*",GeneMTB,"*tive")</f>
        <v>0</v>
      </c>
      <c r="F9" s="8">
        <f>COUNTIFS(GeneDate,"&gt;="&amp;$I$2,GeneDate,"&lt;="&amp;$I$3,GeneMTB,"*tive")</f>
        <v>0</v>
      </c>
      <c r="G9" s="7" t="str">
        <f>IF(SUM(B9:E9)=F9,"","Check Total Vaue &amp; Category")</f>
        <v/>
      </c>
      <c r="H9" s="26"/>
    </row>
    <row r="10" spans="1:9" ht="12" customHeight="1" x14ac:dyDescent="0.2">
      <c r="B10" s="19"/>
      <c r="E10" s="7"/>
      <c r="F10" s="7"/>
      <c r="G10" s="7"/>
    </row>
    <row r="11" spans="1:9" x14ac:dyDescent="0.2">
      <c r="A11" s="2" t="s">
        <v>51</v>
      </c>
      <c r="E11" s="7"/>
      <c r="F11" s="7"/>
      <c r="G11" s="7"/>
    </row>
    <row r="12" spans="1:9" x14ac:dyDescent="0.2">
      <c r="A12" s="12"/>
      <c r="B12" s="12"/>
      <c r="C12" s="27" t="s">
        <v>50</v>
      </c>
      <c r="D12" s="27" t="s">
        <v>49</v>
      </c>
      <c r="E12" s="13" t="s">
        <v>15</v>
      </c>
      <c r="F12" s="13" t="s">
        <v>33</v>
      </c>
      <c r="G12" s="7"/>
    </row>
    <row r="13" spans="1:9" ht="15" customHeight="1" x14ac:dyDescent="0.2">
      <c r="A13" s="58" t="s">
        <v>44</v>
      </c>
      <c r="B13" s="12" t="s">
        <v>43</v>
      </c>
      <c r="C13" s="11">
        <f>COUNTIFS(GeneDate,"&gt;="&amp;$I$2,GeneDate,"&lt;="&amp;$I$3,GeneMicroscope,"Pos*",GenePreviousHistory,"N*",GeneMTB,"*tive")</f>
        <v>0</v>
      </c>
      <c r="D13" s="11">
        <f>COUNTIFS(GeneDate,"&gt;="&amp;$I$2,GeneDate,"&lt;="&amp;$I$3,GeneMicroscope,"Pos*",GenePreviousHistory,"Y*",GeneMTB,"*tive")</f>
        <v>0</v>
      </c>
      <c r="E13" s="8">
        <f>COUNTIFS(GeneDate,"&gt;="&amp;$I$2,GeneDate,"&lt;="&amp;$I$3,GeneMicroscope,"Pos*",GenePreviousHistory,"Un*",GeneMTB,"*tive")</f>
        <v>0</v>
      </c>
      <c r="F13" s="8">
        <f>COUNTIFS(GeneDate,"&gt;="&amp;$I$2,GeneDate,"&lt;="&amp;$I$3,GeneMicroscope,"Pos*",GeneMTB,"*tive")</f>
        <v>0</v>
      </c>
      <c r="G13" s="48" t="str">
        <f>IF($F$9=SUM(F13:F15),"","Error! Possibly there were be Error or Missing information at Microscopy Result")</f>
        <v/>
      </c>
      <c r="H13" s="49"/>
      <c r="I13" s="10" t="str">
        <f t="shared" ref="I13:I19" si="0">IF(SUM(C13:E13)=F13,"","Check Total Vaue &amp; Category")</f>
        <v/>
      </c>
    </row>
    <row r="14" spans="1:9" x14ac:dyDescent="0.2">
      <c r="A14" s="59"/>
      <c r="B14" s="12" t="s">
        <v>42</v>
      </c>
      <c r="C14" s="11">
        <f>COUNTIFS(GeneDate,"&gt;="&amp;$I$2,GeneDate,"&lt;="&amp;$I$3,GeneMicroscope,"Neg*",GenePreviousHistory,"N*",GeneMTB,"*tive")</f>
        <v>0</v>
      </c>
      <c r="D14" s="11">
        <f>COUNTIFS(GeneDate,"&gt;="&amp;$I$2,GeneDate,"&lt;="&amp;$I$3,GeneMicroscope,"Neg*",GenePreviousHistory,"Y*",GeneMTB,"*tive")</f>
        <v>0</v>
      </c>
      <c r="E14" s="8">
        <f>COUNTIFS(GeneDate,"&gt;="&amp;$I$2,GeneDate,"&lt;="&amp;$I$3,GeneMicroscope,"Neg*",GenePreviousHistory,"Un*",GeneMTB,"*tive")</f>
        <v>0</v>
      </c>
      <c r="F14" s="8">
        <f>COUNTIFS(GeneDate,"&gt;="&amp;$I$2,GeneDate,"&lt;="&amp;$I$3,GeneMicroscope,"Neg*",GeneMTB,"*tive")</f>
        <v>0</v>
      </c>
      <c r="G14" s="48"/>
      <c r="H14" s="49"/>
      <c r="I14" s="10" t="str">
        <f t="shared" si="0"/>
        <v/>
      </c>
    </row>
    <row r="15" spans="1:9" x14ac:dyDescent="0.2">
      <c r="A15" s="60"/>
      <c r="B15" s="12" t="s">
        <v>41</v>
      </c>
      <c r="C15" s="11">
        <f>COUNTIFS(GeneDate,"&gt;="&amp;$I$2,GeneDate,"&lt;="&amp;$I$3,GeneMicroscope,"Not*",GenePreviousHistory,"N*",GeneMTB,"*tive")</f>
        <v>0</v>
      </c>
      <c r="D15" s="11">
        <f>COUNTIFS(GeneDate,"&gt;="&amp;$I$2,GeneDate,"&lt;="&amp;$I$3,GeneMicroscope,"Not*",GenePreviousHistory,"Y*",GeneMTB,"*tive")</f>
        <v>0</v>
      </c>
      <c r="E15" s="8">
        <f>COUNTIFS(GeneDate,"&gt;="&amp;$I$2,GeneDate,"&lt;="&amp;$I$3,GeneMicroscope,"Not*",GenePreviousHistory,"Un*",GeneMTB,"*tive")</f>
        <v>0</v>
      </c>
      <c r="F15" s="8">
        <f>COUNTIFS(GeneDate,"&gt;="&amp;$I$2,GeneDate,"&lt;="&amp;$I$3,GeneMicroscope,"Not*",GeneMTB,"*tive")</f>
        <v>0</v>
      </c>
      <c r="G15" s="48"/>
      <c r="H15" s="49"/>
      <c r="I15" s="10" t="str">
        <f t="shared" si="0"/>
        <v/>
      </c>
    </row>
    <row r="16" spans="1:9" x14ac:dyDescent="0.2">
      <c r="A16" s="57" t="s">
        <v>40</v>
      </c>
      <c r="B16" s="12" t="s">
        <v>13</v>
      </c>
      <c r="C16" s="11">
        <f>COUNTIFS(GeneDate,"&gt;="&amp;$I$2,GeneDate,"&lt;="&amp;$I$3,GenePreviousHistory,"N*",GeneMTB,"Neg*")</f>
        <v>0</v>
      </c>
      <c r="D16" s="11">
        <f>COUNTIFS(GeneDate,"&gt;="&amp;$I$2,GeneDate,"&lt;="&amp;$I$3,GenePreviousHistory,"Y*",GeneMTB,"Neg*")</f>
        <v>0</v>
      </c>
      <c r="E16" s="8">
        <f>F16-(C16+D16)</f>
        <v>0</v>
      </c>
      <c r="F16" s="8">
        <f>COUNTIFS(GeneDate,"&gt;="&amp;$I$2,GeneDate,"&lt;="&amp;$I$3,GeneMTB,"Neg*")</f>
        <v>0</v>
      </c>
      <c r="G16" s="48" t="str">
        <f>IF($F$9=SUM(F16:F19),"","Error! Cross information between Xpert result and treatment category are not match; possibly there will be Erorr or missing information on MTB result OR RIF result")</f>
        <v/>
      </c>
      <c r="H16" s="49"/>
      <c r="I16" s="10" t="str">
        <f t="shared" si="0"/>
        <v/>
      </c>
    </row>
    <row r="17" spans="1:9" x14ac:dyDescent="0.2">
      <c r="A17" s="57"/>
      <c r="B17" s="12" t="s">
        <v>39</v>
      </c>
      <c r="C17" s="11">
        <f>COUNTIFS(GeneDate,"&gt;="&amp;$I$2,GeneDate,"&lt;="&amp;$I$3,GenePreviousHistory,"N*",GeneMTB,"Pos*",GeneRif,"Neg*")</f>
        <v>0</v>
      </c>
      <c r="D17" s="11">
        <f>COUNTIFS(GeneDate,"&gt;="&amp;$I$2,GeneDate,"&lt;="&amp;$I$3,GenePreviousHistory,"Y*",GeneMTB,"Pos*",GeneRif,"Neg*")</f>
        <v>0</v>
      </c>
      <c r="E17" s="8">
        <f>F17-(C17+D17)</f>
        <v>0</v>
      </c>
      <c r="F17" s="8">
        <f>COUNTIFS(GeneDate,"&gt;="&amp;$I$2,GeneDate,"&lt;="&amp;$I$3,GeneMTB,"Pos*",GeneRif,"Neg*")</f>
        <v>0</v>
      </c>
      <c r="G17" s="48"/>
      <c r="H17" s="49"/>
      <c r="I17" s="10" t="str">
        <f t="shared" si="0"/>
        <v/>
      </c>
    </row>
    <row r="18" spans="1:9" x14ac:dyDescent="0.2">
      <c r="A18" s="57"/>
      <c r="B18" s="12" t="s">
        <v>38</v>
      </c>
      <c r="C18" s="11">
        <f>COUNTIFS(GeneDate,"&gt;="&amp;$I$2,GeneDate,"&lt;="&amp;$I$3,GenePreviousHistory,"N*",GeneMTB,"Pos*",GeneRif,"Pos*")</f>
        <v>0</v>
      </c>
      <c r="D18" s="11">
        <f>COUNTIFS(GeneDate,"&gt;="&amp;$I$2,GeneDate,"&lt;="&amp;$I$3,GenePreviousHistory,"Y*",GeneMTB,"Pos*",GeneRif,"Pos*")</f>
        <v>0</v>
      </c>
      <c r="E18" s="8">
        <f>F18-(C18+D18)</f>
        <v>0</v>
      </c>
      <c r="F18" s="8">
        <f>COUNTIFS(GeneDate,"&gt;="&amp;$I$2,GeneDate,"&lt;="&amp;$I$3,GeneMTB,"Pos*",GeneRif,"Pos*")</f>
        <v>0</v>
      </c>
      <c r="G18" s="48"/>
      <c r="H18" s="49"/>
      <c r="I18" s="10" t="str">
        <f t="shared" si="0"/>
        <v/>
      </c>
    </row>
    <row r="19" spans="1:9" x14ac:dyDescent="0.2">
      <c r="A19" s="57"/>
      <c r="B19" s="12" t="s">
        <v>48</v>
      </c>
      <c r="C19" s="11">
        <f>COUNTIFS(GeneDate,"&gt;="&amp;$I$2,GeneDate,"&lt;="&amp;$I$3,GenePreviousHistory,"N*",GeneMTB,"Pos*",GeneRif,"IND*")</f>
        <v>0</v>
      </c>
      <c r="D19" s="11">
        <f>COUNTIFS(GeneDate,"&gt;="&amp;$I$2,GeneDate,"&lt;="&amp;$I$3,GenePreviousHistory,"Y*",GeneMTB,"Pos*",GeneRif,"IND*")</f>
        <v>0</v>
      </c>
      <c r="E19" s="8">
        <f>F19-(C19+D19)</f>
        <v>0</v>
      </c>
      <c r="F19" s="8">
        <f>COUNTIFS(GeneDate,"&gt;="&amp;$I$2,GeneDate,"&lt;="&amp;$I$3,GeneMTB,"Pos*",GeneRif,"IND*")</f>
        <v>0</v>
      </c>
      <c r="G19" s="48"/>
      <c r="H19" s="49"/>
      <c r="I19" s="10" t="str">
        <f t="shared" si="0"/>
        <v/>
      </c>
    </row>
    <row r="20" spans="1:9" ht="12" customHeight="1" x14ac:dyDescent="0.2">
      <c r="E20" s="7"/>
      <c r="F20" s="7"/>
      <c r="G20" s="7"/>
    </row>
    <row r="21" spans="1:9" x14ac:dyDescent="0.2">
      <c r="A21" s="2" t="s">
        <v>47</v>
      </c>
      <c r="E21" s="7"/>
      <c r="F21" s="7"/>
      <c r="G21" s="7"/>
    </row>
    <row r="22" spans="1:9" ht="30" x14ac:dyDescent="0.2">
      <c r="A22" s="12"/>
      <c r="B22" s="12"/>
      <c r="C22" s="14" t="s">
        <v>46</v>
      </c>
      <c r="D22" s="14" t="s">
        <v>45</v>
      </c>
      <c r="E22" s="13" t="s">
        <v>15</v>
      </c>
      <c r="F22" s="13" t="s">
        <v>33</v>
      </c>
      <c r="G22" s="7"/>
    </row>
    <row r="23" spans="1:9" ht="15" customHeight="1" x14ac:dyDescent="0.2">
      <c r="A23" s="58" t="s">
        <v>44</v>
      </c>
      <c r="B23" s="12" t="s">
        <v>43</v>
      </c>
      <c r="C23" s="11">
        <f>COUNTIFS(GeneDate,"&gt;="&amp;$I$2,GeneDate,"&lt;="&amp;$I$3,GeneMicroscope,"Pos*",GeneHIV,"Pos*",GeneMTB,"*tive")</f>
        <v>0</v>
      </c>
      <c r="D23" s="11">
        <f>COUNTIFS(GeneDate,"&gt;="&amp;$I$2,GeneDate,"&lt;="&amp;$I$3,GeneMicroscope,"Pos*",GeneHIV,"Neg*",GeneMTB,"*tive")</f>
        <v>0</v>
      </c>
      <c r="E23" s="8">
        <f>COUNTIFS(GeneDate,"&gt;="&amp;$I$2,GeneDate,"&lt;="&amp;$I$3,GeneMicroscope,"Pos*",GeneHIV,"Un*",GeneMTB,"*tive")</f>
        <v>0</v>
      </c>
      <c r="F23" s="8">
        <f>COUNTIFS(GeneDate,"&gt;="&amp;$I$2,GeneDate,"&lt;="&amp;$I$3,GeneMicroscope,"Pos*",GeneMTB,"*tive")</f>
        <v>0</v>
      </c>
      <c r="G23" s="48" t="str">
        <f>IF($F$9=SUM(F23:F25),"","Error! Cross information between Microscope Result and HIV Status are not match; possibly there will be Erorr or missing information on Microscope Result OR HIV Status")</f>
        <v/>
      </c>
      <c r="H23" s="49"/>
      <c r="I23" s="10" t="str">
        <f t="shared" ref="I23:I29" si="1">IF(SUM(C23:E23)=F23,"","Check Total Vaue &amp; Category")</f>
        <v/>
      </c>
    </row>
    <row r="24" spans="1:9" x14ac:dyDescent="0.2">
      <c r="A24" s="59"/>
      <c r="B24" s="12" t="s">
        <v>42</v>
      </c>
      <c r="C24" s="11">
        <f>COUNTIFS(GeneDate,"&gt;="&amp;$I$2,GeneDate,"&lt;="&amp;$I$3,GeneMicroscope,"Neg*",GeneHIV,"Pos*",GeneMTB,"*tive")</f>
        <v>0</v>
      </c>
      <c r="D24" s="11">
        <f>COUNTIFS(GeneDate,"&gt;="&amp;$I$2,GeneDate,"&lt;="&amp;$I$3,GeneMicroscope,"Neg*",GeneHIV,"Neg*",GeneMTB,"*tive")</f>
        <v>0</v>
      </c>
      <c r="E24" s="8">
        <f>COUNTIFS(GeneDate,"&gt;="&amp;$I$2,GeneDate,"&lt;="&amp;$I$3,GeneMicroscope,"Neg*",GeneHIV,"Un*",GeneMTB,"*tive")</f>
        <v>0</v>
      </c>
      <c r="F24" s="8">
        <f>COUNTIFS(GeneDate,"&gt;="&amp;$I$2,GeneDate,"&lt;="&amp;$I$3,GeneMicroscope,"Neg*",GeneMTB,"*tive")</f>
        <v>0</v>
      </c>
      <c r="G24" s="48"/>
      <c r="H24" s="49"/>
      <c r="I24" s="10" t="str">
        <f t="shared" si="1"/>
        <v/>
      </c>
    </row>
    <row r="25" spans="1:9" x14ac:dyDescent="0.2">
      <c r="A25" s="60"/>
      <c r="B25" s="12" t="s">
        <v>41</v>
      </c>
      <c r="C25" s="11">
        <f>COUNTIFS(GeneDate,"&gt;="&amp;$I$2,GeneDate,"&lt;="&amp;$I$3,GeneMicroscope,"Not*",GeneHIV,"Pos*",GeneMTB,"*tive")</f>
        <v>0</v>
      </c>
      <c r="D25" s="11">
        <f>COUNTIFS(GeneDate,"&gt;="&amp;$I$2,GeneDate,"&lt;="&amp;$I$3,GeneMicroscope,"Not*",GeneHIV,"Neg*",GeneMTB,"*tive")</f>
        <v>0</v>
      </c>
      <c r="E25" s="8">
        <f>COUNTIFS(GeneDate,"&gt;="&amp;$I$2,GeneDate,"&lt;="&amp;$I$3,GeneMicroscope,"Not*",GeneHIV,"Un*",GeneMTB,"*tive")</f>
        <v>0</v>
      </c>
      <c r="F25" s="8">
        <f>COUNTIFS(GeneDate,"&gt;="&amp;$I$2,GeneDate,"&lt;="&amp;$I$3,GeneMicroscope,"Not*",GeneMTB,"*tive")</f>
        <v>0</v>
      </c>
      <c r="G25" s="48"/>
      <c r="H25" s="49"/>
      <c r="I25" s="10" t="str">
        <f t="shared" si="1"/>
        <v/>
      </c>
    </row>
    <row r="26" spans="1:9" x14ac:dyDescent="0.2">
      <c r="A26" s="57" t="s">
        <v>40</v>
      </c>
      <c r="B26" s="12" t="s">
        <v>13</v>
      </c>
      <c r="C26" s="11">
        <f>COUNTIFS(GeneDate,"&gt;="&amp;$I$2,GeneDate,"&lt;="&amp;$I$3,GeneHIV,"Pos*",GeneMTB,"Neg*")</f>
        <v>0</v>
      </c>
      <c r="D26" s="11">
        <f>COUNTIFS(GeneDate,"&gt;="&amp;$I$2,GeneDate,"&lt;="&amp;$I$3,GeneHIV,"Neg*",GeneMTB,"Neg*")</f>
        <v>0</v>
      </c>
      <c r="E26" s="8">
        <f>COUNTIFS(GeneDate,"&gt;="&amp;$I$2,GeneDate,"&lt;="&amp;$I$3,GeneHIV,"Un*",GeneMTB,"Neg*")</f>
        <v>0</v>
      </c>
      <c r="F26" s="8">
        <f>COUNTIFS(GeneDate,"&gt;="&amp;$I$2,GeneDate,"&lt;="&amp;$I$3,GeneMTB,"*tive",GeneMTB,"Neg*")</f>
        <v>0</v>
      </c>
      <c r="G26" s="48" t="str">
        <f>IF($F$9=SUM(F26:F29),"","Error! Cross information between Xpert result and HIV Status are not match; possibly there will be Erorr or missing information on MTB result OR HIV Status")</f>
        <v/>
      </c>
      <c r="H26" s="49"/>
      <c r="I26" s="10" t="str">
        <f t="shared" si="1"/>
        <v/>
      </c>
    </row>
    <row r="27" spans="1:9" x14ac:dyDescent="0.2">
      <c r="A27" s="57"/>
      <c r="B27" s="12" t="s">
        <v>39</v>
      </c>
      <c r="C27" s="11">
        <f>COUNTIFS(GeneDate,"&gt;="&amp;$I$2,GeneDate,"&lt;="&amp;$I$3,GeneHIV,"Pos*",GeneMTB,"Pos*",GeneRif,"Neg*")</f>
        <v>0</v>
      </c>
      <c r="D27" s="11">
        <f>COUNTIFS(GeneDate,"&gt;="&amp;$I$2,GeneDate,"&lt;="&amp;$I$3,GeneHIV,"Neg*",GeneMTB,"Pos*",GeneRif,"Neg*")</f>
        <v>0</v>
      </c>
      <c r="E27" s="8">
        <f>COUNTIFS(GeneDate,"&gt;="&amp;$I$2,GeneDate,"&lt;="&amp;$I$3,GeneHIV,"Un*",GeneMTB,"Pos*",GeneRif,"Neg*")</f>
        <v>0</v>
      </c>
      <c r="F27" s="8">
        <f>COUNTIFS(GeneDate,"&gt;="&amp;$I$2,GeneDate,"&lt;="&amp;$I$3,GeneMTB,"Pos*",GeneRif,"Neg*")</f>
        <v>0</v>
      </c>
      <c r="G27" s="48"/>
      <c r="H27" s="49"/>
      <c r="I27" s="10" t="str">
        <f t="shared" si="1"/>
        <v/>
      </c>
    </row>
    <row r="28" spans="1:9" x14ac:dyDescent="0.2">
      <c r="A28" s="57"/>
      <c r="B28" s="12" t="s">
        <v>38</v>
      </c>
      <c r="C28" s="11">
        <f>COUNTIFS(GeneDate,"&gt;="&amp;$I$2,GeneDate,"&lt;="&amp;$I$3,GeneHIV,"Pos*",GeneMTB,"Pos*",GeneRif,"Pos*")</f>
        <v>0</v>
      </c>
      <c r="D28" s="11">
        <f>COUNTIFS(GeneDate,"&gt;="&amp;$I$2,GeneDate,"&lt;="&amp;$I$3,GeneHIV,"Neg*",GeneMTB,"Pos*",GeneRif,"Pos*")</f>
        <v>0</v>
      </c>
      <c r="E28" s="8">
        <f>COUNTIFS(GeneDate,"&gt;="&amp;$I$2,GeneDate,"&lt;="&amp;$I$3,GeneHIV,"Un*",GeneMTB,"Pos*",GeneRif,"Pos*")</f>
        <v>0</v>
      </c>
      <c r="F28" s="8">
        <f>COUNTIFS(GeneDate,"&gt;="&amp;$I$2,GeneDate,"&lt;="&amp;$I$3,GeneMTB,"Pos*",GeneRif,"Pos*")</f>
        <v>0</v>
      </c>
      <c r="G28" s="48"/>
      <c r="H28" s="49"/>
      <c r="I28" s="10" t="str">
        <f t="shared" si="1"/>
        <v/>
      </c>
    </row>
    <row r="29" spans="1:9" x14ac:dyDescent="0.2">
      <c r="A29" s="57"/>
      <c r="B29" s="12" t="s">
        <v>37</v>
      </c>
      <c r="C29" s="11">
        <f>COUNTIFS(GeneDate,"&gt;="&amp;$I$2,GeneDate,"&lt;="&amp;$I$3,GeneHIV,"Pos*",GeneMTB,"Pos*",GeneRif,"IND*")</f>
        <v>0</v>
      </c>
      <c r="D29" s="11">
        <f>COUNTIFS(GeneDate,"&gt;="&amp;$I$2,GeneDate,"&lt;="&amp;$I$3,GeneHIV,"Neg*",GeneMTB,"Pos*",GeneRif,"IND*")</f>
        <v>0</v>
      </c>
      <c r="E29" s="8">
        <f>COUNTIFS(GeneDate,"&gt;="&amp;$I$2,GeneDate,"&lt;="&amp;$I$3,GeneHIV,"Un*",GeneMTB,"Pos*",GeneRif,"IND*")</f>
        <v>0</v>
      </c>
      <c r="F29" s="8">
        <f>COUNTIFS(GeneDate,"&gt;="&amp;$I$2,GeneDate,"&lt;="&amp;$I$3,GeneMTB,"Pos*",GeneRif,"IND*")</f>
        <v>0</v>
      </c>
      <c r="G29" s="48"/>
      <c r="H29" s="49"/>
      <c r="I29" s="10" t="str">
        <f t="shared" si="1"/>
        <v/>
      </c>
    </row>
    <row r="30" spans="1:9" ht="12" customHeight="1" x14ac:dyDescent="0.2">
      <c r="E30" s="7"/>
      <c r="F30" s="7"/>
      <c r="G30" s="7"/>
    </row>
    <row r="31" spans="1:9" x14ac:dyDescent="0.2">
      <c r="A31" s="4"/>
      <c r="B31" s="25"/>
      <c r="C31" s="61" t="s">
        <v>14</v>
      </c>
      <c r="D31" s="62"/>
      <c r="E31" s="61" t="s">
        <v>16</v>
      </c>
      <c r="F31" s="62"/>
      <c r="G31" s="9" t="s">
        <v>33</v>
      </c>
    </row>
    <row r="32" spans="1:9" x14ac:dyDescent="0.2">
      <c r="A32" s="24" t="s">
        <v>62</v>
      </c>
      <c r="B32" s="24"/>
      <c r="C32" s="61">
        <f>COUNTIFS(GeneDate,"&gt;="&amp;$I$2,GeneDate,"&lt;="&amp;$I$3,GeneMTB,"Pos*",GeneRif,"Pos*",GeneSex,"Male")</f>
        <v>0</v>
      </c>
      <c r="D32" s="62"/>
      <c r="E32" s="64">
        <f>COUNTIFS(GeneDate,"&gt;="&amp;$I$2,GeneDate,"&lt;="&amp;$I$3,GeneMTB,"Pos*",GeneRif,"Pos*",GeneSex,"Female")</f>
        <v>0</v>
      </c>
      <c r="F32" s="65"/>
      <c r="G32" s="8">
        <f>COUNTIFS(GeneDate,"&gt;="&amp;$I$2,GeneDate,"&lt;="&amp;$I$3,GeneMTB,"Pos*",GeneRif,"Pos*")</f>
        <v>0</v>
      </c>
    </row>
    <row r="33" spans="1:10" ht="12" customHeight="1" x14ac:dyDescent="0.2">
      <c r="E33" s="7"/>
      <c r="F33" s="7"/>
      <c r="G33" s="7"/>
    </row>
    <row r="34" spans="1:10" x14ac:dyDescent="0.2">
      <c r="A34" s="2" t="s">
        <v>36</v>
      </c>
      <c r="E34" s="7"/>
      <c r="F34" s="7"/>
      <c r="G34" s="7"/>
    </row>
    <row r="35" spans="1:10" x14ac:dyDescent="0.2">
      <c r="A35" s="61"/>
      <c r="B35" s="62"/>
      <c r="C35" s="61" t="s">
        <v>35</v>
      </c>
      <c r="D35" s="62"/>
      <c r="E35" s="64" t="s">
        <v>34</v>
      </c>
      <c r="F35" s="65"/>
      <c r="G35" s="9" t="s">
        <v>33</v>
      </c>
    </row>
    <row r="36" spans="1:10" x14ac:dyDescent="0.2">
      <c r="A36" s="50" t="s">
        <v>32</v>
      </c>
      <c r="B36" s="50"/>
      <c r="C36" s="51">
        <f>COUNTIFS(GeneDate,"&gt;="&amp;$I$2,GeneDate,"&lt;="&amp;$I$3,GeneMTB,"Pos*",GeneMicroscope,"Pos*")</f>
        <v>0</v>
      </c>
      <c r="D36" s="52"/>
      <c r="E36" s="53">
        <f>COUNTIFS(GeneDate,"&gt;="&amp;$I$2,GeneDate,"&lt;="&amp;$I$3,GeneMTB,"Neg*",GeneMicroscope,"Pos*")</f>
        <v>0</v>
      </c>
      <c r="F36" s="54"/>
      <c r="G36" s="8">
        <f>COUNTIFS(GeneDate,"&gt;="&amp;$I$2,GeneDate,"&lt;="&amp;$I$3,GeneMicroscope,"Pos*",GeneMTB,"*tive")</f>
        <v>0</v>
      </c>
      <c r="H36" s="55" t="str">
        <f>IF($F$9=SUM(G36:G38),"","Error! Cross information between Xpert result and Microscope result are not match; possibly there will be Erorr or missing information on MTB result OR Microscope result")</f>
        <v/>
      </c>
      <c r="I36" s="56"/>
      <c r="J36" s="2" t="str">
        <f>IF(SUM(C36:F36)=G36,"","Check Total Vaue &amp; Category")</f>
        <v/>
      </c>
    </row>
    <row r="37" spans="1:10" x14ac:dyDescent="0.2">
      <c r="A37" s="50" t="s">
        <v>31</v>
      </c>
      <c r="B37" s="50"/>
      <c r="C37" s="51">
        <f>COUNTIFS(GeneDate,"&gt;="&amp;$I$2,GeneDate,"&lt;="&amp;$I$3,GeneMTB,"Pos*",GeneMicroscope,"Neg*")</f>
        <v>0</v>
      </c>
      <c r="D37" s="52"/>
      <c r="E37" s="53">
        <f>COUNTIFS(GeneDate,"&gt;="&amp;$I$2,GeneDate,"&lt;="&amp;$I$3,GeneMTB,"Neg*",GeneMicroscope,"Neg*")</f>
        <v>0</v>
      </c>
      <c r="F37" s="54"/>
      <c r="G37" s="8">
        <f>COUNTIFS(GeneDate,"&gt;="&amp;$I$2,GeneDate,"&lt;="&amp;$I$3,GeneMicroscope,"Neg*",GeneMTB,"*tive")</f>
        <v>0</v>
      </c>
      <c r="H37" s="55"/>
      <c r="I37" s="56"/>
      <c r="J37" s="2" t="str">
        <f>IF(SUM(C37:F37)=G37,"","Check Total Vaue &amp; Category")</f>
        <v/>
      </c>
    </row>
    <row r="38" spans="1:10" x14ac:dyDescent="0.2">
      <c r="A38" s="50" t="s">
        <v>30</v>
      </c>
      <c r="B38" s="50"/>
      <c r="C38" s="51">
        <f>COUNTIFS(GeneDate,"&gt;="&amp;$I$2,GeneDate,"&lt;="&amp;$I$3,GeneMTB,"Pos*",GeneMicroscope,"Not*")</f>
        <v>0</v>
      </c>
      <c r="D38" s="52"/>
      <c r="E38" s="53">
        <f>COUNTIFS(GeneDate,"&gt;="&amp;$I$2,GeneDate,"&lt;="&amp;$I$3,GeneMTB,"Neg*",GeneMicroscope,"Not*")</f>
        <v>0</v>
      </c>
      <c r="F38" s="54"/>
      <c r="G38" s="8">
        <f>COUNTIFS(GeneDate,"&gt;="&amp;$I$2,GeneDate,"&lt;="&amp;$I$3,GeneMTB,"*tive",GeneMicroscope,"Not*")</f>
        <v>0</v>
      </c>
      <c r="H38" s="55"/>
      <c r="I38" s="56"/>
      <c r="J38" s="2" t="str">
        <f>IF(SUM(C38:F38)=G38,"","Check Total Vaue &amp; Category")</f>
        <v/>
      </c>
    </row>
    <row r="39" spans="1:10" ht="12" customHeight="1" x14ac:dyDescent="0.2">
      <c r="D39" s="2" t="str">
        <f>IF(SUM(C36:D38)=SUM(F27:F29),"","Error")</f>
        <v/>
      </c>
      <c r="E39" s="7"/>
      <c r="F39" s="7"/>
      <c r="G39" s="7"/>
    </row>
    <row r="40" spans="1:10" x14ac:dyDescent="0.2">
      <c r="A40" s="2" t="s">
        <v>29</v>
      </c>
    </row>
    <row r="41" spans="1:10" x14ac:dyDescent="0.2">
      <c r="A41" s="66"/>
      <c r="B41" s="66"/>
      <c r="C41" s="61" t="s">
        <v>28</v>
      </c>
      <c r="D41" s="62"/>
      <c r="E41" s="66" t="s">
        <v>27</v>
      </c>
      <c r="F41" s="66"/>
    </row>
    <row r="42" spans="1:10" x14ac:dyDescent="0.2">
      <c r="A42" s="50" t="s">
        <v>26</v>
      </c>
      <c r="B42" s="50"/>
      <c r="C42" s="51"/>
      <c r="D42" s="52"/>
      <c r="E42" s="67"/>
      <c r="F42" s="67"/>
    </row>
    <row r="43" spans="1:10" x14ac:dyDescent="0.2">
      <c r="A43" s="50" t="s">
        <v>25</v>
      </c>
      <c r="B43" s="50"/>
      <c r="C43" s="51"/>
      <c r="D43" s="52"/>
      <c r="E43" s="67" t="s">
        <v>24</v>
      </c>
      <c r="F43" s="67"/>
    </row>
    <row r="44" spans="1:10" x14ac:dyDescent="0.2">
      <c r="A44" s="50" t="s">
        <v>23</v>
      </c>
      <c r="B44" s="50"/>
      <c r="C44" s="68">
        <f>C46+F9+C47</f>
        <v>0</v>
      </c>
      <c r="D44" s="69"/>
      <c r="E44" s="67"/>
      <c r="F44" s="67"/>
      <c r="G44" s="6"/>
    </row>
    <row r="45" spans="1:10" x14ac:dyDescent="0.2">
      <c r="A45" s="50" t="s">
        <v>22</v>
      </c>
      <c r="B45" s="50"/>
      <c r="C45" s="68">
        <f>SUM(C42+C43)-C44</f>
        <v>0</v>
      </c>
      <c r="D45" s="69"/>
      <c r="E45" s="67"/>
      <c r="F45" s="67"/>
    </row>
    <row r="46" spans="1:10" x14ac:dyDescent="0.2">
      <c r="A46" s="5" t="s">
        <v>21</v>
      </c>
      <c r="B46" s="5"/>
      <c r="C46" s="23">
        <f>COUNTIFS(GeneDate,"&gt;="&amp;$I$2,GeneDate,"&lt;="&amp;$I$3,GeneMTB,"Error")+COUNTIFS(GeneDate,"&gt;="&amp;$I$2,GeneDate,"&lt;="&amp;$I$3,GeneMTB,"Invalid")+COUNTIFS(GeneDate,"&gt;="&amp;$I$2,GeneDate,"&lt;="&amp;$I$3,GeneMTB,"*Result*")</f>
        <v>0</v>
      </c>
    </row>
    <row r="47" spans="1:10" x14ac:dyDescent="0.2">
      <c r="A47" s="5" t="s">
        <v>63</v>
      </c>
      <c r="C47" s="5">
        <v>0</v>
      </c>
    </row>
    <row r="49" spans="5:7" x14ac:dyDescent="0.2">
      <c r="E49" s="2" t="s">
        <v>20</v>
      </c>
      <c r="F49" s="4"/>
      <c r="G49" s="4"/>
    </row>
    <row r="50" spans="5:7" x14ac:dyDescent="0.2">
      <c r="E50" s="2" t="s">
        <v>19</v>
      </c>
      <c r="F50" s="3"/>
      <c r="G50" s="3"/>
    </row>
    <row r="51" spans="5:7" x14ac:dyDescent="0.2">
      <c r="E51" s="2" t="s">
        <v>18</v>
      </c>
      <c r="F51" s="3"/>
      <c r="G51" s="3"/>
    </row>
    <row r="52" spans="5:7" x14ac:dyDescent="0.2">
      <c r="E52" s="2" t="s">
        <v>17</v>
      </c>
      <c r="F52" s="3"/>
      <c r="G52" s="3"/>
    </row>
  </sheetData>
  <sheetProtection algorithmName="SHA-512" hashValue="9bXEk0WV6PC1d1Sn9jWBKVd+vhU6iG6PEhLM1LUv5uHO4M2n8hBav0zg2N8kK70bcnLNrLNBPOaXCR4q5K0sAg==" saltValue="rtfzD5MS0vCd0QQoPnpPbA==" spinCount="100000" sheet="1" objects="1" scenarios="1"/>
  <protectedRanges>
    <protectedRange sqref="B4" name="Range3"/>
    <protectedRange sqref="I2:I3" name="Range2"/>
    <protectedRange sqref="C42:F43 C45 E44:F45 C47" name="Range1"/>
  </protectedRanges>
  <mergeCells count="45">
    <mergeCell ref="A45:B45"/>
    <mergeCell ref="C45:D45"/>
    <mergeCell ref="E45:F45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6:B36"/>
    <mergeCell ref="C36:D36"/>
    <mergeCell ref="E36:F36"/>
    <mergeCell ref="H36:I38"/>
    <mergeCell ref="A37:B37"/>
    <mergeCell ref="C37:D37"/>
    <mergeCell ref="E37:F37"/>
    <mergeCell ref="A38:B38"/>
    <mergeCell ref="C38:D38"/>
    <mergeCell ref="E38:F38"/>
    <mergeCell ref="C31:D31"/>
    <mergeCell ref="E31:F31"/>
    <mergeCell ref="C32:D32"/>
    <mergeCell ref="E32:F32"/>
    <mergeCell ref="A35:B35"/>
    <mergeCell ref="C35:D35"/>
    <mergeCell ref="E35:F35"/>
    <mergeCell ref="A26:A29"/>
    <mergeCell ref="G26:H29"/>
    <mergeCell ref="A1:F1"/>
    <mergeCell ref="A7:A8"/>
    <mergeCell ref="B7:C7"/>
    <mergeCell ref="D7:E7"/>
    <mergeCell ref="F7:F8"/>
    <mergeCell ref="A13:A15"/>
    <mergeCell ref="G13:H15"/>
    <mergeCell ref="A16:A19"/>
    <mergeCell ref="G16:H19"/>
    <mergeCell ref="A23:A25"/>
    <mergeCell ref="G23:H25"/>
  </mergeCells>
  <conditionalFormatting sqref="G13">
    <cfRule type="notContainsBlanks" dxfId="29" priority="6">
      <formula>LEN(TRIM(G13))&gt;0</formula>
    </cfRule>
  </conditionalFormatting>
  <conditionalFormatting sqref="G16">
    <cfRule type="notContainsBlanks" dxfId="28" priority="5">
      <formula>LEN(TRIM(G16))&gt;0</formula>
    </cfRule>
  </conditionalFormatting>
  <conditionalFormatting sqref="G23">
    <cfRule type="notContainsBlanks" dxfId="27" priority="4">
      <formula>LEN(TRIM(G23))&gt;0</formula>
    </cfRule>
  </conditionalFormatting>
  <conditionalFormatting sqref="G26">
    <cfRule type="notContainsBlanks" dxfId="26" priority="3">
      <formula>LEN(TRIM(G26))&gt;0</formula>
    </cfRule>
  </conditionalFormatting>
  <conditionalFormatting sqref="H36">
    <cfRule type="notContainsBlanks" dxfId="25" priority="2">
      <formula>LEN(TRIM(H36))&gt;0</formula>
    </cfRule>
  </conditionalFormatting>
  <conditionalFormatting sqref="I13:I19 I23:I29 J36:J38">
    <cfRule type="notContainsBlanks" dxfId="24" priority="1">
      <formula>LEN(TRIM(I13))&gt;0</formula>
    </cfRule>
  </conditionalFormatting>
  <pageMargins left="0.7" right="0.5" top="0.5" bottom="0.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J52"/>
  <sheetViews>
    <sheetView workbookViewId="0">
      <selection activeCell="I2" sqref="I2"/>
    </sheetView>
  </sheetViews>
  <sheetFormatPr baseColWidth="10" defaultColWidth="9.1640625" defaultRowHeight="15" x14ac:dyDescent="0.2"/>
  <cols>
    <col min="1" max="1" width="14" style="2" customWidth="1"/>
    <col min="2" max="2" width="25.1640625" style="2" bestFit="1" customWidth="1"/>
    <col min="3" max="3" width="9.1640625" style="2" customWidth="1"/>
    <col min="4" max="4" width="12.33203125" style="2" bestFit="1" customWidth="1"/>
    <col min="5" max="7" width="9.6640625" style="2" customWidth="1"/>
    <col min="8" max="8" width="20.33203125" style="2" customWidth="1"/>
    <col min="9" max="9" width="20.6640625" style="2" customWidth="1"/>
    <col min="10" max="10" width="14.5" style="2" customWidth="1"/>
    <col min="11" max="16384" width="9.1640625" style="2"/>
  </cols>
  <sheetData>
    <row r="1" spans="1:9" ht="19" x14ac:dyDescent="0.25">
      <c r="A1" s="63" t="s">
        <v>60</v>
      </c>
      <c r="B1" s="63"/>
      <c r="C1" s="63"/>
      <c r="D1" s="63"/>
      <c r="E1" s="63"/>
      <c r="F1" s="63"/>
      <c r="I1" s="16" t="s">
        <v>59</v>
      </c>
    </row>
    <row r="2" spans="1:9" ht="16" x14ac:dyDescent="0.2">
      <c r="H2" s="16" t="s">
        <v>58</v>
      </c>
      <c r="I2" s="28">
        <v>42675.000011574099</v>
      </c>
    </row>
    <row r="3" spans="1:9" ht="16" x14ac:dyDescent="0.2">
      <c r="A3" s="2" t="s">
        <v>57</v>
      </c>
      <c r="C3" s="18" t="str">
        <f>IF(MONTH($I$2)=1,"January",IF(MONTH($I$2)=2,"February",IF(MONTH($I$2)=3,"March",IF(MONTH($I$2)=4,"April",IF(MONTH($I$2)=5,"May",IF(MONTH($I$2)=6,"June",IF(MONTH($I$2)=7,"July",IF(MONTH($I$2)=8,"Auguest",IF(MONTH($I$2)=9,"September",IF(MONTH($I$2)=10,"October",IF(MONTH($I$2)=11,"November",IF(MONTH($I$2)=12,"December",A3))))))))))))</f>
        <v>November</v>
      </c>
      <c r="E3" s="2" t="s">
        <v>56</v>
      </c>
      <c r="F3" s="17">
        <f>YEAR($I$2)</f>
        <v>2016</v>
      </c>
      <c r="H3" s="16" t="s">
        <v>55</v>
      </c>
      <c r="I3" s="28">
        <v>42704.999988425901</v>
      </c>
    </row>
    <row r="4" spans="1:9" x14ac:dyDescent="0.2">
      <c r="A4" s="2" t="s">
        <v>54</v>
      </c>
    </row>
    <row r="6" spans="1:9" x14ac:dyDescent="0.2">
      <c r="A6" s="2" t="s">
        <v>53</v>
      </c>
    </row>
    <row r="7" spans="1:9" x14ac:dyDescent="0.2">
      <c r="A7" s="66"/>
      <c r="B7" s="66" t="s">
        <v>14</v>
      </c>
      <c r="C7" s="66"/>
      <c r="D7" s="66" t="s">
        <v>16</v>
      </c>
      <c r="E7" s="66"/>
      <c r="F7" s="57" t="s">
        <v>33</v>
      </c>
    </row>
    <row r="8" spans="1:9" x14ac:dyDescent="0.2">
      <c r="A8" s="66"/>
      <c r="B8" s="27" t="s">
        <v>52</v>
      </c>
      <c r="C8" s="27" t="s">
        <v>61</v>
      </c>
      <c r="D8" s="27" t="s">
        <v>52</v>
      </c>
      <c r="E8" s="27" t="s">
        <v>61</v>
      </c>
      <c r="F8" s="57"/>
    </row>
    <row r="9" spans="1:9" x14ac:dyDescent="0.2">
      <c r="A9" s="12"/>
      <c r="B9" s="11">
        <f>COUNTIFS(GeneDate,"&gt;="&amp;$I$2,GeneDate,"&lt;="&amp;$I$3,GeneAge,"&lt;15",GeneSex,"Male",GeneMTB,"*tive")</f>
        <v>0</v>
      </c>
      <c r="C9" s="11">
        <f>COUNTIFS(GeneDate,"&gt;="&amp;$I$2,GeneDate,"&lt;="&amp;$I$3,GeneAge,"&gt;=15",GeneSex,"M*",GeneMTB,"*tive")</f>
        <v>0</v>
      </c>
      <c r="D9" s="11">
        <f>COUNTIFS(GeneDate,"&gt;="&amp;$I$2,GeneDate,"&lt;="&amp;$I$3,GeneAge,"&lt;15",GeneSex,"F*",GeneMTB,"*tive")</f>
        <v>0</v>
      </c>
      <c r="E9" s="8">
        <f>COUNTIFS(GeneDate,"&gt;="&amp;$I$2,GeneDate,"&lt;="&amp;$I$3,GeneAge,"&gt;=15",GeneSex,"F*",GeneMTB,"*tive")</f>
        <v>0</v>
      </c>
      <c r="F9" s="8">
        <f>COUNTIFS(GeneDate,"&gt;="&amp;$I$2,GeneDate,"&lt;="&amp;$I$3,GeneMTB,"*tive")</f>
        <v>0</v>
      </c>
      <c r="G9" s="7" t="str">
        <f>IF(SUM(B9:E9)=F9,"","Check Total Vaue &amp; Category")</f>
        <v/>
      </c>
      <c r="H9" s="26"/>
    </row>
    <row r="10" spans="1:9" ht="12" customHeight="1" x14ac:dyDescent="0.2">
      <c r="B10" s="19"/>
      <c r="E10" s="7"/>
      <c r="F10" s="7"/>
      <c r="G10" s="7"/>
    </row>
    <row r="11" spans="1:9" x14ac:dyDescent="0.2">
      <c r="A11" s="2" t="s">
        <v>51</v>
      </c>
      <c r="E11" s="7"/>
      <c r="F11" s="7"/>
      <c r="G11" s="7"/>
    </row>
    <row r="12" spans="1:9" x14ac:dyDescent="0.2">
      <c r="A12" s="12"/>
      <c r="B12" s="12"/>
      <c r="C12" s="27" t="s">
        <v>50</v>
      </c>
      <c r="D12" s="27" t="s">
        <v>49</v>
      </c>
      <c r="E12" s="13" t="s">
        <v>15</v>
      </c>
      <c r="F12" s="13" t="s">
        <v>33</v>
      </c>
      <c r="G12" s="7"/>
    </row>
    <row r="13" spans="1:9" ht="15" customHeight="1" x14ac:dyDescent="0.2">
      <c r="A13" s="58" t="s">
        <v>44</v>
      </c>
      <c r="B13" s="12" t="s">
        <v>43</v>
      </c>
      <c r="C13" s="11">
        <f>COUNTIFS(GeneDate,"&gt;="&amp;$I$2,GeneDate,"&lt;="&amp;$I$3,GeneMicroscope,"Pos*",GenePreviousHistory,"N*",GeneMTB,"*tive")</f>
        <v>0</v>
      </c>
      <c r="D13" s="11">
        <f>COUNTIFS(GeneDate,"&gt;="&amp;$I$2,GeneDate,"&lt;="&amp;$I$3,GeneMicroscope,"Pos*",GenePreviousHistory,"Y*",GeneMTB,"*tive")</f>
        <v>0</v>
      </c>
      <c r="E13" s="8">
        <f>COUNTIFS(GeneDate,"&gt;="&amp;$I$2,GeneDate,"&lt;="&amp;$I$3,GeneMicroscope,"Pos*",GenePreviousHistory,"Un*",GeneMTB,"*tive")</f>
        <v>0</v>
      </c>
      <c r="F13" s="8">
        <f>COUNTIFS(GeneDate,"&gt;="&amp;$I$2,GeneDate,"&lt;="&amp;$I$3,GeneMicroscope,"Pos*",GeneMTB,"*tive")</f>
        <v>0</v>
      </c>
      <c r="G13" s="48" t="str">
        <f>IF($F$9=SUM(F13:F15),"","Error! Possibly there were be Error or Missing information at Microscopy Result")</f>
        <v/>
      </c>
      <c r="H13" s="49"/>
      <c r="I13" s="10" t="str">
        <f t="shared" ref="I13:I19" si="0">IF(SUM(C13:E13)=F13,"","Check Total Vaue &amp; Category")</f>
        <v/>
      </c>
    </row>
    <row r="14" spans="1:9" x14ac:dyDescent="0.2">
      <c r="A14" s="59"/>
      <c r="B14" s="12" t="s">
        <v>42</v>
      </c>
      <c r="C14" s="11">
        <f>COUNTIFS(GeneDate,"&gt;="&amp;$I$2,GeneDate,"&lt;="&amp;$I$3,GeneMicroscope,"Neg*",GenePreviousHistory,"N*",GeneMTB,"*tive")</f>
        <v>0</v>
      </c>
      <c r="D14" s="11">
        <f>COUNTIFS(GeneDate,"&gt;="&amp;$I$2,GeneDate,"&lt;="&amp;$I$3,GeneMicroscope,"Neg*",GenePreviousHistory,"Y*",GeneMTB,"*tive")</f>
        <v>0</v>
      </c>
      <c r="E14" s="8">
        <f>COUNTIFS(GeneDate,"&gt;="&amp;$I$2,GeneDate,"&lt;="&amp;$I$3,GeneMicroscope,"Neg*",GenePreviousHistory,"Un*",GeneMTB,"*tive")</f>
        <v>0</v>
      </c>
      <c r="F14" s="8">
        <f>COUNTIFS(GeneDate,"&gt;="&amp;$I$2,GeneDate,"&lt;="&amp;$I$3,GeneMicroscope,"Neg*",GeneMTB,"*tive")</f>
        <v>0</v>
      </c>
      <c r="G14" s="48"/>
      <c r="H14" s="49"/>
      <c r="I14" s="10" t="str">
        <f t="shared" si="0"/>
        <v/>
      </c>
    </row>
    <row r="15" spans="1:9" x14ac:dyDescent="0.2">
      <c r="A15" s="60"/>
      <c r="B15" s="12" t="s">
        <v>41</v>
      </c>
      <c r="C15" s="11">
        <f>COUNTIFS(GeneDate,"&gt;="&amp;$I$2,GeneDate,"&lt;="&amp;$I$3,GeneMicroscope,"Not*",GenePreviousHistory,"N*",GeneMTB,"*tive")</f>
        <v>0</v>
      </c>
      <c r="D15" s="11">
        <f>COUNTIFS(GeneDate,"&gt;="&amp;$I$2,GeneDate,"&lt;="&amp;$I$3,GeneMicroscope,"Not*",GenePreviousHistory,"Y*",GeneMTB,"*tive")</f>
        <v>0</v>
      </c>
      <c r="E15" s="8">
        <f>COUNTIFS(GeneDate,"&gt;="&amp;$I$2,GeneDate,"&lt;="&amp;$I$3,GeneMicroscope,"Not*",GenePreviousHistory,"Un*",GeneMTB,"*tive")</f>
        <v>0</v>
      </c>
      <c r="F15" s="8">
        <f>COUNTIFS(GeneDate,"&gt;="&amp;$I$2,GeneDate,"&lt;="&amp;$I$3,GeneMicroscope,"Not*",GeneMTB,"*tive")</f>
        <v>0</v>
      </c>
      <c r="G15" s="48"/>
      <c r="H15" s="49"/>
      <c r="I15" s="10" t="str">
        <f t="shared" si="0"/>
        <v/>
      </c>
    </row>
    <row r="16" spans="1:9" x14ac:dyDescent="0.2">
      <c r="A16" s="57" t="s">
        <v>40</v>
      </c>
      <c r="B16" s="12" t="s">
        <v>13</v>
      </c>
      <c r="C16" s="11">
        <f>COUNTIFS(GeneDate,"&gt;="&amp;$I$2,GeneDate,"&lt;="&amp;$I$3,GenePreviousHistory,"N*",GeneMTB,"Neg*")</f>
        <v>0</v>
      </c>
      <c r="D16" s="11">
        <f>COUNTIFS(GeneDate,"&gt;="&amp;$I$2,GeneDate,"&lt;="&amp;$I$3,GenePreviousHistory,"Y*",GeneMTB,"Neg*")</f>
        <v>0</v>
      </c>
      <c r="E16" s="8">
        <f>F16-(C16+D16)</f>
        <v>0</v>
      </c>
      <c r="F16" s="8">
        <f>COUNTIFS(GeneDate,"&gt;="&amp;$I$2,GeneDate,"&lt;="&amp;$I$3,GeneMTB,"Neg*")</f>
        <v>0</v>
      </c>
      <c r="G16" s="48" t="str">
        <f>IF($F$9=SUM(F16:F19),"","Error! Cross information between Xpert result and treatment category are not match; possibly there will be Erorr or missing information on MTB result OR RIF result")</f>
        <v/>
      </c>
      <c r="H16" s="49"/>
      <c r="I16" s="10" t="str">
        <f t="shared" si="0"/>
        <v/>
      </c>
    </row>
    <row r="17" spans="1:9" x14ac:dyDescent="0.2">
      <c r="A17" s="57"/>
      <c r="B17" s="12" t="s">
        <v>39</v>
      </c>
      <c r="C17" s="11">
        <f>COUNTIFS(GeneDate,"&gt;="&amp;$I$2,GeneDate,"&lt;="&amp;$I$3,GenePreviousHistory,"N*",GeneMTB,"Pos*",GeneRif,"Neg*")</f>
        <v>0</v>
      </c>
      <c r="D17" s="11">
        <f>COUNTIFS(GeneDate,"&gt;="&amp;$I$2,GeneDate,"&lt;="&amp;$I$3,GenePreviousHistory,"Y*",GeneMTB,"Pos*",GeneRif,"Neg*")</f>
        <v>0</v>
      </c>
      <c r="E17" s="8">
        <f>F17-(C17+D17)</f>
        <v>0</v>
      </c>
      <c r="F17" s="8">
        <f>COUNTIFS(GeneDate,"&gt;="&amp;$I$2,GeneDate,"&lt;="&amp;$I$3,GeneMTB,"Pos*",GeneRif,"Neg*")</f>
        <v>0</v>
      </c>
      <c r="G17" s="48"/>
      <c r="H17" s="49"/>
      <c r="I17" s="10" t="str">
        <f t="shared" si="0"/>
        <v/>
      </c>
    </row>
    <row r="18" spans="1:9" x14ac:dyDescent="0.2">
      <c r="A18" s="57"/>
      <c r="B18" s="12" t="s">
        <v>38</v>
      </c>
      <c r="C18" s="11">
        <f>COUNTIFS(GeneDate,"&gt;="&amp;$I$2,GeneDate,"&lt;="&amp;$I$3,GenePreviousHistory,"N*",GeneMTB,"Pos*",GeneRif,"Pos*")</f>
        <v>0</v>
      </c>
      <c r="D18" s="11">
        <f>COUNTIFS(GeneDate,"&gt;="&amp;$I$2,GeneDate,"&lt;="&amp;$I$3,GenePreviousHistory,"Y*",GeneMTB,"Pos*",GeneRif,"Pos*")</f>
        <v>0</v>
      </c>
      <c r="E18" s="8">
        <f>F18-(C18+D18)</f>
        <v>0</v>
      </c>
      <c r="F18" s="8">
        <f>COUNTIFS(GeneDate,"&gt;="&amp;$I$2,GeneDate,"&lt;="&amp;$I$3,GeneMTB,"Pos*",GeneRif,"Pos*")</f>
        <v>0</v>
      </c>
      <c r="G18" s="48"/>
      <c r="H18" s="49"/>
      <c r="I18" s="10" t="str">
        <f t="shared" si="0"/>
        <v/>
      </c>
    </row>
    <row r="19" spans="1:9" x14ac:dyDescent="0.2">
      <c r="A19" s="57"/>
      <c r="B19" s="12" t="s">
        <v>48</v>
      </c>
      <c r="C19" s="11">
        <f>COUNTIFS(GeneDate,"&gt;="&amp;$I$2,GeneDate,"&lt;="&amp;$I$3,GenePreviousHistory,"N*",GeneMTB,"Pos*",GeneRif,"IND*")</f>
        <v>0</v>
      </c>
      <c r="D19" s="11">
        <f>COUNTIFS(GeneDate,"&gt;="&amp;$I$2,GeneDate,"&lt;="&amp;$I$3,GenePreviousHistory,"Y*",GeneMTB,"Pos*",GeneRif,"IND*")</f>
        <v>0</v>
      </c>
      <c r="E19" s="8">
        <f>F19-(C19+D19)</f>
        <v>0</v>
      </c>
      <c r="F19" s="8">
        <f>COUNTIFS(GeneDate,"&gt;="&amp;$I$2,GeneDate,"&lt;="&amp;$I$3,GeneMTB,"Pos*",GeneRif,"IND*")</f>
        <v>0</v>
      </c>
      <c r="G19" s="48"/>
      <c r="H19" s="49"/>
      <c r="I19" s="10" t="str">
        <f t="shared" si="0"/>
        <v/>
      </c>
    </row>
    <row r="20" spans="1:9" ht="12" customHeight="1" x14ac:dyDescent="0.2">
      <c r="E20" s="7"/>
      <c r="F20" s="7"/>
      <c r="G20" s="7"/>
    </row>
    <row r="21" spans="1:9" x14ac:dyDescent="0.2">
      <c r="A21" s="2" t="s">
        <v>47</v>
      </c>
      <c r="E21" s="7"/>
      <c r="F21" s="7"/>
      <c r="G21" s="7"/>
    </row>
    <row r="22" spans="1:9" ht="30" x14ac:dyDescent="0.2">
      <c r="A22" s="12"/>
      <c r="B22" s="12"/>
      <c r="C22" s="14" t="s">
        <v>46</v>
      </c>
      <c r="D22" s="14" t="s">
        <v>45</v>
      </c>
      <c r="E22" s="13" t="s">
        <v>15</v>
      </c>
      <c r="F22" s="13" t="s">
        <v>33</v>
      </c>
      <c r="G22" s="7"/>
    </row>
    <row r="23" spans="1:9" ht="15" customHeight="1" x14ac:dyDescent="0.2">
      <c r="A23" s="58" t="s">
        <v>44</v>
      </c>
      <c r="B23" s="12" t="s">
        <v>43</v>
      </c>
      <c r="C23" s="11">
        <f>COUNTIFS(GeneDate,"&gt;="&amp;$I$2,GeneDate,"&lt;="&amp;$I$3,GeneMicroscope,"Pos*",GeneHIV,"Pos*",GeneMTB,"*tive")</f>
        <v>0</v>
      </c>
      <c r="D23" s="11">
        <f>COUNTIFS(GeneDate,"&gt;="&amp;$I$2,GeneDate,"&lt;="&amp;$I$3,GeneMicroscope,"Pos*",GeneHIV,"Neg*",GeneMTB,"*tive")</f>
        <v>0</v>
      </c>
      <c r="E23" s="8">
        <f>COUNTIFS(GeneDate,"&gt;="&amp;$I$2,GeneDate,"&lt;="&amp;$I$3,GeneMicroscope,"Pos*",GeneHIV,"Un*",GeneMTB,"*tive")</f>
        <v>0</v>
      </c>
      <c r="F23" s="8">
        <f>COUNTIFS(GeneDate,"&gt;="&amp;$I$2,GeneDate,"&lt;="&amp;$I$3,GeneMicroscope,"Pos*",GeneMTB,"*tive")</f>
        <v>0</v>
      </c>
      <c r="G23" s="48" t="str">
        <f>IF($F$9=SUM(F23:F25),"","Error! Cross information between Microscope Result and HIV Status are not match; possibly there will be Erorr or missing information on Microscope Result OR HIV Status")</f>
        <v/>
      </c>
      <c r="H23" s="49"/>
      <c r="I23" s="10" t="str">
        <f t="shared" ref="I23:I29" si="1">IF(SUM(C23:E23)=F23,"","Check Total Vaue &amp; Category")</f>
        <v/>
      </c>
    </row>
    <row r="24" spans="1:9" x14ac:dyDescent="0.2">
      <c r="A24" s="59"/>
      <c r="B24" s="12" t="s">
        <v>42</v>
      </c>
      <c r="C24" s="11">
        <f>COUNTIFS(GeneDate,"&gt;="&amp;$I$2,GeneDate,"&lt;="&amp;$I$3,GeneMicroscope,"Neg*",GeneHIV,"Pos*",GeneMTB,"*tive")</f>
        <v>0</v>
      </c>
      <c r="D24" s="11">
        <f>COUNTIFS(GeneDate,"&gt;="&amp;$I$2,GeneDate,"&lt;="&amp;$I$3,GeneMicroscope,"Neg*",GeneHIV,"Neg*",GeneMTB,"*tive")</f>
        <v>0</v>
      </c>
      <c r="E24" s="8">
        <f>COUNTIFS(GeneDate,"&gt;="&amp;$I$2,GeneDate,"&lt;="&amp;$I$3,GeneMicroscope,"Neg*",GeneHIV,"Un*",GeneMTB,"*tive")</f>
        <v>0</v>
      </c>
      <c r="F24" s="8">
        <f>COUNTIFS(GeneDate,"&gt;="&amp;$I$2,GeneDate,"&lt;="&amp;$I$3,GeneMicroscope,"Neg*",GeneMTB,"*tive")</f>
        <v>0</v>
      </c>
      <c r="G24" s="48"/>
      <c r="H24" s="49"/>
      <c r="I24" s="10" t="str">
        <f t="shared" si="1"/>
        <v/>
      </c>
    </row>
    <row r="25" spans="1:9" x14ac:dyDescent="0.2">
      <c r="A25" s="60"/>
      <c r="B25" s="12" t="s">
        <v>41</v>
      </c>
      <c r="C25" s="11">
        <f>COUNTIFS(GeneDate,"&gt;="&amp;$I$2,GeneDate,"&lt;="&amp;$I$3,GeneMicroscope,"Not*",GeneHIV,"Pos*",GeneMTB,"*tive")</f>
        <v>0</v>
      </c>
      <c r="D25" s="11">
        <f>COUNTIFS(GeneDate,"&gt;="&amp;$I$2,GeneDate,"&lt;="&amp;$I$3,GeneMicroscope,"Not*",GeneHIV,"Neg*",GeneMTB,"*tive")</f>
        <v>0</v>
      </c>
      <c r="E25" s="8">
        <f>COUNTIFS(GeneDate,"&gt;="&amp;$I$2,GeneDate,"&lt;="&amp;$I$3,GeneMicroscope,"Not*",GeneHIV,"Un*",GeneMTB,"*tive")</f>
        <v>0</v>
      </c>
      <c r="F25" s="8">
        <f>COUNTIFS(GeneDate,"&gt;="&amp;$I$2,GeneDate,"&lt;="&amp;$I$3,GeneMicroscope,"Not*",GeneMTB,"*tive")</f>
        <v>0</v>
      </c>
      <c r="G25" s="48"/>
      <c r="H25" s="49"/>
      <c r="I25" s="10" t="str">
        <f t="shared" si="1"/>
        <v/>
      </c>
    </row>
    <row r="26" spans="1:9" x14ac:dyDescent="0.2">
      <c r="A26" s="57" t="s">
        <v>40</v>
      </c>
      <c r="B26" s="12" t="s">
        <v>13</v>
      </c>
      <c r="C26" s="11">
        <f>COUNTIFS(GeneDate,"&gt;="&amp;$I$2,GeneDate,"&lt;="&amp;$I$3,GeneHIV,"Pos*",GeneMTB,"Neg*")</f>
        <v>0</v>
      </c>
      <c r="D26" s="11">
        <f>COUNTIFS(GeneDate,"&gt;="&amp;$I$2,GeneDate,"&lt;="&amp;$I$3,GeneHIV,"Neg*",GeneMTB,"Neg*")</f>
        <v>0</v>
      </c>
      <c r="E26" s="8">
        <f>COUNTIFS(GeneDate,"&gt;="&amp;$I$2,GeneDate,"&lt;="&amp;$I$3,GeneHIV,"Un*",GeneMTB,"Neg*")</f>
        <v>0</v>
      </c>
      <c r="F26" s="8">
        <f>COUNTIFS(GeneDate,"&gt;="&amp;$I$2,GeneDate,"&lt;="&amp;$I$3,GeneMTB,"*tive",GeneMTB,"Neg*")</f>
        <v>0</v>
      </c>
      <c r="G26" s="48" t="str">
        <f>IF($F$9=SUM(F26:F29),"","Error! Cross information between Xpert result and HIV Status are not match; possibly there will be Erorr or missing information on MTB result OR HIV Status")</f>
        <v/>
      </c>
      <c r="H26" s="49"/>
      <c r="I26" s="10" t="str">
        <f t="shared" si="1"/>
        <v/>
      </c>
    </row>
    <row r="27" spans="1:9" x14ac:dyDescent="0.2">
      <c r="A27" s="57"/>
      <c r="B27" s="12" t="s">
        <v>39</v>
      </c>
      <c r="C27" s="11">
        <f>COUNTIFS(GeneDate,"&gt;="&amp;$I$2,GeneDate,"&lt;="&amp;$I$3,GeneHIV,"Pos*",GeneMTB,"Pos*",GeneRif,"Neg*")</f>
        <v>0</v>
      </c>
      <c r="D27" s="11">
        <f>COUNTIFS(GeneDate,"&gt;="&amp;$I$2,GeneDate,"&lt;="&amp;$I$3,GeneHIV,"Neg*",GeneMTB,"Pos*",GeneRif,"Neg*")</f>
        <v>0</v>
      </c>
      <c r="E27" s="8">
        <f>COUNTIFS(GeneDate,"&gt;="&amp;$I$2,GeneDate,"&lt;="&amp;$I$3,GeneHIV,"Un*",GeneMTB,"Pos*",GeneRif,"Neg*")</f>
        <v>0</v>
      </c>
      <c r="F27" s="8">
        <f>COUNTIFS(GeneDate,"&gt;="&amp;$I$2,GeneDate,"&lt;="&amp;$I$3,GeneMTB,"Pos*",GeneRif,"Neg*")</f>
        <v>0</v>
      </c>
      <c r="G27" s="48"/>
      <c r="H27" s="49"/>
      <c r="I27" s="10" t="str">
        <f t="shared" si="1"/>
        <v/>
      </c>
    </row>
    <row r="28" spans="1:9" x14ac:dyDescent="0.2">
      <c r="A28" s="57"/>
      <c r="B28" s="12" t="s">
        <v>38</v>
      </c>
      <c r="C28" s="11">
        <f>COUNTIFS(GeneDate,"&gt;="&amp;$I$2,GeneDate,"&lt;="&amp;$I$3,GeneHIV,"Pos*",GeneMTB,"Pos*",GeneRif,"Pos*")</f>
        <v>0</v>
      </c>
      <c r="D28" s="11">
        <f>COUNTIFS(GeneDate,"&gt;="&amp;$I$2,GeneDate,"&lt;="&amp;$I$3,GeneHIV,"Neg*",GeneMTB,"Pos*",GeneRif,"Pos*")</f>
        <v>0</v>
      </c>
      <c r="E28" s="8">
        <f>COUNTIFS(GeneDate,"&gt;="&amp;$I$2,GeneDate,"&lt;="&amp;$I$3,GeneHIV,"Un*",GeneMTB,"Pos*",GeneRif,"Pos*")</f>
        <v>0</v>
      </c>
      <c r="F28" s="8">
        <f>COUNTIFS(GeneDate,"&gt;="&amp;$I$2,GeneDate,"&lt;="&amp;$I$3,GeneMTB,"Pos*",GeneRif,"Pos*")</f>
        <v>0</v>
      </c>
      <c r="G28" s="48"/>
      <c r="H28" s="49"/>
      <c r="I28" s="10" t="str">
        <f t="shared" si="1"/>
        <v/>
      </c>
    </row>
    <row r="29" spans="1:9" x14ac:dyDescent="0.2">
      <c r="A29" s="57"/>
      <c r="B29" s="12" t="s">
        <v>37</v>
      </c>
      <c r="C29" s="11">
        <f>COUNTIFS(GeneDate,"&gt;="&amp;$I$2,GeneDate,"&lt;="&amp;$I$3,GeneHIV,"Pos*",GeneMTB,"Pos*",GeneRif,"IND*")</f>
        <v>0</v>
      </c>
      <c r="D29" s="11">
        <f>COUNTIFS(GeneDate,"&gt;="&amp;$I$2,GeneDate,"&lt;="&amp;$I$3,GeneHIV,"Neg*",GeneMTB,"Pos*",GeneRif,"IND*")</f>
        <v>0</v>
      </c>
      <c r="E29" s="8">
        <f>COUNTIFS(GeneDate,"&gt;="&amp;$I$2,GeneDate,"&lt;="&amp;$I$3,GeneHIV,"Un*",GeneMTB,"Pos*",GeneRif,"IND*")</f>
        <v>0</v>
      </c>
      <c r="F29" s="8">
        <f>COUNTIFS(GeneDate,"&gt;="&amp;$I$2,GeneDate,"&lt;="&amp;$I$3,GeneMTB,"Pos*",GeneRif,"IND*")</f>
        <v>0</v>
      </c>
      <c r="G29" s="48"/>
      <c r="H29" s="49"/>
      <c r="I29" s="10" t="str">
        <f t="shared" si="1"/>
        <v/>
      </c>
    </row>
    <row r="30" spans="1:9" ht="12" customHeight="1" x14ac:dyDescent="0.2">
      <c r="E30" s="7"/>
      <c r="F30" s="7"/>
      <c r="G30" s="7"/>
    </row>
    <row r="31" spans="1:9" x14ac:dyDescent="0.2">
      <c r="A31" s="4"/>
      <c r="B31" s="25"/>
      <c r="C31" s="61" t="s">
        <v>14</v>
      </c>
      <c r="D31" s="62"/>
      <c r="E31" s="61" t="s">
        <v>16</v>
      </c>
      <c r="F31" s="62"/>
      <c r="G31" s="9" t="s">
        <v>33</v>
      </c>
    </row>
    <row r="32" spans="1:9" x14ac:dyDescent="0.2">
      <c r="A32" s="24" t="s">
        <v>62</v>
      </c>
      <c r="B32" s="24"/>
      <c r="C32" s="61">
        <f>COUNTIFS(GeneDate,"&gt;="&amp;$I$2,GeneDate,"&lt;="&amp;$I$3,GeneMTB,"Pos*",GeneRif,"Pos*",GeneSex,"Male")</f>
        <v>0</v>
      </c>
      <c r="D32" s="62"/>
      <c r="E32" s="64">
        <f>COUNTIFS(GeneDate,"&gt;="&amp;$I$2,GeneDate,"&lt;="&amp;$I$3,GeneMTB,"Pos*",GeneRif,"Pos*",GeneSex,"Female")</f>
        <v>0</v>
      </c>
      <c r="F32" s="65"/>
      <c r="G32" s="8">
        <f>COUNTIFS(GeneDate,"&gt;="&amp;$I$2,GeneDate,"&lt;="&amp;$I$3,GeneMTB,"Pos*",GeneRif,"Pos*")</f>
        <v>0</v>
      </c>
    </row>
    <row r="33" spans="1:10" ht="12" customHeight="1" x14ac:dyDescent="0.2">
      <c r="E33" s="7"/>
      <c r="F33" s="7"/>
      <c r="G33" s="7"/>
    </row>
    <row r="34" spans="1:10" x14ac:dyDescent="0.2">
      <c r="A34" s="2" t="s">
        <v>36</v>
      </c>
      <c r="E34" s="7"/>
      <c r="F34" s="7"/>
      <c r="G34" s="7"/>
    </row>
    <row r="35" spans="1:10" x14ac:dyDescent="0.2">
      <c r="A35" s="61"/>
      <c r="B35" s="62"/>
      <c r="C35" s="61" t="s">
        <v>35</v>
      </c>
      <c r="D35" s="62"/>
      <c r="E35" s="64" t="s">
        <v>34</v>
      </c>
      <c r="F35" s="65"/>
      <c r="G35" s="9" t="s">
        <v>33</v>
      </c>
    </row>
    <row r="36" spans="1:10" x14ac:dyDescent="0.2">
      <c r="A36" s="50" t="s">
        <v>32</v>
      </c>
      <c r="B36" s="50"/>
      <c r="C36" s="51">
        <f>COUNTIFS(GeneDate,"&gt;="&amp;$I$2,GeneDate,"&lt;="&amp;$I$3,GeneMTB,"Pos*",GeneMicroscope,"Pos*")</f>
        <v>0</v>
      </c>
      <c r="D36" s="52"/>
      <c r="E36" s="53">
        <f>COUNTIFS(GeneDate,"&gt;="&amp;$I$2,GeneDate,"&lt;="&amp;$I$3,GeneMTB,"Neg*",GeneMicroscope,"Pos*")</f>
        <v>0</v>
      </c>
      <c r="F36" s="54"/>
      <c r="G36" s="8">
        <f>COUNTIFS(GeneDate,"&gt;="&amp;$I$2,GeneDate,"&lt;="&amp;$I$3,GeneMicroscope,"Pos*",GeneMTB,"*tive")</f>
        <v>0</v>
      </c>
      <c r="H36" s="55" t="str">
        <f>IF($F$9=SUM(G36:G38),"","Error! Cross information between Xpert result and Microscope result are not match; possibly there will be Erorr or missing information on MTB result OR Microscope result")</f>
        <v/>
      </c>
      <c r="I36" s="56"/>
      <c r="J36" s="2" t="str">
        <f>IF(SUM(C36:F36)=G36,"","Check Total Vaue &amp; Category")</f>
        <v/>
      </c>
    </row>
    <row r="37" spans="1:10" x14ac:dyDescent="0.2">
      <c r="A37" s="50" t="s">
        <v>31</v>
      </c>
      <c r="B37" s="50"/>
      <c r="C37" s="51">
        <f>COUNTIFS(GeneDate,"&gt;="&amp;$I$2,GeneDate,"&lt;="&amp;$I$3,GeneMTB,"Pos*",GeneMicroscope,"Neg*")</f>
        <v>0</v>
      </c>
      <c r="D37" s="52"/>
      <c r="E37" s="53">
        <f>COUNTIFS(GeneDate,"&gt;="&amp;$I$2,GeneDate,"&lt;="&amp;$I$3,GeneMTB,"Neg*",GeneMicroscope,"Neg*")</f>
        <v>0</v>
      </c>
      <c r="F37" s="54"/>
      <c r="G37" s="8">
        <f>COUNTIFS(GeneDate,"&gt;="&amp;$I$2,GeneDate,"&lt;="&amp;$I$3,GeneMicroscope,"Neg*",GeneMTB,"*tive")</f>
        <v>0</v>
      </c>
      <c r="H37" s="55"/>
      <c r="I37" s="56"/>
      <c r="J37" s="2" t="str">
        <f>IF(SUM(C37:F37)=G37,"","Check Total Vaue &amp; Category")</f>
        <v/>
      </c>
    </row>
    <row r="38" spans="1:10" x14ac:dyDescent="0.2">
      <c r="A38" s="50" t="s">
        <v>30</v>
      </c>
      <c r="B38" s="50"/>
      <c r="C38" s="51">
        <f>COUNTIFS(GeneDate,"&gt;="&amp;$I$2,GeneDate,"&lt;="&amp;$I$3,GeneMTB,"Pos*",GeneMicroscope,"Not*")</f>
        <v>0</v>
      </c>
      <c r="D38" s="52"/>
      <c r="E38" s="53">
        <f>COUNTIFS(GeneDate,"&gt;="&amp;$I$2,GeneDate,"&lt;="&amp;$I$3,GeneMTB,"Neg*",GeneMicroscope,"Not*")</f>
        <v>0</v>
      </c>
      <c r="F38" s="54"/>
      <c r="G38" s="8">
        <f>COUNTIFS(GeneDate,"&gt;="&amp;$I$2,GeneDate,"&lt;="&amp;$I$3,GeneMTB,"*tive",GeneMicroscope,"Not*")</f>
        <v>0</v>
      </c>
      <c r="H38" s="55"/>
      <c r="I38" s="56"/>
      <c r="J38" s="2" t="str">
        <f>IF(SUM(C38:F38)=G38,"","Check Total Vaue &amp; Category")</f>
        <v/>
      </c>
    </row>
    <row r="39" spans="1:10" ht="12" customHeight="1" x14ac:dyDescent="0.2">
      <c r="D39" s="2" t="str">
        <f>IF(SUM(C36:D38)=SUM(F27:F29),"","Error")</f>
        <v/>
      </c>
      <c r="E39" s="7"/>
      <c r="F39" s="7"/>
      <c r="G39" s="7"/>
    </row>
    <row r="40" spans="1:10" x14ac:dyDescent="0.2">
      <c r="A40" s="2" t="s">
        <v>29</v>
      </c>
    </row>
    <row r="41" spans="1:10" x14ac:dyDescent="0.2">
      <c r="A41" s="66"/>
      <c r="B41" s="66"/>
      <c r="C41" s="61" t="s">
        <v>28</v>
      </c>
      <c r="D41" s="62"/>
      <c r="E41" s="66" t="s">
        <v>27</v>
      </c>
      <c r="F41" s="66"/>
    </row>
    <row r="42" spans="1:10" x14ac:dyDescent="0.2">
      <c r="A42" s="50" t="s">
        <v>26</v>
      </c>
      <c r="B42" s="50"/>
      <c r="C42" s="51"/>
      <c r="D42" s="52"/>
      <c r="E42" s="67"/>
      <c r="F42" s="67"/>
    </row>
    <row r="43" spans="1:10" x14ac:dyDescent="0.2">
      <c r="A43" s="50" t="s">
        <v>25</v>
      </c>
      <c r="B43" s="50"/>
      <c r="C43" s="51"/>
      <c r="D43" s="52"/>
      <c r="E43" s="67" t="s">
        <v>24</v>
      </c>
      <c r="F43" s="67"/>
    </row>
    <row r="44" spans="1:10" x14ac:dyDescent="0.2">
      <c r="A44" s="50" t="s">
        <v>23</v>
      </c>
      <c r="B44" s="50"/>
      <c r="C44" s="68">
        <f>C46+F9+C47</f>
        <v>0</v>
      </c>
      <c r="D44" s="69"/>
      <c r="E44" s="67"/>
      <c r="F44" s="67"/>
      <c r="G44" s="6"/>
    </row>
    <row r="45" spans="1:10" x14ac:dyDescent="0.2">
      <c r="A45" s="50" t="s">
        <v>22</v>
      </c>
      <c r="B45" s="50"/>
      <c r="C45" s="68">
        <f>SUM(C42+C43)-C44</f>
        <v>0</v>
      </c>
      <c r="D45" s="69"/>
      <c r="E45" s="67"/>
      <c r="F45" s="67"/>
    </row>
    <row r="46" spans="1:10" x14ac:dyDescent="0.2">
      <c r="A46" s="5" t="s">
        <v>21</v>
      </c>
      <c r="B46" s="5"/>
      <c r="C46" s="23">
        <f>COUNTIFS(GeneDate,"&gt;="&amp;$I$2,GeneDate,"&lt;="&amp;$I$3,GeneMTB,"Error")+COUNTIFS(GeneDate,"&gt;="&amp;$I$2,GeneDate,"&lt;="&amp;$I$3,GeneMTB,"Invalid")+COUNTIFS(GeneDate,"&gt;="&amp;$I$2,GeneDate,"&lt;="&amp;$I$3,GeneMTB,"*Result*")</f>
        <v>0</v>
      </c>
    </row>
    <row r="47" spans="1:10" x14ac:dyDescent="0.2">
      <c r="A47" s="5" t="s">
        <v>63</v>
      </c>
      <c r="C47" s="5">
        <v>0</v>
      </c>
    </row>
    <row r="49" spans="5:7" x14ac:dyDescent="0.2">
      <c r="E49" s="2" t="s">
        <v>20</v>
      </c>
      <c r="F49" s="4"/>
      <c r="G49" s="4"/>
    </row>
    <row r="50" spans="5:7" x14ac:dyDescent="0.2">
      <c r="E50" s="2" t="s">
        <v>19</v>
      </c>
      <c r="F50" s="3"/>
      <c r="G50" s="3"/>
    </row>
    <row r="51" spans="5:7" x14ac:dyDescent="0.2">
      <c r="E51" s="2" t="s">
        <v>18</v>
      </c>
      <c r="F51" s="3"/>
      <c r="G51" s="3"/>
    </row>
    <row r="52" spans="5:7" x14ac:dyDescent="0.2">
      <c r="E52" s="2" t="s">
        <v>17</v>
      </c>
      <c r="F52" s="3"/>
      <c r="G52" s="3"/>
    </row>
  </sheetData>
  <sheetProtection algorithmName="SHA-512" hashValue="k0WiXF+qxGt1Xl91D3EYztxubMMsgTgnsQnJjIPRmCymO843EQl4OrUC+VQ4mqiyI+xPv7PKdJHHoTswG3kqMw==" saltValue="PYj3IuZWfw0Oo0x3+3CUsQ==" spinCount="100000" sheet="1" objects="1" scenarios="1"/>
  <protectedRanges>
    <protectedRange sqref="B4" name="Range3"/>
    <protectedRange sqref="I2:I3" name="Range2"/>
    <protectedRange sqref="C42:F43 C45 E44:F45 C47" name="Range1"/>
  </protectedRanges>
  <mergeCells count="45">
    <mergeCell ref="A45:B45"/>
    <mergeCell ref="C45:D45"/>
    <mergeCell ref="E45:F45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6:B36"/>
    <mergeCell ref="C36:D36"/>
    <mergeCell ref="E36:F36"/>
    <mergeCell ref="H36:I38"/>
    <mergeCell ref="A37:B37"/>
    <mergeCell ref="C37:D37"/>
    <mergeCell ref="E37:F37"/>
    <mergeCell ref="A38:B38"/>
    <mergeCell ref="C38:D38"/>
    <mergeCell ref="E38:F38"/>
    <mergeCell ref="C31:D31"/>
    <mergeCell ref="E31:F31"/>
    <mergeCell ref="C32:D32"/>
    <mergeCell ref="E32:F32"/>
    <mergeCell ref="A35:B35"/>
    <mergeCell ref="C35:D35"/>
    <mergeCell ref="E35:F35"/>
    <mergeCell ref="A26:A29"/>
    <mergeCell ref="G26:H29"/>
    <mergeCell ref="A1:F1"/>
    <mergeCell ref="A7:A8"/>
    <mergeCell ref="B7:C7"/>
    <mergeCell ref="D7:E7"/>
    <mergeCell ref="F7:F8"/>
    <mergeCell ref="A13:A15"/>
    <mergeCell ref="G13:H15"/>
    <mergeCell ref="A16:A19"/>
    <mergeCell ref="G16:H19"/>
    <mergeCell ref="A23:A25"/>
    <mergeCell ref="G23:H25"/>
  </mergeCells>
  <conditionalFormatting sqref="G13">
    <cfRule type="notContainsBlanks" dxfId="23" priority="6">
      <formula>LEN(TRIM(G13))&gt;0</formula>
    </cfRule>
  </conditionalFormatting>
  <conditionalFormatting sqref="G16">
    <cfRule type="notContainsBlanks" dxfId="22" priority="5">
      <formula>LEN(TRIM(G16))&gt;0</formula>
    </cfRule>
  </conditionalFormatting>
  <conditionalFormatting sqref="G23">
    <cfRule type="notContainsBlanks" dxfId="21" priority="4">
      <formula>LEN(TRIM(G23))&gt;0</formula>
    </cfRule>
  </conditionalFormatting>
  <conditionalFormatting sqref="G26">
    <cfRule type="notContainsBlanks" dxfId="20" priority="3">
      <formula>LEN(TRIM(G26))&gt;0</formula>
    </cfRule>
  </conditionalFormatting>
  <conditionalFormatting sqref="H36">
    <cfRule type="notContainsBlanks" dxfId="19" priority="2">
      <formula>LEN(TRIM(H36))&gt;0</formula>
    </cfRule>
  </conditionalFormatting>
  <conditionalFormatting sqref="I13:I19 I23:I29 J36:J38">
    <cfRule type="notContainsBlanks" dxfId="18" priority="1">
      <formula>LEN(TRIM(I13))&gt;0</formula>
    </cfRule>
  </conditionalFormatting>
  <pageMargins left="0.7" right="0.5" top="0.5" bottom="0.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J52"/>
  <sheetViews>
    <sheetView workbookViewId="0">
      <selection activeCell="I2" sqref="I2"/>
    </sheetView>
  </sheetViews>
  <sheetFormatPr baseColWidth="10" defaultColWidth="9.1640625" defaultRowHeight="15" x14ac:dyDescent="0.2"/>
  <cols>
    <col min="1" max="1" width="14" style="2" customWidth="1"/>
    <col min="2" max="2" width="25.1640625" style="2" bestFit="1" customWidth="1"/>
    <col min="3" max="3" width="9.1640625" style="2" customWidth="1"/>
    <col min="4" max="4" width="12.33203125" style="2" bestFit="1" customWidth="1"/>
    <col min="5" max="7" width="9.6640625" style="2" customWidth="1"/>
    <col min="8" max="8" width="20.33203125" style="2" customWidth="1"/>
    <col min="9" max="9" width="20.6640625" style="2" customWidth="1"/>
    <col min="10" max="10" width="14.5" style="2" customWidth="1"/>
    <col min="11" max="16384" width="9.1640625" style="2"/>
  </cols>
  <sheetData>
    <row r="1" spans="1:9" ht="19" x14ac:dyDescent="0.25">
      <c r="A1" s="63" t="s">
        <v>60</v>
      </c>
      <c r="B1" s="63"/>
      <c r="C1" s="63"/>
      <c r="D1" s="63"/>
      <c r="E1" s="63"/>
      <c r="F1" s="63"/>
      <c r="I1" s="16" t="s">
        <v>59</v>
      </c>
    </row>
    <row r="2" spans="1:9" ht="16" x14ac:dyDescent="0.2">
      <c r="H2" s="16" t="s">
        <v>58</v>
      </c>
      <c r="I2" s="28">
        <v>42705.000011574099</v>
      </c>
    </row>
    <row r="3" spans="1:9" ht="16" x14ac:dyDescent="0.2">
      <c r="A3" s="2" t="s">
        <v>57</v>
      </c>
      <c r="C3" s="18" t="str">
        <f>IF(MONTH($I$2)=1,"January",IF(MONTH($I$2)=2,"February",IF(MONTH($I$2)=3,"March",IF(MONTH($I$2)=4,"April",IF(MONTH($I$2)=5,"May",IF(MONTH($I$2)=6,"June",IF(MONTH($I$2)=7,"July",IF(MONTH($I$2)=8,"Auguest",IF(MONTH($I$2)=9,"September",IF(MONTH($I$2)=10,"October",IF(MONTH($I$2)=11,"November",IF(MONTH($I$2)=12,"December",A3))))))))))))</f>
        <v>December</v>
      </c>
      <c r="E3" s="2" t="s">
        <v>56</v>
      </c>
      <c r="F3" s="17">
        <f>YEAR($I$2)</f>
        <v>2016</v>
      </c>
      <c r="H3" s="16" t="s">
        <v>55</v>
      </c>
      <c r="I3" s="28">
        <v>42735.999988425901</v>
      </c>
    </row>
    <row r="4" spans="1:9" x14ac:dyDescent="0.2">
      <c r="A4" s="2" t="s">
        <v>54</v>
      </c>
    </row>
    <row r="6" spans="1:9" x14ac:dyDescent="0.2">
      <c r="A6" s="2" t="s">
        <v>53</v>
      </c>
    </row>
    <row r="7" spans="1:9" x14ac:dyDescent="0.2">
      <c r="A7" s="66"/>
      <c r="B7" s="66" t="s">
        <v>14</v>
      </c>
      <c r="C7" s="66"/>
      <c r="D7" s="66" t="s">
        <v>16</v>
      </c>
      <c r="E7" s="66"/>
      <c r="F7" s="57" t="s">
        <v>33</v>
      </c>
    </row>
    <row r="8" spans="1:9" x14ac:dyDescent="0.2">
      <c r="A8" s="66"/>
      <c r="B8" s="27" t="s">
        <v>52</v>
      </c>
      <c r="C8" s="27" t="s">
        <v>61</v>
      </c>
      <c r="D8" s="27" t="s">
        <v>52</v>
      </c>
      <c r="E8" s="27" t="s">
        <v>61</v>
      </c>
      <c r="F8" s="57"/>
    </row>
    <row r="9" spans="1:9" x14ac:dyDescent="0.2">
      <c r="A9" s="12"/>
      <c r="B9" s="11">
        <f>COUNTIFS(GeneDate,"&gt;="&amp;$I$2,GeneDate,"&lt;="&amp;$I$3,GeneAge,"&lt;15",GeneSex,"Male",GeneMTB,"*tive")</f>
        <v>0</v>
      </c>
      <c r="C9" s="11">
        <f>COUNTIFS(GeneDate,"&gt;="&amp;$I$2,GeneDate,"&lt;="&amp;$I$3,GeneAge,"&gt;=15",GeneSex,"M*",GeneMTB,"*tive")</f>
        <v>0</v>
      </c>
      <c r="D9" s="11">
        <f>COUNTIFS(GeneDate,"&gt;="&amp;$I$2,GeneDate,"&lt;="&amp;$I$3,GeneAge,"&lt;15",GeneSex,"F*",GeneMTB,"*tive")</f>
        <v>0</v>
      </c>
      <c r="E9" s="8">
        <f>COUNTIFS(GeneDate,"&gt;="&amp;$I$2,GeneDate,"&lt;="&amp;$I$3,GeneAge,"&gt;=15",GeneSex,"F*",GeneMTB,"*tive")</f>
        <v>0</v>
      </c>
      <c r="F9" s="8">
        <f>COUNTIFS(GeneDate,"&gt;="&amp;$I$2,GeneDate,"&lt;="&amp;$I$3,GeneMTB,"*tive")</f>
        <v>0</v>
      </c>
      <c r="G9" s="7" t="str">
        <f>IF(SUM(B9:E9)=F9,"","Check Total Vaue &amp; Category")</f>
        <v/>
      </c>
      <c r="H9" s="26"/>
    </row>
    <row r="10" spans="1:9" ht="12" customHeight="1" x14ac:dyDescent="0.2">
      <c r="B10" s="19"/>
      <c r="E10" s="7"/>
      <c r="F10" s="7"/>
      <c r="G10" s="7"/>
    </row>
    <row r="11" spans="1:9" x14ac:dyDescent="0.2">
      <c r="A11" s="2" t="s">
        <v>51</v>
      </c>
      <c r="E11" s="7"/>
      <c r="F11" s="7"/>
      <c r="G11" s="7"/>
    </row>
    <row r="12" spans="1:9" x14ac:dyDescent="0.2">
      <c r="A12" s="12"/>
      <c r="B12" s="12"/>
      <c r="C12" s="27" t="s">
        <v>50</v>
      </c>
      <c r="D12" s="27" t="s">
        <v>49</v>
      </c>
      <c r="E12" s="13" t="s">
        <v>15</v>
      </c>
      <c r="F12" s="13" t="s">
        <v>33</v>
      </c>
      <c r="G12" s="7"/>
    </row>
    <row r="13" spans="1:9" ht="15" customHeight="1" x14ac:dyDescent="0.2">
      <c r="A13" s="58" t="s">
        <v>44</v>
      </c>
      <c r="B13" s="12" t="s">
        <v>43</v>
      </c>
      <c r="C13" s="11">
        <f>COUNTIFS(GeneDate,"&gt;="&amp;$I$2,GeneDate,"&lt;="&amp;$I$3,GeneMicroscope,"Pos*",GenePreviousHistory,"N*",GeneMTB,"*tive")</f>
        <v>0</v>
      </c>
      <c r="D13" s="11">
        <f>COUNTIFS(GeneDate,"&gt;="&amp;$I$2,GeneDate,"&lt;="&amp;$I$3,GeneMicroscope,"Pos*",GenePreviousHistory,"Y*",GeneMTB,"*tive")</f>
        <v>0</v>
      </c>
      <c r="E13" s="8">
        <f>COUNTIFS(GeneDate,"&gt;="&amp;$I$2,GeneDate,"&lt;="&amp;$I$3,GeneMicroscope,"Pos*",GenePreviousHistory,"Un*",GeneMTB,"*tive")</f>
        <v>0</v>
      </c>
      <c r="F13" s="8">
        <f>COUNTIFS(GeneDate,"&gt;="&amp;$I$2,GeneDate,"&lt;="&amp;$I$3,GeneMicroscope,"Pos*",GeneMTB,"*tive")</f>
        <v>0</v>
      </c>
      <c r="G13" s="48" t="str">
        <f>IF($F$9=SUM(F13:F15),"","Error! Possibly there were be Error or Missing information at Microscopy Result")</f>
        <v/>
      </c>
      <c r="H13" s="49"/>
      <c r="I13" s="10" t="str">
        <f t="shared" ref="I13:I19" si="0">IF(SUM(C13:E13)=F13,"","Check Total Vaue &amp; Category")</f>
        <v/>
      </c>
    </row>
    <row r="14" spans="1:9" x14ac:dyDescent="0.2">
      <c r="A14" s="59"/>
      <c r="B14" s="12" t="s">
        <v>42</v>
      </c>
      <c r="C14" s="11">
        <f>COUNTIFS(GeneDate,"&gt;="&amp;$I$2,GeneDate,"&lt;="&amp;$I$3,GeneMicroscope,"Neg*",GenePreviousHistory,"N*",GeneMTB,"*tive")</f>
        <v>0</v>
      </c>
      <c r="D14" s="11">
        <f>COUNTIFS(GeneDate,"&gt;="&amp;$I$2,GeneDate,"&lt;="&amp;$I$3,GeneMicroscope,"Neg*",GenePreviousHistory,"Y*",GeneMTB,"*tive")</f>
        <v>0</v>
      </c>
      <c r="E14" s="8">
        <f>COUNTIFS(GeneDate,"&gt;="&amp;$I$2,GeneDate,"&lt;="&amp;$I$3,GeneMicroscope,"Neg*",GenePreviousHistory,"Un*",GeneMTB,"*tive")</f>
        <v>0</v>
      </c>
      <c r="F14" s="8">
        <f>COUNTIFS(GeneDate,"&gt;="&amp;$I$2,GeneDate,"&lt;="&amp;$I$3,GeneMicroscope,"Neg*",GeneMTB,"*tive")</f>
        <v>0</v>
      </c>
      <c r="G14" s="48"/>
      <c r="H14" s="49"/>
      <c r="I14" s="10" t="str">
        <f t="shared" si="0"/>
        <v/>
      </c>
    </row>
    <row r="15" spans="1:9" x14ac:dyDescent="0.2">
      <c r="A15" s="60"/>
      <c r="B15" s="12" t="s">
        <v>41</v>
      </c>
      <c r="C15" s="11">
        <f>COUNTIFS(GeneDate,"&gt;="&amp;$I$2,GeneDate,"&lt;="&amp;$I$3,GeneMicroscope,"Not*",GenePreviousHistory,"N*",GeneMTB,"*tive")</f>
        <v>0</v>
      </c>
      <c r="D15" s="11">
        <f>COUNTIFS(GeneDate,"&gt;="&amp;$I$2,GeneDate,"&lt;="&amp;$I$3,GeneMicroscope,"Not*",GenePreviousHistory,"Y*",GeneMTB,"*tive")</f>
        <v>0</v>
      </c>
      <c r="E15" s="8">
        <f>COUNTIFS(GeneDate,"&gt;="&amp;$I$2,GeneDate,"&lt;="&amp;$I$3,GeneMicroscope,"Not*",GenePreviousHistory,"Un*",GeneMTB,"*tive")</f>
        <v>0</v>
      </c>
      <c r="F15" s="8">
        <f>COUNTIFS(GeneDate,"&gt;="&amp;$I$2,GeneDate,"&lt;="&amp;$I$3,GeneMicroscope,"Not*",GeneMTB,"*tive")</f>
        <v>0</v>
      </c>
      <c r="G15" s="48"/>
      <c r="H15" s="49"/>
      <c r="I15" s="10" t="str">
        <f t="shared" si="0"/>
        <v/>
      </c>
    </row>
    <row r="16" spans="1:9" x14ac:dyDescent="0.2">
      <c r="A16" s="57" t="s">
        <v>40</v>
      </c>
      <c r="B16" s="12" t="s">
        <v>13</v>
      </c>
      <c r="C16" s="11">
        <f>COUNTIFS(GeneDate,"&gt;="&amp;$I$2,GeneDate,"&lt;="&amp;$I$3,GenePreviousHistory,"N*",GeneMTB,"Neg*")</f>
        <v>0</v>
      </c>
      <c r="D16" s="11">
        <f>COUNTIFS(GeneDate,"&gt;="&amp;$I$2,GeneDate,"&lt;="&amp;$I$3,GenePreviousHistory,"Y*",GeneMTB,"Neg*")</f>
        <v>0</v>
      </c>
      <c r="E16" s="8">
        <f>F16-(C16+D16)</f>
        <v>0</v>
      </c>
      <c r="F16" s="8">
        <f>COUNTIFS(GeneDate,"&gt;="&amp;$I$2,GeneDate,"&lt;="&amp;$I$3,GeneMTB,"Neg*")</f>
        <v>0</v>
      </c>
      <c r="G16" s="48" t="str">
        <f>IF($F$9=SUM(F16:F19),"","Error! Cross information between Xpert result and treatment category are not match; possibly there will be Erorr or missing information on MTB result OR RIF result")</f>
        <v/>
      </c>
      <c r="H16" s="49"/>
      <c r="I16" s="10" t="str">
        <f t="shared" si="0"/>
        <v/>
      </c>
    </row>
    <row r="17" spans="1:9" x14ac:dyDescent="0.2">
      <c r="A17" s="57"/>
      <c r="B17" s="12" t="s">
        <v>39</v>
      </c>
      <c r="C17" s="11">
        <f>COUNTIFS(GeneDate,"&gt;="&amp;$I$2,GeneDate,"&lt;="&amp;$I$3,GenePreviousHistory,"N*",GeneMTB,"Pos*",GeneRif,"Neg*")</f>
        <v>0</v>
      </c>
      <c r="D17" s="11">
        <f>COUNTIFS(GeneDate,"&gt;="&amp;$I$2,GeneDate,"&lt;="&amp;$I$3,GenePreviousHistory,"Y*",GeneMTB,"Pos*",GeneRif,"Neg*")</f>
        <v>0</v>
      </c>
      <c r="E17" s="8">
        <f>F17-(C17+D17)</f>
        <v>0</v>
      </c>
      <c r="F17" s="8">
        <f>COUNTIFS(GeneDate,"&gt;="&amp;$I$2,GeneDate,"&lt;="&amp;$I$3,GeneMTB,"Pos*",GeneRif,"Neg*")</f>
        <v>0</v>
      </c>
      <c r="G17" s="48"/>
      <c r="H17" s="49"/>
      <c r="I17" s="10" t="str">
        <f t="shared" si="0"/>
        <v/>
      </c>
    </row>
    <row r="18" spans="1:9" x14ac:dyDescent="0.2">
      <c r="A18" s="57"/>
      <c r="B18" s="12" t="s">
        <v>38</v>
      </c>
      <c r="C18" s="11">
        <f>COUNTIFS(GeneDate,"&gt;="&amp;$I$2,GeneDate,"&lt;="&amp;$I$3,GenePreviousHistory,"N*",GeneMTB,"Pos*",GeneRif,"Pos*")</f>
        <v>0</v>
      </c>
      <c r="D18" s="11">
        <f>COUNTIFS(GeneDate,"&gt;="&amp;$I$2,GeneDate,"&lt;="&amp;$I$3,GenePreviousHistory,"Y*",GeneMTB,"Pos*",GeneRif,"Pos*")</f>
        <v>0</v>
      </c>
      <c r="E18" s="8">
        <f>F18-(C18+D18)</f>
        <v>0</v>
      </c>
      <c r="F18" s="8">
        <f>COUNTIFS(GeneDate,"&gt;="&amp;$I$2,GeneDate,"&lt;="&amp;$I$3,GeneMTB,"Pos*",GeneRif,"Pos*")</f>
        <v>0</v>
      </c>
      <c r="G18" s="48"/>
      <c r="H18" s="49"/>
      <c r="I18" s="10" t="str">
        <f t="shared" si="0"/>
        <v/>
      </c>
    </row>
    <row r="19" spans="1:9" x14ac:dyDescent="0.2">
      <c r="A19" s="57"/>
      <c r="B19" s="12" t="s">
        <v>48</v>
      </c>
      <c r="C19" s="11">
        <f>COUNTIFS(GeneDate,"&gt;="&amp;$I$2,GeneDate,"&lt;="&amp;$I$3,GenePreviousHistory,"N*",GeneMTB,"Pos*",GeneRif,"IND*")</f>
        <v>0</v>
      </c>
      <c r="D19" s="11">
        <f>COUNTIFS(GeneDate,"&gt;="&amp;$I$2,GeneDate,"&lt;="&amp;$I$3,GenePreviousHistory,"Y*",GeneMTB,"Pos*",GeneRif,"IND*")</f>
        <v>0</v>
      </c>
      <c r="E19" s="8">
        <f>F19-(C19+D19)</f>
        <v>0</v>
      </c>
      <c r="F19" s="8">
        <f>COUNTIFS(GeneDate,"&gt;="&amp;$I$2,GeneDate,"&lt;="&amp;$I$3,GeneMTB,"Pos*",GeneRif,"IND*")</f>
        <v>0</v>
      </c>
      <c r="G19" s="48"/>
      <c r="H19" s="49"/>
      <c r="I19" s="10" t="str">
        <f t="shared" si="0"/>
        <v/>
      </c>
    </row>
    <row r="20" spans="1:9" ht="12" customHeight="1" x14ac:dyDescent="0.2">
      <c r="E20" s="7"/>
      <c r="F20" s="7"/>
      <c r="G20" s="7"/>
    </row>
    <row r="21" spans="1:9" x14ac:dyDescent="0.2">
      <c r="A21" s="2" t="s">
        <v>47</v>
      </c>
      <c r="E21" s="7"/>
      <c r="F21" s="7"/>
      <c r="G21" s="7"/>
    </row>
    <row r="22" spans="1:9" ht="30" x14ac:dyDescent="0.2">
      <c r="A22" s="12"/>
      <c r="B22" s="12"/>
      <c r="C22" s="14" t="s">
        <v>46</v>
      </c>
      <c r="D22" s="14" t="s">
        <v>45</v>
      </c>
      <c r="E22" s="13" t="s">
        <v>15</v>
      </c>
      <c r="F22" s="13" t="s">
        <v>33</v>
      </c>
      <c r="G22" s="7"/>
    </row>
    <row r="23" spans="1:9" ht="15" customHeight="1" x14ac:dyDescent="0.2">
      <c r="A23" s="58" t="s">
        <v>44</v>
      </c>
      <c r="B23" s="12" t="s">
        <v>43</v>
      </c>
      <c r="C23" s="11">
        <f>COUNTIFS(GeneDate,"&gt;="&amp;$I$2,GeneDate,"&lt;="&amp;$I$3,GeneMicroscope,"Pos*",GeneHIV,"Pos*",GeneMTB,"*tive")</f>
        <v>0</v>
      </c>
      <c r="D23" s="11">
        <f>COUNTIFS(GeneDate,"&gt;="&amp;$I$2,GeneDate,"&lt;="&amp;$I$3,GeneMicroscope,"Pos*",GeneHIV,"Neg*",GeneMTB,"*tive")</f>
        <v>0</v>
      </c>
      <c r="E23" s="8">
        <f>COUNTIFS(GeneDate,"&gt;="&amp;$I$2,GeneDate,"&lt;="&amp;$I$3,GeneMicroscope,"Pos*",GeneHIV,"Un*",GeneMTB,"*tive")</f>
        <v>0</v>
      </c>
      <c r="F23" s="8">
        <f>COUNTIFS(GeneDate,"&gt;="&amp;$I$2,GeneDate,"&lt;="&amp;$I$3,GeneMicroscope,"Pos*",GeneMTB,"*tive")</f>
        <v>0</v>
      </c>
      <c r="G23" s="48" t="str">
        <f>IF($F$9=SUM(F23:F25),"","Error! Cross information between Microscope Result and HIV Status are not match; possibly there will be Erorr or missing information on Microscope Result OR HIV Status")</f>
        <v/>
      </c>
      <c r="H23" s="49"/>
      <c r="I23" s="10" t="str">
        <f t="shared" ref="I23:I29" si="1">IF(SUM(C23:E23)=F23,"","Check Total Vaue &amp; Category")</f>
        <v/>
      </c>
    </row>
    <row r="24" spans="1:9" x14ac:dyDescent="0.2">
      <c r="A24" s="59"/>
      <c r="B24" s="12" t="s">
        <v>42</v>
      </c>
      <c r="C24" s="11">
        <f>COUNTIFS(GeneDate,"&gt;="&amp;$I$2,GeneDate,"&lt;="&amp;$I$3,GeneMicroscope,"Neg*",GeneHIV,"Pos*",GeneMTB,"*tive")</f>
        <v>0</v>
      </c>
      <c r="D24" s="11">
        <f>COUNTIFS(GeneDate,"&gt;="&amp;$I$2,GeneDate,"&lt;="&amp;$I$3,GeneMicroscope,"Neg*",GeneHIV,"Neg*",GeneMTB,"*tive")</f>
        <v>0</v>
      </c>
      <c r="E24" s="8">
        <f>COUNTIFS(GeneDate,"&gt;="&amp;$I$2,GeneDate,"&lt;="&amp;$I$3,GeneMicroscope,"Neg*",GeneHIV,"Un*",GeneMTB,"*tive")</f>
        <v>0</v>
      </c>
      <c r="F24" s="8">
        <f>COUNTIFS(GeneDate,"&gt;="&amp;$I$2,GeneDate,"&lt;="&amp;$I$3,GeneMicroscope,"Neg*",GeneMTB,"*tive")</f>
        <v>0</v>
      </c>
      <c r="G24" s="48"/>
      <c r="H24" s="49"/>
      <c r="I24" s="10" t="str">
        <f t="shared" si="1"/>
        <v/>
      </c>
    </row>
    <row r="25" spans="1:9" x14ac:dyDescent="0.2">
      <c r="A25" s="60"/>
      <c r="B25" s="12" t="s">
        <v>41</v>
      </c>
      <c r="C25" s="11">
        <f>COUNTIFS(GeneDate,"&gt;="&amp;$I$2,GeneDate,"&lt;="&amp;$I$3,GeneMicroscope,"Not*",GeneHIV,"Pos*",GeneMTB,"*tive")</f>
        <v>0</v>
      </c>
      <c r="D25" s="11">
        <f>COUNTIFS(GeneDate,"&gt;="&amp;$I$2,GeneDate,"&lt;="&amp;$I$3,GeneMicroscope,"Not*",GeneHIV,"Neg*",GeneMTB,"*tive")</f>
        <v>0</v>
      </c>
      <c r="E25" s="8">
        <f>COUNTIFS(GeneDate,"&gt;="&amp;$I$2,GeneDate,"&lt;="&amp;$I$3,GeneMicroscope,"Not*",GeneHIV,"Un*",GeneMTB,"*tive")</f>
        <v>0</v>
      </c>
      <c r="F25" s="8">
        <f>COUNTIFS(GeneDate,"&gt;="&amp;$I$2,GeneDate,"&lt;="&amp;$I$3,GeneMicroscope,"Not*",GeneMTB,"*tive")</f>
        <v>0</v>
      </c>
      <c r="G25" s="48"/>
      <c r="H25" s="49"/>
      <c r="I25" s="10" t="str">
        <f t="shared" si="1"/>
        <v/>
      </c>
    </row>
    <row r="26" spans="1:9" x14ac:dyDescent="0.2">
      <c r="A26" s="57" t="s">
        <v>40</v>
      </c>
      <c r="B26" s="12" t="s">
        <v>13</v>
      </c>
      <c r="C26" s="11">
        <f>COUNTIFS(GeneDate,"&gt;="&amp;$I$2,GeneDate,"&lt;="&amp;$I$3,GeneHIV,"Pos*",GeneMTB,"Neg*")</f>
        <v>0</v>
      </c>
      <c r="D26" s="11">
        <f>COUNTIFS(GeneDate,"&gt;="&amp;$I$2,GeneDate,"&lt;="&amp;$I$3,GeneHIV,"Neg*",GeneMTB,"Neg*")</f>
        <v>0</v>
      </c>
      <c r="E26" s="8">
        <f>COUNTIFS(GeneDate,"&gt;="&amp;$I$2,GeneDate,"&lt;="&amp;$I$3,GeneHIV,"Un*",GeneMTB,"Neg*")</f>
        <v>0</v>
      </c>
      <c r="F26" s="8">
        <f>COUNTIFS(GeneDate,"&gt;="&amp;$I$2,GeneDate,"&lt;="&amp;$I$3,GeneMTB,"*tive",GeneMTB,"Neg*")</f>
        <v>0</v>
      </c>
      <c r="G26" s="48" t="str">
        <f>IF($F$9=SUM(F26:F29),"","Error! Cross information between Xpert result and HIV Status are not match; possibly there will be Erorr or missing information on MTB result OR HIV Status")</f>
        <v/>
      </c>
      <c r="H26" s="49"/>
      <c r="I26" s="10" t="str">
        <f t="shared" si="1"/>
        <v/>
      </c>
    </row>
    <row r="27" spans="1:9" x14ac:dyDescent="0.2">
      <c r="A27" s="57"/>
      <c r="B27" s="12" t="s">
        <v>39</v>
      </c>
      <c r="C27" s="11">
        <f>COUNTIFS(GeneDate,"&gt;="&amp;$I$2,GeneDate,"&lt;="&amp;$I$3,GeneHIV,"Pos*",GeneMTB,"Pos*",GeneRif,"Neg*")</f>
        <v>0</v>
      </c>
      <c r="D27" s="11">
        <f>COUNTIFS(GeneDate,"&gt;="&amp;$I$2,GeneDate,"&lt;="&amp;$I$3,GeneHIV,"Neg*",GeneMTB,"Pos*",GeneRif,"Neg*")</f>
        <v>0</v>
      </c>
      <c r="E27" s="8">
        <f>COUNTIFS(GeneDate,"&gt;="&amp;$I$2,GeneDate,"&lt;="&amp;$I$3,GeneHIV,"Un*",GeneMTB,"Pos*",GeneRif,"Neg*")</f>
        <v>0</v>
      </c>
      <c r="F27" s="8">
        <f>COUNTIFS(GeneDate,"&gt;="&amp;$I$2,GeneDate,"&lt;="&amp;$I$3,GeneMTB,"Pos*",GeneRif,"Neg*")</f>
        <v>0</v>
      </c>
      <c r="G27" s="48"/>
      <c r="H27" s="49"/>
      <c r="I27" s="10" t="str">
        <f t="shared" si="1"/>
        <v/>
      </c>
    </row>
    <row r="28" spans="1:9" x14ac:dyDescent="0.2">
      <c r="A28" s="57"/>
      <c r="B28" s="12" t="s">
        <v>38</v>
      </c>
      <c r="C28" s="11">
        <f>COUNTIFS(GeneDate,"&gt;="&amp;$I$2,GeneDate,"&lt;="&amp;$I$3,GeneHIV,"Pos*",GeneMTB,"Pos*",GeneRif,"Pos*")</f>
        <v>0</v>
      </c>
      <c r="D28" s="11">
        <f>COUNTIFS(GeneDate,"&gt;="&amp;$I$2,GeneDate,"&lt;="&amp;$I$3,GeneHIV,"Neg*",GeneMTB,"Pos*",GeneRif,"Pos*")</f>
        <v>0</v>
      </c>
      <c r="E28" s="8">
        <f>COUNTIFS(GeneDate,"&gt;="&amp;$I$2,GeneDate,"&lt;="&amp;$I$3,GeneHIV,"Un*",GeneMTB,"Pos*",GeneRif,"Pos*")</f>
        <v>0</v>
      </c>
      <c r="F28" s="8">
        <f>COUNTIFS(GeneDate,"&gt;="&amp;$I$2,GeneDate,"&lt;="&amp;$I$3,GeneMTB,"Pos*",GeneRif,"Pos*")</f>
        <v>0</v>
      </c>
      <c r="G28" s="48"/>
      <c r="H28" s="49"/>
      <c r="I28" s="10" t="str">
        <f t="shared" si="1"/>
        <v/>
      </c>
    </row>
    <row r="29" spans="1:9" x14ac:dyDescent="0.2">
      <c r="A29" s="57"/>
      <c r="B29" s="12" t="s">
        <v>37</v>
      </c>
      <c r="C29" s="11">
        <f>COUNTIFS(GeneDate,"&gt;="&amp;$I$2,GeneDate,"&lt;="&amp;$I$3,GeneHIV,"Pos*",GeneMTB,"Pos*",GeneRif,"IND*")</f>
        <v>0</v>
      </c>
      <c r="D29" s="11">
        <f>COUNTIFS(GeneDate,"&gt;="&amp;$I$2,GeneDate,"&lt;="&amp;$I$3,GeneHIV,"Neg*",GeneMTB,"Pos*",GeneRif,"IND*")</f>
        <v>0</v>
      </c>
      <c r="E29" s="8">
        <f>COUNTIFS(GeneDate,"&gt;="&amp;$I$2,GeneDate,"&lt;="&amp;$I$3,GeneHIV,"Un*",GeneMTB,"Pos*",GeneRif,"IND*")</f>
        <v>0</v>
      </c>
      <c r="F29" s="8">
        <f>COUNTIFS(GeneDate,"&gt;="&amp;$I$2,GeneDate,"&lt;="&amp;$I$3,GeneMTB,"Pos*",GeneRif,"IND*")</f>
        <v>0</v>
      </c>
      <c r="G29" s="48"/>
      <c r="H29" s="49"/>
      <c r="I29" s="10" t="str">
        <f t="shared" si="1"/>
        <v/>
      </c>
    </row>
    <row r="30" spans="1:9" ht="12" customHeight="1" x14ac:dyDescent="0.2">
      <c r="E30" s="7"/>
      <c r="F30" s="7"/>
      <c r="G30" s="7"/>
    </row>
    <row r="31" spans="1:9" x14ac:dyDescent="0.2">
      <c r="A31" s="4"/>
      <c r="B31" s="25"/>
      <c r="C31" s="61" t="s">
        <v>14</v>
      </c>
      <c r="D31" s="62"/>
      <c r="E31" s="61" t="s">
        <v>16</v>
      </c>
      <c r="F31" s="62"/>
      <c r="G31" s="9" t="s">
        <v>33</v>
      </c>
    </row>
    <row r="32" spans="1:9" x14ac:dyDescent="0.2">
      <c r="A32" s="24" t="s">
        <v>62</v>
      </c>
      <c r="B32" s="24"/>
      <c r="C32" s="61">
        <f>COUNTIFS(GeneDate,"&gt;="&amp;$I$2,GeneDate,"&lt;="&amp;$I$3,GeneMTB,"Pos*",GeneRif,"Pos*",GeneSex,"Male")</f>
        <v>0</v>
      </c>
      <c r="D32" s="62"/>
      <c r="E32" s="64">
        <f>COUNTIFS(GeneDate,"&gt;="&amp;$I$2,GeneDate,"&lt;="&amp;$I$3,GeneMTB,"Pos*",GeneRif,"Pos*",GeneSex,"Female")</f>
        <v>0</v>
      </c>
      <c r="F32" s="65"/>
      <c r="G32" s="8">
        <f>COUNTIFS(GeneDate,"&gt;="&amp;$I$2,GeneDate,"&lt;="&amp;$I$3,GeneMTB,"Pos*",GeneRif,"Pos*")</f>
        <v>0</v>
      </c>
    </row>
    <row r="33" spans="1:10" ht="12" customHeight="1" x14ac:dyDescent="0.2">
      <c r="E33" s="7"/>
      <c r="F33" s="7"/>
      <c r="G33" s="7"/>
    </row>
    <row r="34" spans="1:10" x14ac:dyDescent="0.2">
      <c r="A34" s="2" t="s">
        <v>36</v>
      </c>
      <c r="E34" s="7"/>
      <c r="F34" s="7"/>
      <c r="G34" s="7"/>
    </row>
    <row r="35" spans="1:10" x14ac:dyDescent="0.2">
      <c r="A35" s="61"/>
      <c r="B35" s="62"/>
      <c r="C35" s="61" t="s">
        <v>35</v>
      </c>
      <c r="D35" s="62"/>
      <c r="E35" s="64" t="s">
        <v>34</v>
      </c>
      <c r="F35" s="65"/>
      <c r="G35" s="9" t="s">
        <v>33</v>
      </c>
    </row>
    <row r="36" spans="1:10" x14ac:dyDescent="0.2">
      <c r="A36" s="50" t="s">
        <v>32</v>
      </c>
      <c r="B36" s="50"/>
      <c r="C36" s="51">
        <f>COUNTIFS(GeneDate,"&gt;="&amp;$I$2,GeneDate,"&lt;="&amp;$I$3,GeneMTB,"Pos*",GeneMicroscope,"Pos*")</f>
        <v>0</v>
      </c>
      <c r="D36" s="52"/>
      <c r="E36" s="53">
        <f>COUNTIFS(GeneDate,"&gt;="&amp;$I$2,GeneDate,"&lt;="&amp;$I$3,GeneMTB,"Neg*",GeneMicroscope,"Pos*")</f>
        <v>0</v>
      </c>
      <c r="F36" s="54"/>
      <c r="G36" s="8">
        <f>COUNTIFS(GeneDate,"&gt;="&amp;$I$2,GeneDate,"&lt;="&amp;$I$3,GeneMicroscope,"Pos*",GeneMTB,"*tive")</f>
        <v>0</v>
      </c>
      <c r="H36" s="55" t="str">
        <f>IF($F$9=SUM(G36:G38),"","Error! Cross information between Xpert result and Microscope result are not match; possibly there will be Erorr or missing information on MTB result OR Microscope result")</f>
        <v/>
      </c>
      <c r="I36" s="56"/>
      <c r="J36" s="2" t="str">
        <f>IF(SUM(C36:F36)=G36,"","Check Total Vaue &amp; Category")</f>
        <v/>
      </c>
    </row>
    <row r="37" spans="1:10" x14ac:dyDescent="0.2">
      <c r="A37" s="50" t="s">
        <v>31</v>
      </c>
      <c r="B37" s="50"/>
      <c r="C37" s="51">
        <f>COUNTIFS(GeneDate,"&gt;="&amp;$I$2,GeneDate,"&lt;="&amp;$I$3,GeneMTB,"Pos*",GeneMicroscope,"Neg*")</f>
        <v>0</v>
      </c>
      <c r="D37" s="52"/>
      <c r="E37" s="53">
        <f>COUNTIFS(GeneDate,"&gt;="&amp;$I$2,GeneDate,"&lt;="&amp;$I$3,GeneMTB,"Neg*",GeneMicroscope,"Neg*")</f>
        <v>0</v>
      </c>
      <c r="F37" s="54"/>
      <c r="G37" s="8">
        <f>COUNTIFS(GeneDate,"&gt;="&amp;$I$2,GeneDate,"&lt;="&amp;$I$3,GeneMicroscope,"Neg*",GeneMTB,"*tive")</f>
        <v>0</v>
      </c>
      <c r="H37" s="55"/>
      <c r="I37" s="56"/>
      <c r="J37" s="2" t="str">
        <f>IF(SUM(C37:F37)=G37,"","Check Total Vaue &amp; Category")</f>
        <v/>
      </c>
    </row>
    <row r="38" spans="1:10" x14ac:dyDescent="0.2">
      <c r="A38" s="50" t="s">
        <v>30</v>
      </c>
      <c r="B38" s="50"/>
      <c r="C38" s="51">
        <f>COUNTIFS(GeneDate,"&gt;="&amp;$I$2,GeneDate,"&lt;="&amp;$I$3,GeneMTB,"Pos*",GeneMicroscope,"Not*")</f>
        <v>0</v>
      </c>
      <c r="D38" s="52"/>
      <c r="E38" s="53">
        <f>COUNTIFS(GeneDate,"&gt;="&amp;$I$2,GeneDate,"&lt;="&amp;$I$3,GeneMTB,"Neg*",GeneMicroscope,"Not*")</f>
        <v>0</v>
      </c>
      <c r="F38" s="54"/>
      <c r="G38" s="8">
        <f>COUNTIFS(GeneDate,"&gt;="&amp;$I$2,GeneDate,"&lt;="&amp;$I$3,GeneMTB,"*tive",GeneMicroscope,"Not*")</f>
        <v>0</v>
      </c>
      <c r="H38" s="55"/>
      <c r="I38" s="56"/>
      <c r="J38" s="2" t="str">
        <f>IF(SUM(C38:F38)=G38,"","Check Total Vaue &amp; Category")</f>
        <v/>
      </c>
    </row>
    <row r="39" spans="1:10" ht="12" customHeight="1" x14ac:dyDescent="0.2">
      <c r="D39" s="2" t="str">
        <f>IF(SUM(C36:D38)=SUM(F27:F29),"","Error")</f>
        <v/>
      </c>
      <c r="E39" s="7"/>
      <c r="F39" s="7"/>
      <c r="G39" s="7"/>
    </row>
    <row r="40" spans="1:10" x14ac:dyDescent="0.2">
      <c r="A40" s="2" t="s">
        <v>29</v>
      </c>
    </row>
    <row r="41" spans="1:10" x14ac:dyDescent="0.2">
      <c r="A41" s="66"/>
      <c r="B41" s="66"/>
      <c r="C41" s="61" t="s">
        <v>28</v>
      </c>
      <c r="D41" s="62"/>
      <c r="E41" s="66" t="s">
        <v>27</v>
      </c>
      <c r="F41" s="66"/>
    </row>
    <row r="42" spans="1:10" x14ac:dyDescent="0.2">
      <c r="A42" s="50" t="s">
        <v>26</v>
      </c>
      <c r="B42" s="50"/>
      <c r="C42" s="51"/>
      <c r="D42" s="52"/>
      <c r="E42" s="67"/>
      <c r="F42" s="67"/>
    </row>
    <row r="43" spans="1:10" x14ac:dyDescent="0.2">
      <c r="A43" s="50" t="s">
        <v>25</v>
      </c>
      <c r="B43" s="50"/>
      <c r="C43" s="51"/>
      <c r="D43" s="52"/>
      <c r="E43" s="67" t="s">
        <v>24</v>
      </c>
      <c r="F43" s="67"/>
    </row>
    <row r="44" spans="1:10" x14ac:dyDescent="0.2">
      <c r="A44" s="50" t="s">
        <v>23</v>
      </c>
      <c r="B44" s="50"/>
      <c r="C44" s="68">
        <f>C46+F9+C47</f>
        <v>0</v>
      </c>
      <c r="D44" s="69"/>
      <c r="E44" s="67"/>
      <c r="F44" s="67"/>
      <c r="G44" s="6"/>
    </row>
    <row r="45" spans="1:10" x14ac:dyDescent="0.2">
      <c r="A45" s="50" t="s">
        <v>22</v>
      </c>
      <c r="B45" s="50"/>
      <c r="C45" s="68">
        <f>SUM(C42+C43)-C44</f>
        <v>0</v>
      </c>
      <c r="D45" s="69"/>
      <c r="E45" s="67"/>
      <c r="F45" s="67"/>
    </row>
    <row r="46" spans="1:10" x14ac:dyDescent="0.2">
      <c r="A46" s="5" t="s">
        <v>21</v>
      </c>
      <c r="B46" s="5"/>
      <c r="C46" s="23">
        <f>COUNTIFS(GeneDate,"&gt;="&amp;$I$2,GeneDate,"&lt;="&amp;$I$3,GeneMTB,"Error")+COUNTIFS(GeneDate,"&gt;="&amp;$I$2,GeneDate,"&lt;="&amp;$I$3,GeneMTB,"Invalid")+COUNTIFS(GeneDate,"&gt;="&amp;$I$2,GeneDate,"&lt;="&amp;$I$3,GeneMTB,"*Result*")</f>
        <v>0</v>
      </c>
    </row>
    <row r="47" spans="1:10" x14ac:dyDescent="0.2">
      <c r="A47" s="5" t="s">
        <v>63</v>
      </c>
      <c r="C47" s="5">
        <v>0</v>
      </c>
    </row>
    <row r="49" spans="5:7" x14ac:dyDescent="0.2">
      <c r="E49" s="2" t="s">
        <v>20</v>
      </c>
      <c r="F49" s="4"/>
      <c r="G49" s="4"/>
    </row>
    <row r="50" spans="5:7" x14ac:dyDescent="0.2">
      <c r="E50" s="2" t="s">
        <v>19</v>
      </c>
      <c r="F50" s="3"/>
      <c r="G50" s="3"/>
    </row>
    <row r="51" spans="5:7" x14ac:dyDescent="0.2">
      <c r="E51" s="2" t="s">
        <v>18</v>
      </c>
      <c r="F51" s="3"/>
      <c r="G51" s="3"/>
    </row>
    <row r="52" spans="5:7" x14ac:dyDescent="0.2">
      <c r="E52" s="2" t="s">
        <v>17</v>
      </c>
      <c r="F52" s="3"/>
      <c r="G52" s="3"/>
    </row>
  </sheetData>
  <sheetProtection algorithmName="SHA-512" hashValue="cclXkDYb5o5t908r37hcJ4e/CdXczYcFZZKp6eU6Qjd0EHRZqc133VmR9wIEiqFy5LcPxA7Iv9l620dIHT8u0w==" saltValue="lobxUPdghJirZdR9d+WI+Q==" spinCount="100000" sheet="1" objects="1" scenarios="1"/>
  <protectedRanges>
    <protectedRange sqref="B4" name="Range3"/>
    <protectedRange sqref="I2:I3" name="Range2"/>
    <protectedRange sqref="C42:F43 C45 E44:F45 C47" name="Range1"/>
  </protectedRanges>
  <mergeCells count="45">
    <mergeCell ref="A45:B45"/>
    <mergeCell ref="C45:D45"/>
    <mergeCell ref="E45:F45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6:B36"/>
    <mergeCell ref="C36:D36"/>
    <mergeCell ref="E36:F36"/>
    <mergeCell ref="H36:I38"/>
    <mergeCell ref="A37:B37"/>
    <mergeCell ref="C37:D37"/>
    <mergeCell ref="E37:F37"/>
    <mergeCell ref="A38:B38"/>
    <mergeCell ref="C38:D38"/>
    <mergeCell ref="E38:F38"/>
    <mergeCell ref="C31:D31"/>
    <mergeCell ref="E31:F31"/>
    <mergeCell ref="C32:D32"/>
    <mergeCell ref="E32:F32"/>
    <mergeCell ref="A35:B35"/>
    <mergeCell ref="C35:D35"/>
    <mergeCell ref="E35:F35"/>
    <mergeCell ref="A26:A29"/>
    <mergeCell ref="G26:H29"/>
    <mergeCell ref="A1:F1"/>
    <mergeCell ref="A7:A8"/>
    <mergeCell ref="B7:C7"/>
    <mergeCell ref="D7:E7"/>
    <mergeCell ref="F7:F8"/>
    <mergeCell ref="A13:A15"/>
    <mergeCell ref="G13:H15"/>
    <mergeCell ref="A16:A19"/>
    <mergeCell ref="G16:H19"/>
    <mergeCell ref="A23:A25"/>
    <mergeCell ref="G23:H25"/>
  </mergeCells>
  <conditionalFormatting sqref="G13">
    <cfRule type="notContainsBlanks" dxfId="17" priority="6">
      <formula>LEN(TRIM(G13))&gt;0</formula>
    </cfRule>
  </conditionalFormatting>
  <conditionalFormatting sqref="G16">
    <cfRule type="notContainsBlanks" dxfId="16" priority="5">
      <formula>LEN(TRIM(G16))&gt;0</formula>
    </cfRule>
  </conditionalFormatting>
  <conditionalFormatting sqref="G23">
    <cfRule type="notContainsBlanks" dxfId="15" priority="4">
      <formula>LEN(TRIM(G23))&gt;0</formula>
    </cfRule>
  </conditionalFormatting>
  <conditionalFormatting sqref="G26">
    <cfRule type="notContainsBlanks" dxfId="14" priority="3">
      <formula>LEN(TRIM(G26))&gt;0</formula>
    </cfRule>
  </conditionalFormatting>
  <conditionalFormatting sqref="H36">
    <cfRule type="notContainsBlanks" dxfId="13" priority="2">
      <formula>LEN(TRIM(H36))&gt;0</formula>
    </cfRule>
  </conditionalFormatting>
  <conditionalFormatting sqref="I13:I19 I23:I29 J36:J38">
    <cfRule type="notContainsBlanks" dxfId="12" priority="1">
      <formula>LEN(TRIM(I13))&gt;0</formula>
    </cfRule>
  </conditionalFormatting>
  <pageMargins left="0.7" right="0.5" top="0.5" bottom="0.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rgb="FF00B0F0"/>
  </sheetPr>
  <dimension ref="A1:J52"/>
  <sheetViews>
    <sheetView topLeftCell="A28" workbookViewId="0">
      <selection activeCell="C47" sqref="C47"/>
    </sheetView>
  </sheetViews>
  <sheetFormatPr baseColWidth="10" defaultColWidth="9.1640625" defaultRowHeight="15" x14ac:dyDescent="0.2"/>
  <cols>
    <col min="1" max="1" width="14" style="2" customWidth="1"/>
    <col min="2" max="2" width="25.1640625" style="2" bestFit="1" customWidth="1"/>
    <col min="3" max="3" width="9.1640625" style="2" customWidth="1"/>
    <col min="4" max="4" width="12.33203125" style="2" bestFit="1" customWidth="1"/>
    <col min="5" max="7" width="9.6640625" style="2" customWidth="1"/>
    <col min="8" max="8" width="20.33203125" style="2" customWidth="1"/>
    <col min="9" max="9" width="20.6640625" style="2" customWidth="1"/>
    <col min="10" max="10" width="14.5" style="2" customWidth="1"/>
    <col min="11" max="16384" width="9.1640625" style="2"/>
  </cols>
  <sheetData>
    <row r="1" spans="1:9" ht="19" x14ac:dyDescent="0.25">
      <c r="A1" s="63" t="s">
        <v>60</v>
      </c>
      <c r="B1" s="63"/>
      <c r="C1" s="63"/>
      <c r="D1" s="63"/>
      <c r="E1" s="63"/>
      <c r="F1" s="63"/>
      <c r="I1" s="16" t="s">
        <v>59</v>
      </c>
    </row>
    <row r="2" spans="1:9" ht="16" x14ac:dyDescent="0.2">
      <c r="H2" s="16" t="s">
        <v>58</v>
      </c>
      <c r="I2" s="28">
        <v>42644.000011574099</v>
      </c>
    </row>
    <row r="3" spans="1:9" ht="16" x14ac:dyDescent="0.2">
      <c r="A3" s="2" t="s">
        <v>64</v>
      </c>
      <c r="C3" s="18" t="s">
        <v>69</v>
      </c>
      <c r="E3" s="2" t="s">
        <v>56</v>
      </c>
      <c r="F3" s="17">
        <f>YEAR($I$2)</f>
        <v>2016</v>
      </c>
      <c r="H3" s="16" t="s">
        <v>55</v>
      </c>
      <c r="I3" s="28">
        <v>42735.999988425901</v>
      </c>
    </row>
    <row r="4" spans="1:9" x14ac:dyDescent="0.2">
      <c r="A4" s="2" t="s">
        <v>54</v>
      </c>
    </row>
    <row r="6" spans="1:9" x14ac:dyDescent="0.2">
      <c r="A6" s="2" t="s">
        <v>53</v>
      </c>
    </row>
    <row r="7" spans="1:9" x14ac:dyDescent="0.2">
      <c r="A7" s="66"/>
      <c r="B7" s="66" t="s">
        <v>14</v>
      </c>
      <c r="C7" s="66"/>
      <c r="D7" s="66" t="s">
        <v>16</v>
      </c>
      <c r="E7" s="66"/>
      <c r="F7" s="57" t="s">
        <v>33</v>
      </c>
    </row>
    <row r="8" spans="1:9" x14ac:dyDescent="0.2">
      <c r="A8" s="66"/>
      <c r="B8" s="27" t="s">
        <v>52</v>
      </c>
      <c r="C8" s="27" t="s">
        <v>61</v>
      </c>
      <c r="D8" s="27" t="s">
        <v>52</v>
      </c>
      <c r="E8" s="27" t="s">
        <v>61</v>
      </c>
      <c r="F8" s="57"/>
    </row>
    <row r="9" spans="1:9" x14ac:dyDescent="0.2">
      <c r="A9" s="12"/>
      <c r="B9" s="11">
        <f>COUNTIFS(GeneDate,"&gt;="&amp;$I$2,GeneDate,"&lt;="&amp;$I$3,GeneAge,"&lt;15",GeneSex,"Male",GeneMTB,"*tive")</f>
        <v>0</v>
      </c>
      <c r="C9" s="11">
        <f>COUNTIFS(GeneDate,"&gt;="&amp;$I$2,GeneDate,"&lt;="&amp;$I$3,GeneAge,"&gt;=15",GeneSex,"M*",GeneMTB,"*tive")</f>
        <v>0</v>
      </c>
      <c r="D9" s="11">
        <f>COUNTIFS(GeneDate,"&gt;="&amp;$I$2,GeneDate,"&lt;="&amp;$I$3,GeneAge,"&lt;15",GeneSex,"F*",GeneMTB,"*tive")</f>
        <v>0</v>
      </c>
      <c r="E9" s="8">
        <f>COUNTIFS(GeneDate,"&gt;="&amp;$I$2,GeneDate,"&lt;="&amp;$I$3,GeneAge,"&gt;=15",GeneSex,"F*",GeneMTB,"*tive")</f>
        <v>0</v>
      </c>
      <c r="F9" s="8">
        <f>COUNTIFS(GeneDate,"&gt;="&amp;$I$2,GeneDate,"&lt;="&amp;$I$3,GeneMTB,"*tive")</f>
        <v>0</v>
      </c>
      <c r="G9" s="7" t="str">
        <f>IF(SUM(B9:E9)=F9,"","Check Total Vaue &amp; Category")</f>
        <v/>
      </c>
      <c r="H9" s="26"/>
    </row>
    <row r="10" spans="1:9" ht="12" customHeight="1" x14ac:dyDescent="0.2">
      <c r="B10" s="19"/>
      <c r="E10" s="7"/>
      <c r="F10" s="7"/>
      <c r="G10" s="7"/>
    </row>
    <row r="11" spans="1:9" x14ac:dyDescent="0.2">
      <c r="A11" s="2" t="s">
        <v>51</v>
      </c>
      <c r="E11" s="7"/>
      <c r="F11" s="7"/>
      <c r="G11" s="7"/>
    </row>
    <row r="12" spans="1:9" x14ac:dyDescent="0.2">
      <c r="A12" s="12"/>
      <c r="B12" s="12"/>
      <c r="C12" s="27" t="s">
        <v>50</v>
      </c>
      <c r="D12" s="27" t="s">
        <v>49</v>
      </c>
      <c r="E12" s="13" t="s">
        <v>15</v>
      </c>
      <c r="F12" s="13" t="s">
        <v>33</v>
      </c>
      <c r="G12" s="7"/>
    </row>
    <row r="13" spans="1:9" ht="15" customHeight="1" x14ac:dyDescent="0.2">
      <c r="A13" s="58" t="s">
        <v>44</v>
      </c>
      <c r="B13" s="12" t="s">
        <v>43</v>
      </c>
      <c r="C13" s="11">
        <f>COUNTIFS(GeneDate,"&gt;="&amp;$I$2,GeneDate,"&lt;="&amp;$I$3,GeneMicroscope,"Pos*",GenePreviousHistory,"N*",GeneMTB,"*tive")</f>
        <v>0</v>
      </c>
      <c r="D13" s="11">
        <f>COUNTIFS(GeneDate,"&gt;="&amp;$I$2,GeneDate,"&lt;="&amp;$I$3,GeneMicroscope,"Pos*",GenePreviousHistory,"Y*",GeneMTB,"*tive")</f>
        <v>0</v>
      </c>
      <c r="E13" s="8">
        <f>COUNTIFS(GeneDate,"&gt;="&amp;$I$2,GeneDate,"&lt;="&amp;$I$3,GeneMicroscope,"Pos*",GenePreviousHistory,"Un*",GeneMTB,"*tive")</f>
        <v>0</v>
      </c>
      <c r="F13" s="8">
        <f>COUNTIFS(GeneDate,"&gt;="&amp;$I$2,GeneDate,"&lt;="&amp;$I$3,GeneMicroscope,"Pos*",GeneMTB,"*tive")</f>
        <v>0</v>
      </c>
      <c r="G13" s="48" t="str">
        <f>IF($F$9=SUM(F13:F15),"","Error! Possibly there were be Error or Missing information at Microscopy Result")</f>
        <v/>
      </c>
      <c r="H13" s="49"/>
      <c r="I13" s="10" t="str">
        <f t="shared" ref="I13:I19" si="0">IF(SUM(C13:E13)=F13,"","Check Total Vaue &amp; Category")</f>
        <v/>
      </c>
    </row>
    <row r="14" spans="1:9" x14ac:dyDescent="0.2">
      <c r="A14" s="59"/>
      <c r="B14" s="12" t="s">
        <v>42</v>
      </c>
      <c r="C14" s="11">
        <f>COUNTIFS(GeneDate,"&gt;="&amp;$I$2,GeneDate,"&lt;="&amp;$I$3,GeneMicroscope,"Neg*",GenePreviousHistory,"N*",GeneMTB,"*tive")</f>
        <v>0</v>
      </c>
      <c r="D14" s="11">
        <f>COUNTIFS(GeneDate,"&gt;="&amp;$I$2,GeneDate,"&lt;="&amp;$I$3,GeneMicroscope,"Neg*",GenePreviousHistory,"Y*",GeneMTB,"*tive")</f>
        <v>0</v>
      </c>
      <c r="E14" s="8">
        <f>COUNTIFS(GeneDate,"&gt;="&amp;$I$2,GeneDate,"&lt;="&amp;$I$3,GeneMicroscope,"Neg*",GenePreviousHistory,"Un*",GeneMTB,"*tive")</f>
        <v>0</v>
      </c>
      <c r="F14" s="8">
        <f>COUNTIFS(GeneDate,"&gt;="&amp;$I$2,GeneDate,"&lt;="&amp;$I$3,GeneMicroscope,"Neg*",GeneMTB,"*tive")</f>
        <v>0</v>
      </c>
      <c r="G14" s="48"/>
      <c r="H14" s="49"/>
      <c r="I14" s="10" t="str">
        <f t="shared" si="0"/>
        <v/>
      </c>
    </row>
    <row r="15" spans="1:9" x14ac:dyDescent="0.2">
      <c r="A15" s="60"/>
      <c r="B15" s="12" t="s">
        <v>41</v>
      </c>
      <c r="C15" s="11">
        <f>COUNTIFS(GeneDate,"&gt;="&amp;$I$2,GeneDate,"&lt;="&amp;$I$3,GeneMicroscope,"Not*",GenePreviousHistory,"N*",GeneMTB,"*tive")</f>
        <v>0</v>
      </c>
      <c r="D15" s="11">
        <f>COUNTIFS(GeneDate,"&gt;="&amp;$I$2,GeneDate,"&lt;="&amp;$I$3,GeneMicroscope,"Not*",GenePreviousHistory,"Y*",GeneMTB,"*tive")</f>
        <v>0</v>
      </c>
      <c r="E15" s="8">
        <f>COUNTIFS(GeneDate,"&gt;="&amp;$I$2,GeneDate,"&lt;="&amp;$I$3,GeneMicroscope,"Not*",GenePreviousHistory,"Un*",GeneMTB,"*tive")</f>
        <v>0</v>
      </c>
      <c r="F15" s="8">
        <f>COUNTIFS(GeneDate,"&gt;="&amp;$I$2,GeneDate,"&lt;="&amp;$I$3,GeneMicroscope,"Not*",GeneMTB,"*tive")</f>
        <v>0</v>
      </c>
      <c r="G15" s="48"/>
      <c r="H15" s="49"/>
      <c r="I15" s="10" t="str">
        <f t="shared" si="0"/>
        <v/>
      </c>
    </row>
    <row r="16" spans="1:9" x14ac:dyDescent="0.2">
      <c r="A16" s="57" t="s">
        <v>40</v>
      </c>
      <c r="B16" s="12" t="s">
        <v>13</v>
      </c>
      <c r="C16" s="11">
        <f>COUNTIFS(GeneDate,"&gt;="&amp;$I$2,GeneDate,"&lt;="&amp;$I$3,GenePreviousHistory,"N*",GeneMTB,"Neg*")</f>
        <v>0</v>
      </c>
      <c r="D16" s="11">
        <f>COUNTIFS(GeneDate,"&gt;="&amp;$I$2,GeneDate,"&lt;="&amp;$I$3,GenePreviousHistory,"Y*",GeneMTB,"Neg*")</f>
        <v>0</v>
      </c>
      <c r="E16" s="8">
        <f>F16-(C16+D16)</f>
        <v>0</v>
      </c>
      <c r="F16" s="8">
        <f>COUNTIFS(GeneDate,"&gt;="&amp;$I$2,GeneDate,"&lt;="&amp;$I$3,GeneMTB,"Neg*")</f>
        <v>0</v>
      </c>
      <c r="G16" s="48" t="str">
        <f>IF($F$9=SUM(F16:F19),"","Error! Cross information between Xpert result and treatment category are not match; possibly there will be Erorr or missing information on MTB result OR RIF result")</f>
        <v/>
      </c>
      <c r="H16" s="49"/>
      <c r="I16" s="10" t="str">
        <f t="shared" si="0"/>
        <v/>
      </c>
    </row>
    <row r="17" spans="1:9" x14ac:dyDescent="0.2">
      <c r="A17" s="57"/>
      <c r="B17" s="12" t="s">
        <v>39</v>
      </c>
      <c r="C17" s="11">
        <f>COUNTIFS(GeneDate,"&gt;="&amp;$I$2,GeneDate,"&lt;="&amp;$I$3,GenePreviousHistory,"N*",GeneMTB,"Pos*",GeneRif,"Neg*")</f>
        <v>0</v>
      </c>
      <c r="D17" s="11">
        <f>COUNTIFS(GeneDate,"&gt;="&amp;$I$2,GeneDate,"&lt;="&amp;$I$3,GenePreviousHistory,"Y*",GeneMTB,"Pos*",GeneRif,"Neg*")</f>
        <v>0</v>
      </c>
      <c r="E17" s="8">
        <f>F17-(C17+D17)</f>
        <v>0</v>
      </c>
      <c r="F17" s="8">
        <f>COUNTIFS(GeneDate,"&gt;="&amp;$I$2,GeneDate,"&lt;="&amp;$I$3,GeneMTB,"Pos*",GeneRif,"Neg*")</f>
        <v>0</v>
      </c>
      <c r="G17" s="48"/>
      <c r="H17" s="49"/>
      <c r="I17" s="10" t="str">
        <f t="shared" si="0"/>
        <v/>
      </c>
    </row>
    <row r="18" spans="1:9" x14ac:dyDescent="0.2">
      <c r="A18" s="57"/>
      <c r="B18" s="12" t="s">
        <v>38</v>
      </c>
      <c r="C18" s="11">
        <f>COUNTIFS(GeneDate,"&gt;="&amp;$I$2,GeneDate,"&lt;="&amp;$I$3,GenePreviousHistory,"N*",GeneMTB,"Pos*",GeneRif,"Pos*")</f>
        <v>0</v>
      </c>
      <c r="D18" s="11">
        <f>COUNTIFS(GeneDate,"&gt;="&amp;$I$2,GeneDate,"&lt;="&amp;$I$3,GenePreviousHistory,"Y*",GeneMTB,"Pos*",GeneRif,"Pos*")</f>
        <v>0</v>
      </c>
      <c r="E18" s="8">
        <f>F18-(C18+D18)</f>
        <v>0</v>
      </c>
      <c r="F18" s="8">
        <f>COUNTIFS(GeneDate,"&gt;="&amp;$I$2,GeneDate,"&lt;="&amp;$I$3,GeneMTB,"Pos*",GeneRif,"Pos*")</f>
        <v>0</v>
      </c>
      <c r="G18" s="48"/>
      <c r="H18" s="49"/>
      <c r="I18" s="10" t="str">
        <f t="shared" si="0"/>
        <v/>
      </c>
    </row>
    <row r="19" spans="1:9" x14ac:dyDescent="0.2">
      <c r="A19" s="57"/>
      <c r="B19" s="12" t="s">
        <v>48</v>
      </c>
      <c r="C19" s="11">
        <f>COUNTIFS(GeneDate,"&gt;="&amp;$I$2,GeneDate,"&lt;="&amp;$I$3,GenePreviousHistory,"N*",GeneMTB,"Pos*",GeneRif,"IND*")</f>
        <v>0</v>
      </c>
      <c r="D19" s="11">
        <f>COUNTIFS(GeneDate,"&gt;="&amp;$I$2,GeneDate,"&lt;="&amp;$I$3,GenePreviousHistory,"Y*",GeneMTB,"Pos*",GeneRif,"IND*")</f>
        <v>0</v>
      </c>
      <c r="E19" s="8">
        <f>F19-(C19+D19)</f>
        <v>0</v>
      </c>
      <c r="F19" s="8">
        <f>COUNTIFS(GeneDate,"&gt;="&amp;$I$2,GeneDate,"&lt;="&amp;$I$3,GeneMTB,"Pos*",GeneRif,"IND*")</f>
        <v>0</v>
      </c>
      <c r="G19" s="48"/>
      <c r="H19" s="49"/>
      <c r="I19" s="10" t="str">
        <f t="shared" si="0"/>
        <v/>
      </c>
    </row>
    <row r="20" spans="1:9" ht="12" customHeight="1" x14ac:dyDescent="0.2">
      <c r="E20" s="7"/>
      <c r="F20" s="7"/>
      <c r="G20" s="7"/>
    </row>
    <row r="21" spans="1:9" x14ac:dyDescent="0.2">
      <c r="A21" s="2" t="s">
        <v>47</v>
      </c>
      <c r="E21" s="7"/>
      <c r="F21" s="7"/>
      <c r="G21" s="7"/>
    </row>
    <row r="22" spans="1:9" ht="30" x14ac:dyDescent="0.2">
      <c r="A22" s="12"/>
      <c r="B22" s="12"/>
      <c r="C22" s="14" t="s">
        <v>46</v>
      </c>
      <c r="D22" s="14" t="s">
        <v>45</v>
      </c>
      <c r="E22" s="13" t="s">
        <v>15</v>
      </c>
      <c r="F22" s="13" t="s">
        <v>33</v>
      </c>
      <c r="G22" s="7"/>
    </row>
    <row r="23" spans="1:9" ht="15" customHeight="1" x14ac:dyDescent="0.2">
      <c r="A23" s="58" t="s">
        <v>44</v>
      </c>
      <c r="B23" s="12" t="s">
        <v>43</v>
      </c>
      <c r="C23" s="11">
        <f>COUNTIFS(GeneDate,"&gt;="&amp;$I$2,GeneDate,"&lt;="&amp;$I$3,GeneMicroscope,"Pos*",GeneHIV,"Pos*",GeneMTB,"*tive")</f>
        <v>0</v>
      </c>
      <c r="D23" s="11">
        <f>COUNTIFS(GeneDate,"&gt;="&amp;$I$2,GeneDate,"&lt;="&amp;$I$3,GeneMicroscope,"Pos*",GeneHIV,"Neg*",GeneMTB,"*tive")</f>
        <v>0</v>
      </c>
      <c r="E23" s="8">
        <f>COUNTIFS(GeneDate,"&gt;="&amp;$I$2,GeneDate,"&lt;="&amp;$I$3,GeneMicroscope,"Pos*",GeneHIV,"Un*",GeneMTB,"*tive")</f>
        <v>0</v>
      </c>
      <c r="F23" s="8">
        <f>COUNTIFS(GeneDate,"&gt;="&amp;$I$2,GeneDate,"&lt;="&amp;$I$3,GeneMicroscope,"Pos*",GeneMTB,"*tive")</f>
        <v>0</v>
      </c>
      <c r="G23" s="48" t="str">
        <f>IF($F$9=SUM(F23:F25),"","Error! Cross information between Microscope Result and HIV Status are not match; possibly there will be Erorr or missing information on Microscope Result OR HIV Status")</f>
        <v/>
      </c>
      <c r="H23" s="49"/>
      <c r="I23" s="10" t="str">
        <f t="shared" ref="I23:I29" si="1">IF(SUM(C23:E23)=F23,"","Check Total Vaue &amp; Category")</f>
        <v/>
      </c>
    </row>
    <row r="24" spans="1:9" x14ac:dyDescent="0.2">
      <c r="A24" s="59"/>
      <c r="B24" s="12" t="s">
        <v>42</v>
      </c>
      <c r="C24" s="11">
        <f>COUNTIFS(GeneDate,"&gt;="&amp;$I$2,GeneDate,"&lt;="&amp;$I$3,GeneMicroscope,"Neg*",GeneHIV,"Pos*",GeneMTB,"*tive")</f>
        <v>0</v>
      </c>
      <c r="D24" s="11">
        <f>COUNTIFS(GeneDate,"&gt;="&amp;$I$2,GeneDate,"&lt;="&amp;$I$3,GeneMicroscope,"Neg*",GeneHIV,"Neg*",GeneMTB,"*tive")</f>
        <v>0</v>
      </c>
      <c r="E24" s="8">
        <f>COUNTIFS(GeneDate,"&gt;="&amp;$I$2,GeneDate,"&lt;="&amp;$I$3,GeneMicroscope,"Neg*",GeneHIV,"Un*",GeneMTB,"*tive")</f>
        <v>0</v>
      </c>
      <c r="F24" s="8">
        <f>COUNTIFS(GeneDate,"&gt;="&amp;$I$2,GeneDate,"&lt;="&amp;$I$3,GeneMicroscope,"Neg*",GeneMTB,"*tive")</f>
        <v>0</v>
      </c>
      <c r="G24" s="48"/>
      <c r="H24" s="49"/>
      <c r="I24" s="10" t="str">
        <f t="shared" si="1"/>
        <v/>
      </c>
    </row>
    <row r="25" spans="1:9" x14ac:dyDescent="0.2">
      <c r="A25" s="60"/>
      <c r="B25" s="12" t="s">
        <v>41</v>
      </c>
      <c r="C25" s="11">
        <f>COUNTIFS(GeneDate,"&gt;="&amp;$I$2,GeneDate,"&lt;="&amp;$I$3,GeneMicroscope,"Not*",GeneHIV,"Pos*",GeneMTB,"*tive")</f>
        <v>0</v>
      </c>
      <c r="D25" s="11">
        <f>COUNTIFS(GeneDate,"&gt;="&amp;$I$2,GeneDate,"&lt;="&amp;$I$3,GeneMicroscope,"Not*",GeneHIV,"Neg*",GeneMTB,"*tive")</f>
        <v>0</v>
      </c>
      <c r="E25" s="8">
        <f>COUNTIFS(GeneDate,"&gt;="&amp;$I$2,GeneDate,"&lt;="&amp;$I$3,GeneMicroscope,"Not*",GeneHIV,"Un*",GeneMTB,"*tive")</f>
        <v>0</v>
      </c>
      <c r="F25" s="8">
        <f>COUNTIFS(GeneDate,"&gt;="&amp;$I$2,GeneDate,"&lt;="&amp;$I$3,GeneMicroscope,"Not*",GeneMTB,"*tive")</f>
        <v>0</v>
      </c>
      <c r="G25" s="48"/>
      <c r="H25" s="49"/>
      <c r="I25" s="10" t="str">
        <f t="shared" si="1"/>
        <v/>
      </c>
    </row>
    <row r="26" spans="1:9" x14ac:dyDescent="0.2">
      <c r="A26" s="57" t="s">
        <v>40</v>
      </c>
      <c r="B26" s="12" t="s">
        <v>13</v>
      </c>
      <c r="C26" s="11">
        <f>COUNTIFS(GeneDate,"&gt;="&amp;$I$2,GeneDate,"&lt;="&amp;$I$3,GeneHIV,"Pos*",GeneMTB,"Neg*")</f>
        <v>0</v>
      </c>
      <c r="D26" s="11">
        <f>COUNTIFS(GeneDate,"&gt;="&amp;$I$2,GeneDate,"&lt;="&amp;$I$3,GeneHIV,"Neg*",GeneMTB,"Neg*")</f>
        <v>0</v>
      </c>
      <c r="E26" s="8">
        <f>COUNTIFS(GeneDate,"&gt;="&amp;$I$2,GeneDate,"&lt;="&amp;$I$3,GeneHIV,"Un*",GeneMTB,"Neg*")</f>
        <v>0</v>
      </c>
      <c r="F26" s="8">
        <f>COUNTIFS(GeneDate,"&gt;="&amp;$I$2,GeneDate,"&lt;="&amp;$I$3,GeneMTB,"*tive",GeneMTB,"Neg*")</f>
        <v>0</v>
      </c>
      <c r="G26" s="48" t="str">
        <f>IF($F$9=SUM(F26:F29),"","Error! Cross information between Xpert result and HIV Status are not match; possibly there will be Erorr or missing information on MTB result OR HIV Status")</f>
        <v/>
      </c>
      <c r="H26" s="49"/>
      <c r="I26" s="10" t="str">
        <f t="shared" si="1"/>
        <v/>
      </c>
    </row>
    <row r="27" spans="1:9" x14ac:dyDescent="0.2">
      <c r="A27" s="57"/>
      <c r="B27" s="12" t="s">
        <v>39</v>
      </c>
      <c r="C27" s="11">
        <f>COUNTIFS(GeneDate,"&gt;="&amp;$I$2,GeneDate,"&lt;="&amp;$I$3,GeneHIV,"Pos*",GeneMTB,"Pos*",GeneRif,"Neg*")</f>
        <v>0</v>
      </c>
      <c r="D27" s="11">
        <f>COUNTIFS(GeneDate,"&gt;="&amp;$I$2,GeneDate,"&lt;="&amp;$I$3,GeneHIV,"Neg*",GeneMTB,"Pos*",GeneRif,"Neg*")</f>
        <v>0</v>
      </c>
      <c r="E27" s="8">
        <f>COUNTIFS(GeneDate,"&gt;="&amp;$I$2,GeneDate,"&lt;="&amp;$I$3,GeneHIV,"Un*",GeneMTB,"Pos*",GeneRif,"Neg*")</f>
        <v>0</v>
      </c>
      <c r="F27" s="8">
        <f>COUNTIFS(GeneDate,"&gt;="&amp;$I$2,GeneDate,"&lt;="&amp;$I$3,GeneMTB,"Pos*",GeneRif,"Neg*")</f>
        <v>0</v>
      </c>
      <c r="G27" s="48"/>
      <c r="H27" s="49"/>
      <c r="I27" s="10" t="str">
        <f t="shared" si="1"/>
        <v/>
      </c>
    </row>
    <row r="28" spans="1:9" x14ac:dyDescent="0.2">
      <c r="A28" s="57"/>
      <c r="B28" s="12" t="s">
        <v>38</v>
      </c>
      <c r="C28" s="11">
        <f>COUNTIFS(GeneDate,"&gt;="&amp;$I$2,GeneDate,"&lt;="&amp;$I$3,GeneHIV,"Pos*",GeneMTB,"Pos*",GeneRif,"Pos*")</f>
        <v>0</v>
      </c>
      <c r="D28" s="11">
        <f>COUNTIFS(GeneDate,"&gt;="&amp;$I$2,GeneDate,"&lt;="&amp;$I$3,GeneHIV,"Neg*",GeneMTB,"Pos*",GeneRif,"Pos*")</f>
        <v>0</v>
      </c>
      <c r="E28" s="8">
        <f>COUNTIFS(GeneDate,"&gt;="&amp;$I$2,GeneDate,"&lt;="&amp;$I$3,GeneHIV,"Un*",GeneMTB,"Pos*",GeneRif,"Pos*")</f>
        <v>0</v>
      </c>
      <c r="F28" s="8">
        <f>COUNTIFS(GeneDate,"&gt;="&amp;$I$2,GeneDate,"&lt;="&amp;$I$3,GeneMTB,"Pos*",GeneRif,"Pos*")</f>
        <v>0</v>
      </c>
      <c r="G28" s="48"/>
      <c r="H28" s="49"/>
      <c r="I28" s="10" t="str">
        <f t="shared" si="1"/>
        <v/>
      </c>
    </row>
    <row r="29" spans="1:9" x14ac:dyDescent="0.2">
      <c r="A29" s="57"/>
      <c r="B29" s="12" t="s">
        <v>37</v>
      </c>
      <c r="C29" s="11">
        <f>COUNTIFS(GeneDate,"&gt;="&amp;$I$2,GeneDate,"&lt;="&amp;$I$3,GeneHIV,"Pos*",GeneMTB,"Pos*",GeneRif,"IND*")</f>
        <v>0</v>
      </c>
      <c r="D29" s="11">
        <f>COUNTIFS(GeneDate,"&gt;="&amp;$I$2,GeneDate,"&lt;="&amp;$I$3,GeneHIV,"Neg*",GeneMTB,"Pos*",GeneRif,"IND*")</f>
        <v>0</v>
      </c>
      <c r="E29" s="8">
        <f>COUNTIFS(GeneDate,"&gt;="&amp;$I$2,GeneDate,"&lt;="&amp;$I$3,GeneHIV,"Un*",GeneMTB,"Pos*",GeneRif,"IND*")</f>
        <v>0</v>
      </c>
      <c r="F29" s="8">
        <f>COUNTIFS(GeneDate,"&gt;="&amp;$I$2,GeneDate,"&lt;="&amp;$I$3,GeneMTB,"Pos*",GeneRif,"IND*")</f>
        <v>0</v>
      </c>
      <c r="G29" s="48"/>
      <c r="H29" s="49"/>
      <c r="I29" s="10" t="str">
        <f t="shared" si="1"/>
        <v/>
      </c>
    </row>
    <row r="30" spans="1:9" ht="12" customHeight="1" x14ac:dyDescent="0.2">
      <c r="E30" s="7"/>
      <c r="F30" s="7"/>
      <c r="G30" s="7"/>
    </row>
    <row r="31" spans="1:9" x14ac:dyDescent="0.2">
      <c r="A31" s="4"/>
      <c r="B31" s="25"/>
      <c r="C31" s="61" t="s">
        <v>14</v>
      </c>
      <c r="D31" s="62"/>
      <c r="E31" s="61" t="s">
        <v>16</v>
      </c>
      <c r="F31" s="62"/>
      <c r="G31" s="9" t="s">
        <v>33</v>
      </c>
    </row>
    <row r="32" spans="1:9" x14ac:dyDescent="0.2">
      <c r="A32" s="24" t="s">
        <v>62</v>
      </c>
      <c r="B32" s="24"/>
      <c r="C32" s="61">
        <f>COUNTIFS(GeneDate,"&gt;="&amp;$I$2,GeneDate,"&lt;="&amp;$I$3,GeneMTB,"Pos*",GeneRif,"Pos*",GeneSex,"Male")</f>
        <v>0</v>
      </c>
      <c r="D32" s="62"/>
      <c r="E32" s="64">
        <f>COUNTIFS(GeneDate,"&gt;="&amp;$I$2,GeneDate,"&lt;="&amp;$I$3,GeneMTB,"Pos*",GeneRif,"Pos*",GeneSex,"Female")</f>
        <v>0</v>
      </c>
      <c r="F32" s="65"/>
      <c r="G32" s="8">
        <f>COUNTIFS(GeneDate,"&gt;="&amp;$I$2,GeneDate,"&lt;="&amp;$I$3,GeneMTB,"Pos*",GeneRif,"Pos*")</f>
        <v>0</v>
      </c>
    </row>
    <row r="33" spans="1:10" ht="12" customHeight="1" x14ac:dyDescent="0.2">
      <c r="E33" s="7"/>
      <c r="F33" s="7"/>
      <c r="G33" s="7"/>
    </row>
    <row r="34" spans="1:10" x14ac:dyDescent="0.2">
      <c r="A34" s="2" t="s">
        <v>36</v>
      </c>
      <c r="E34" s="7"/>
      <c r="F34" s="7"/>
      <c r="G34" s="7"/>
    </row>
    <row r="35" spans="1:10" x14ac:dyDescent="0.2">
      <c r="A35" s="61"/>
      <c r="B35" s="62"/>
      <c r="C35" s="61" t="s">
        <v>35</v>
      </c>
      <c r="D35" s="62"/>
      <c r="E35" s="64" t="s">
        <v>34</v>
      </c>
      <c r="F35" s="65"/>
      <c r="G35" s="9" t="s">
        <v>33</v>
      </c>
    </row>
    <row r="36" spans="1:10" x14ac:dyDescent="0.2">
      <c r="A36" s="50" t="s">
        <v>32</v>
      </c>
      <c r="B36" s="50"/>
      <c r="C36" s="51">
        <f>COUNTIFS(GeneDate,"&gt;="&amp;$I$2,GeneDate,"&lt;="&amp;$I$3,GeneMTB,"Pos*",GeneMicroscope,"Pos*")</f>
        <v>0</v>
      </c>
      <c r="D36" s="52"/>
      <c r="E36" s="53">
        <f>COUNTIFS(GeneDate,"&gt;="&amp;$I$2,GeneDate,"&lt;="&amp;$I$3,GeneMTB,"Neg*",GeneMicroscope,"Pos*")</f>
        <v>0</v>
      </c>
      <c r="F36" s="54"/>
      <c r="G36" s="8">
        <f>COUNTIFS(GeneDate,"&gt;="&amp;$I$2,GeneDate,"&lt;="&amp;$I$3,GeneMicroscope,"Pos*",GeneMTB,"*tive")</f>
        <v>0</v>
      </c>
      <c r="H36" s="55" t="str">
        <f>IF($F$9=SUM(G36:G38),"","Error! Cross information between Xpert result and Microscope result are not match; possibly there will be Erorr or missing information on MTB result OR Microscope result")</f>
        <v/>
      </c>
      <c r="I36" s="56"/>
      <c r="J36" s="2" t="str">
        <f>IF(SUM(C36:F36)=G36,"","Check Total Vaue &amp; Category")</f>
        <v/>
      </c>
    </row>
    <row r="37" spans="1:10" x14ac:dyDescent="0.2">
      <c r="A37" s="50" t="s">
        <v>31</v>
      </c>
      <c r="B37" s="50"/>
      <c r="C37" s="51">
        <f>COUNTIFS(GeneDate,"&gt;="&amp;$I$2,GeneDate,"&lt;="&amp;$I$3,GeneMTB,"Pos*",GeneMicroscope,"Neg*")</f>
        <v>0</v>
      </c>
      <c r="D37" s="52"/>
      <c r="E37" s="53">
        <f>COUNTIFS(GeneDate,"&gt;="&amp;$I$2,GeneDate,"&lt;="&amp;$I$3,GeneMTB,"Neg*",GeneMicroscope,"Neg*")</f>
        <v>0</v>
      </c>
      <c r="F37" s="54"/>
      <c r="G37" s="8">
        <f>COUNTIFS(GeneDate,"&gt;="&amp;$I$2,GeneDate,"&lt;="&amp;$I$3,GeneMicroscope,"Neg*",GeneMTB,"*tive")</f>
        <v>0</v>
      </c>
      <c r="H37" s="55"/>
      <c r="I37" s="56"/>
      <c r="J37" s="2" t="str">
        <f>IF(SUM(C37:F37)=G37,"","Check Total Vaue &amp; Category")</f>
        <v/>
      </c>
    </row>
    <row r="38" spans="1:10" x14ac:dyDescent="0.2">
      <c r="A38" s="50" t="s">
        <v>30</v>
      </c>
      <c r="B38" s="50"/>
      <c r="C38" s="51">
        <f>COUNTIFS(GeneDate,"&gt;="&amp;$I$2,GeneDate,"&lt;="&amp;$I$3,GeneMTB,"Pos*",GeneMicroscope,"Not*")</f>
        <v>0</v>
      </c>
      <c r="D38" s="52"/>
      <c r="E38" s="53">
        <f>COUNTIFS(GeneDate,"&gt;="&amp;$I$2,GeneDate,"&lt;="&amp;$I$3,GeneMTB,"Neg*",GeneMicroscope,"Not*")</f>
        <v>0</v>
      </c>
      <c r="F38" s="54"/>
      <c r="G38" s="8">
        <f>COUNTIFS(GeneDate,"&gt;="&amp;$I$2,GeneDate,"&lt;="&amp;$I$3,GeneMTB,"*tive",GeneMicroscope,"Not*")</f>
        <v>0</v>
      </c>
      <c r="H38" s="55"/>
      <c r="I38" s="56"/>
      <c r="J38" s="2" t="str">
        <f>IF(SUM(C38:F38)=G38,"","Check Total Vaue &amp; Category")</f>
        <v/>
      </c>
    </row>
    <row r="39" spans="1:10" ht="12" customHeight="1" x14ac:dyDescent="0.2">
      <c r="D39" s="2" t="str">
        <f>IF(SUM(C36:D38)=SUM(F27:F29),"","Error")</f>
        <v/>
      </c>
      <c r="E39" s="7"/>
      <c r="F39" s="7"/>
      <c r="G39" s="7"/>
    </row>
    <row r="40" spans="1:10" x14ac:dyDescent="0.2">
      <c r="A40" s="2" t="s">
        <v>29</v>
      </c>
    </row>
    <row r="41" spans="1:10" x14ac:dyDescent="0.2">
      <c r="A41" s="66"/>
      <c r="B41" s="66"/>
      <c r="C41" s="61" t="s">
        <v>28</v>
      </c>
      <c r="D41" s="62"/>
      <c r="E41" s="66" t="s">
        <v>27</v>
      </c>
      <c r="F41" s="66"/>
    </row>
    <row r="42" spans="1:10" x14ac:dyDescent="0.2">
      <c r="A42" s="50" t="s">
        <v>26</v>
      </c>
      <c r="B42" s="50"/>
      <c r="C42" s="51"/>
      <c r="D42" s="52"/>
      <c r="E42" s="67"/>
      <c r="F42" s="67"/>
    </row>
    <row r="43" spans="1:10" x14ac:dyDescent="0.2">
      <c r="A43" s="50" t="s">
        <v>25</v>
      </c>
      <c r="B43" s="50"/>
      <c r="C43" s="51"/>
      <c r="D43" s="52"/>
      <c r="E43" s="67" t="s">
        <v>24</v>
      </c>
      <c r="F43" s="67"/>
    </row>
    <row r="44" spans="1:10" x14ac:dyDescent="0.2">
      <c r="A44" s="50" t="s">
        <v>23</v>
      </c>
      <c r="B44" s="50"/>
      <c r="C44" s="68">
        <f>C46+F9+C47</f>
        <v>0</v>
      </c>
      <c r="D44" s="69"/>
      <c r="E44" s="67"/>
      <c r="F44" s="67"/>
      <c r="G44" s="6"/>
    </row>
    <row r="45" spans="1:10" x14ac:dyDescent="0.2">
      <c r="A45" s="50" t="s">
        <v>22</v>
      </c>
      <c r="B45" s="50"/>
      <c r="C45" s="68">
        <f>SUM(C42+C43)-C44</f>
        <v>0</v>
      </c>
      <c r="D45" s="69"/>
      <c r="E45" s="67"/>
      <c r="F45" s="67"/>
    </row>
    <row r="46" spans="1:10" x14ac:dyDescent="0.2">
      <c r="A46" s="5" t="s">
        <v>21</v>
      </c>
      <c r="B46" s="5"/>
      <c r="C46" s="23">
        <f>COUNTIFS(GeneDate,"&gt;="&amp;$I$2,GeneDate,"&lt;="&amp;$I$3,GeneMTB,"Error")+COUNTIFS(GeneDate,"&gt;="&amp;$I$2,GeneDate,"&lt;="&amp;$I$3,GeneMTB,"Invalid")+COUNTIFS(GeneDate,"&gt;="&amp;$I$2,GeneDate,"&lt;="&amp;$I$3,GeneMTB,"*Result*")</f>
        <v>0</v>
      </c>
    </row>
    <row r="47" spans="1:10" x14ac:dyDescent="0.2">
      <c r="A47" s="5" t="s">
        <v>63</v>
      </c>
      <c r="C47" s="29">
        <f>SUM('Oct16'!C47,'Nov16'!C47,'Dec16'!C47)</f>
        <v>0</v>
      </c>
    </row>
    <row r="49" spans="5:7" x14ac:dyDescent="0.2">
      <c r="E49" s="2" t="s">
        <v>20</v>
      </c>
      <c r="F49" s="4"/>
      <c r="G49" s="4"/>
    </row>
    <row r="50" spans="5:7" x14ac:dyDescent="0.2">
      <c r="E50" s="2" t="s">
        <v>19</v>
      </c>
      <c r="F50" s="3"/>
      <c r="G50" s="3"/>
    </row>
    <row r="51" spans="5:7" x14ac:dyDescent="0.2">
      <c r="E51" s="2" t="s">
        <v>18</v>
      </c>
      <c r="F51" s="3"/>
      <c r="G51" s="3"/>
    </row>
    <row r="52" spans="5:7" x14ac:dyDescent="0.2">
      <c r="E52" s="2" t="s">
        <v>17</v>
      </c>
      <c r="F52" s="3"/>
      <c r="G52" s="3"/>
    </row>
  </sheetData>
  <sheetProtection algorithmName="SHA-512" hashValue="47S8Yp4ssTyoxnw50QIVXAEGUFcpd0T+OGN10rPNa0XLBELE2QZzwVyDQpl/Sy2mYWkApR93/V1DIr1hMzniyA==" saltValue="VI2bjfooe993oB1MH6Mjpg==" spinCount="100000" sheet="1" objects="1" scenarios="1"/>
  <protectedRanges>
    <protectedRange sqref="B4" name="Range3"/>
    <protectedRange sqref="I2:I3" name="Range2"/>
    <protectedRange sqref="C42:F43 C45 E44:F45 C47" name="Range1"/>
  </protectedRanges>
  <mergeCells count="45">
    <mergeCell ref="A45:B45"/>
    <mergeCell ref="C45:D45"/>
    <mergeCell ref="E45:F45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6:B36"/>
    <mergeCell ref="C36:D36"/>
    <mergeCell ref="E36:F36"/>
    <mergeCell ref="H36:I38"/>
    <mergeCell ref="A37:B37"/>
    <mergeCell ref="C37:D37"/>
    <mergeCell ref="E37:F37"/>
    <mergeCell ref="A38:B38"/>
    <mergeCell ref="C38:D38"/>
    <mergeCell ref="E38:F38"/>
    <mergeCell ref="C31:D31"/>
    <mergeCell ref="E31:F31"/>
    <mergeCell ref="C32:D32"/>
    <mergeCell ref="E32:F32"/>
    <mergeCell ref="A35:B35"/>
    <mergeCell ref="C35:D35"/>
    <mergeCell ref="E35:F35"/>
    <mergeCell ref="A26:A29"/>
    <mergeCell ref="G26:H29"/>
    <mergeCell ref="A1:F1"/>
    <mergeCell ref="A7:A8"/>
    <mergeCell ref="B7:C7"/>
    <mergeCell ref="D7:E7"/>
    <mergeCell ref="F7:F8"/>
    <mergeCell ref="A13:A15"/>
    <mergeCell ref="G13:H15"/>
    <mergeCell ref="A16:A19"/>
    <mergeCell ref="G16:H19"/>
    <mergeCell ref="A23:A25"/>
    <mergeCell ref="G23:H25"/>
  </mergeCells>
  <conditionalFormatting sqref="G13">
    <cfRule type="notContainsBlanks" dxfId="11" priority="6">
      <formula>LEN(TRIM(G13))&gt;0</formula>
    </cfRule>
  </conditionalFormatting>
  <conditionalFormatting sqref="G16">
    <cfRule type="notContainsBlanks" dxfId="10" priority="5">
      <formula>LEN(TRIM(G16))&gt;0</formula>
    </cfRule>
  </conditionalFormatting>
  <conditionalFormatting sqref="G23">
    <cfRule type="notContainsBlanks" dxfId="9" priority="4">
      <formula>LEN(TRIM(G23))&gt;0</formula>
    </cfRule>
  </conditionalFormatting>
  <conditionalFormatting sqref="G26">
    <cfRule type="notContainsBlanks" dxfId="8" priority="3">
      <formula>LEN(TRIM(G26))&gt;0</formula>
    </cfRule>
  </conditionalFormatting>
  <conditionalFormatting sqref="H36">
    <cfRule type="notContainsBlanks" dxfId="7" priority="2">
      <formula>LEN(TRIM(H36))&gt;0</formula>
    </cfRule>
  </conditionalFormatting>
  <conditionalFormatting sqref="I13:I19 I23:I29 J36:J38">
    <cfRule type="notContainsBlanks" dxfId="6" priority="1">
      <formula>LEN(TRIM(I13))&gt;0</formula>
    </cfRule>
  </conditionalFormatting>
  <pageMargins left="0.7" right="0.5" top="0.5" bottom="0.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rgb="FF0070C0"/>
  </sheetPr>
  <dimension ref="A1:J52"/>
  <sheetViews>
    <sheetView workbookViewId="0">
      <selection activeCell="C47" sqref="C47"/>
    </sheetView>
  </sheetViews>
  <sheetFormatPr baseColWidth="10" defaultColWidth="9.1640625" defaultRowHeight="15" x14ac:dyDescent="0.2"/>
  <cols>
    <col min="1" max="1" width="14" style="2" customWidth="1"/>
    <col min="2" max="2" width="25.1640625" style="2" bestFit="1" customWidth="1"/>
    <col min="3" max="3" width="9.1640625" style="2" customWidth="1"/>
    <col min="4" max="4" width="12.33203125" style="2" bestFit="1" customWidth="1"/>
    <col min="5" max="7" width="9.6640625" style="2" customWidth="1"/>
    <col min="8" max="8" width="20.33203125" style="2" customWidth="1"/>
    <col min="9" max="9" width="20.6640625" style="2" customWidth="1"/>
    <col min="10" max="10" width="14.5" style="2" customWidth="1"/>
    <col min="11" max="16384" width="9.1640625" style="2"/>
  </cols>
  <sheetData>
    <row r="1" spans="1:9" ht="19" x14ac:dyDescent="0.25">
      <c r="A1" s="63" t="s">
        <v>60</v>
      </c>
      <c r="B1" s="63"/>
      <c r="C1" s="63"/>
      <c r="D1" s="63"/>
      <c r="E1" s="63"/>
      <c r="F1" s="63"/>
      <c r="I1" s="16" t="s">
        <v>59</v>
      </c>
    </row>
    <row r="2" spans="1:9" ht="16" x14ac:dyDescent="0.2">
      <c r="H2" s="16" t="s">
        <v>58</v>
      </c>
      <c r="I2" s="28">
        <v>42370.000011574099</v>
      </c>
    </row>
    <row r="3" spans="1:9" ht="16" x14ac:dyDescent="0.2">
      <c r="A3" s="2" t="s">
        <v>57</v>
      </c>
      <c r="C3" s="18" t="s">
        <v>70</v>
      </c>
      <c r="E3" s="2" t="s">
        <v>56</v>
      </c>
      <c r="F3" s="17">
        <f>YEAR($I$2)</f>
        <v>2016</v>
      </c>
      <c r="H3" s="16" t="s">
        <v>55</v>
      </c>
      <c r="I3" s="28">
        <v>42400.999988425901</v>
      </c>
    </row>
    <row r="4" spans="1:9" x14ac:dyDescent="0.2">
      <c r="A4" s="2" t="s">
        <v>54</v>
      </c>
    </row>
    <row r="6" spans="1:9" x14ac:dyDescent="0.2">
      <c r="A6" s="2" t="s">
        <v>53</v>
      </c>
    </row>
    <row r="7" spans="1:9" x14ac:dyDescent="0.2">
      <c r="A7" s="66"/>
      <c r="B7" s="66" t="s">
        <v>14</v>
      </c>
      <c r="C7" s="66"/>
      <c r="D7" s="66" t="s">
        <v>16</v>
      </c>
      <c r="E7" s="66"/>
      <c r="F7" s="57" t="s">
        <v>33</v>
      </c>
    </row>
    <row r="8" spans="1:9" x14ac:dyDescent="0.2">
      <c r="A8" s="66"/>
      <c r="B8" s="27" t="s">
        <v>52</v>
      </c>
      <c r="C8" s="27" t="s">
        <v>61</v>
      </c>
      <c r="D8" s="27" t="s">
        <v>52</v>
      </c>
      <c r="E8" s="27" t="s">
        <v>61</v>
      </c>
      <c r="F8" s="57"/>
    </row>
    <row r="9" spans="1:9" x14ac:dyDescent="0.2">
      <c r="A9" s="12"/>
      <c r="B9" s="11">
        <f>COUNTIFS(GeneDate,"&gt;="&amp;$I$2,GeneDate,"&lt;="&amp;$I$3,GeneAge,"&lt;15",GeneSex,"Male",GeneMTB,"*tive")</f>
        <v>0</v>
      </c>
      <c r="C9" s="11">
        <f>COUNTIFS(GeneDate,"&gt;="&amp;$I$2,GeneDate,"&lt;="&amp;$I$3,GeneAge,"&gt;=15",GeneSex,"M*",GeneMTB,"*tive")</f>
        <v>0</v>
      </c>
      <c r="D9" s="11">
        <f>COUNTIFS(GeneDate,"&gt;="&amp;$I$2,GeneDate,"&lt;="&amp;$I$3,GeneAge,"&lt;15",GeneSex,"F*",GeneMTB,"*tive")</f>
        <v>0</v>
      </c>
      <c r="E9" s="8">
        <f>COUNTIFS(GeneDate,"&gt;="&amp;$I$2,GeneDate,"&lt;="&amp;$I$3,GeneAge,"&gt;=15",GeneSex,"F*",GeneMTB,"*tive")</f>
        <v>0</v>
      </c>
      <c r="F9" s="8">
        <f>COUNTIFS(GeneDate,"&gt;="&amp;$I$2,GeneDate,"&lt;="&amp;$I$3,GeneMTB,"*tive")</f>
        <v>0</v>
      </c>
      <c r="G9" s="7" t="str">
        <f>IF(SUM(B9:E9)=F9,"","Check Total Vaue &amp; Category")</f>
        <v/>
      </c>
      <c r="H9" s="26"/>
    </row>
    <row r="10" spans="1:9" ht="12" customHeight="1" x14ac:dyDescent="0.2">
      <c r="B10" s="19"/>
      <c r="E10" s="7"/>
      <c r="F10" s="7"/>
      <c r="G10" s="7"/>
    </row>
    <row r="11" spans="1:9" x14ac:dyDescent="0.2">
      <c r="A11" s="2" t="s">
        <v>51</v>
      </c>
      <c r="E11" s="7"/>
      <c r="F11" s="7"/>
      <c r="G11" s="7"/>
    </row>
    <row r="12" spans="1:9" x14ac:dyDescent="0.2">
      <c r="A12" s="12"/>
      <c r="B12" s="12"/>
      <c r="C12" s="27" t="s">
        <v>50</v>
      </c>
      <c r="D12" s="27" t="s">
        <v>49</v>
      </c>
      <c r="E12" s="13" t="s">
        <v>15</v>
      </c>
      <c r="F12" s="13" t="s">
        <v>33</v>
      </c>
      <c r="G12" s="7"/>
    </row>
    <row r="13" spans="1:9" ht="15" customHeight="1" x14ac:dyDescent="0.2">
      <c r="A13" s="58" t="s">
        <v>44</v>
      </c>
      <c r="B13" s="12" t="s">
        <v>43</v>
      </c>
      <c r="C13" s="11">
        <f>COUNTIFS(GeneDate,"&gt;="&amp;$I$2,GeneDate,"&lt;="&amp;$I$3,GeneMicroscope,"Pos*",GenePreviousHistory,"N*",GeneMTB,"*tive")</f>
        <v>0</v>
      </c>
      <c r="D13" s="11">
        <f>COUNTIFS(GeneDate,"&gt;="&amp;$I$2,GeneDate,"&lt;="&amp;$I$3,GeneMicroscope,"Pos*",GenePreviousHistory,"Y*",GeneMTB,"*tive")</f>
        <v>0</v>
      </c>
      <c r="E13" s="8">
        <f>COUNTIFS(GeneDate,"&gt;="&amp;$I$2,GeneDate,"&lt;="&amp;$I$3,GeneMicroscope,"Pos*",GenePreviousHistory,"Un*",GeneMTB,"*tive")</f>
        <v>0</v>
      </c>
      <c r="F13" s="8">
        <f>COUNTIFS(GeneDate,"&gt;="&amp;$I$2,GeneDate,"&lt;="&amp;$I$3,GeneMicroscope,"Pos*",GeneMTB,"*tive")</f>
        <v>0</v>
      </c>
      <c r="G13" s="48" t="str">
        <f>IF($F$9=SUM(F13:F15),"","Error! Possibly there were be Error or Missing information at Microscopy Result")</f>
        <v/>
      </c>
      <c r="H13" s="49"/>
      <c r="I13" s="10" t="str">
        <f t="shared" ref="I13:I19" si="0">IF(SUM(C13:E13)=F13,"","Check Total Vaue &amp; Category")</f>
        <v/>
      </c>
    </row>
    <row r="14" spans="1:9" x14ac:dyDescent="0.2">
      <c r="A14" s="59"/>
      <c r="B14" s="12" t="s">
        <v>42</v>
      </c>
      <c r="C14" s="11">
        <f>COUNTIFS(GeneDate,"&gt;="&amp;$I$2,GeneDate,"&lt;="&amp;$I$3,GeneMicroscope,"Neg*",GenePreviousHistory,"N*",GeneMTB,"*tive")</f>
        <v>0</v>
      </c>
      <c r="D14" s="11">
        <f>COUNTIFS(GeneDate,"&gt;="&amp;$I$2,GeneDate,"&lt;="&amp;$I$3,GeneMicroscope,"Neg*",GenePreviousHistory,"Y*",GeneMTB,"*tive")</f>
        <v>0</v>
      </c>
      <c r="E14" s="8">
        <f>COUNTIFS(GeneDate,"&gt;="&amp;$I$2,GeneDate,"&lt;="&amp;$I$3,GeneMicroscope,"Neg*",GenePreviousHistory,"Un*",GeneMTB,"*tive")</f>
        <v>0</v>
      </c>
      <c r="F14" s="8">
        <f>COUNTIFS(GeneDate,"&gt;="&amp;$I$2,GeneDate,"&lt;="&amp;$I$3,GeneMicroscope,"Neg*",GeneMTB,"*tive")</f>
        <v>0</v>
      </c>
      <c r="G14" s="48"/>
      <c r="H14" s="49"/>
      <c r="I14" s="10" t="str">
        <f t="shared" si="0"/>
        <v/>
      </c>
    </row>
    <row r="15" spans="1:9" x14ac:dyDescent="0.2">
      <c r="A15" s="60"/>
      <c r="B15" s="12" t="s">
        <v>41</v>
      </c>
      <c r="C15" s="11">
        <f>COUNTIFS(GeneDate,"&gt;="&amp;$I$2,GeneDate,"&lt;="&amp;$I$3,GeneMicroscope,"Not*",GenePreviousHistory,"N*",GeneMTB,"*tive")</f>
        <v>0</v>
      </c>
      <c r="D15" s="11">
        <f>COUNTIFS(GeneDate,"&gt;="&amp;$I$2,GeneDate,"&lt;="&amp;$I$3,GeneMicroscope,"Not*",GenePreviousHistory,"Y*",GeneMTB,"*tive")</f>
        <v>0</v>
      </c>
      <c r="E15" s="8">
        <f>COUNTIFS(GeneDate,"&gt;="&amp;$I$2,GeneDate,"&lt;="&amp;$I$3,GeneMicroscope,"Not*",GenePreviousHistory,"Un*",GeneMTB,"*tive")</f>
        <v>0</v>
      </c>
      <c r="F15" s="8">
        <f>COUNTIFS(GeneDate,"&gt;="&amp;$I$2,GeneDate,"&lt;="&amp;$I$3,GeneMicroscope,"Not*",GeneMTB,"*tive")</f>
        <v>0</v>
      </c>
      <c r="G15" s="48"/>
      <c r="H15" s="49"/>
      <c r="I15" s="10" t="str">
        <f t="shared" si="0"/>
        <v/>
      </c>
    </row>
    <row r="16" spans="1:9" x14ac:dyDescent="0.2">
      <c r="A16" s="57" t="s">
        <v>40</v>
      </c>
      <c r="B16" s="12" t="s">
        <v>13</v>
      </c>
      <c r="C16" s="11">
        <f>COUNTIFS(GeneDate,"&gt;="&amp;$I$2,GeneDate,"&lt;="&amp;$I$3,GenePreviousHistory,"N*",GeneMTB,"Neg*")</f>
        <v>0</v>
      </c>
      <c r="D16" s="11">
        <f>COUNTIFS(GeneDate,"&gt;="&amp;$I$2,GeneDate,"&lt;="&amp;$I$3,GenePreviousHistory,"Y*",GeneMTB,"Neg*")</f>
        <v>0</v>
      </c>
      <c r="E16" s="8">
        <f>F16-(C16+D16)</f>
        <v>0</v>
      </c>
      <c r="F16" s="8">
        <f>COUNTIFS(GeneDate,"&gt;="&amp;$I$2,GeneDate,"&lt;="&amp;$I$3,GeneMTB,"Neg*")</f>
        <v>0</v>
      </c>
      <c r="G16" s="48" t="str">
        <f>IF($F$9=SUM(F16:F19),"","Error! Cross information between Xpert result and treatment category are not match; possibly there will be Erorr or missing information on MTB result OR RIF result")</f>
        <v/>
      </c>
      <c r="H16" s="49"/>
      <c r="I16" s="10" t="str">
        <f t="shared" si="0"/>
        <v/>
      </c>
    </row>
    <row r="17" spans="1:9" x14ac:dyDescent="0.2">
      <c r="A17" s="57"/>
      <c r="B17" s="12" t="s">
        <v>39</v>
      </c>
      <c r="C17" s="11">
        <f>COUNTIFS(GeneDate,"&gt;="&amp;$I$2,GeneDate,"&lt;="&amp;$I$3,GenePreviousHistory,"N*",GeneMTB,"Pos*",GeneRif,"Neg*")</f>
        <v>0</v>
      </c>
      <c r="D17" s="11">
        <f>COUNTIFS(GeneDate,"&gt;="&amp;$I$2,GeneDate,"&lt;="&amp;$I$3,GenePreviousHistory,"Y*",GeneMTB,"Pos*",GeneRif,"Neg*")</f>
        <v>0</v>
      </c>
      <c r="E17" s="8">
        <f>F17-(C17+D17)</f>
        <v>0</v>
      </c>
      <c r="F17" s="8">
        <f>COUNTIFS(GeneDate,"&gt;="&amp;$I$2,GeneDate,"&lt;="&amp;$I$3,GeneMTB,"Pos*",GeneRif,"Neg*")</f>
        <v>0</v>
      </c>
      <c r="G17" s="48"/>
      <c r="H17" s="49"/>
      <c r="I17" s="10" t="str">
        <f t="shared" si="0"/>
        <v/>
      </c>
    </row>
    <row r="18" spans="1:9" x14ac:dyDescent="0.2">
      <c r="A18" s="57"/>
      <c r="B18" s="12" t="s">
        <v>38</v>
      </c>
      <c r="C18" s="11">
        <f>COUNTIFS(GeneDate,"&gt;="&amp;$I$2,GeneDate,"&lt;="&amp;$I$3,GenePreviousHistory,"N*",GeneMTB,"Pos*",GeneRif,"Pos*")</f>
        <v>0</v>
      </c>
      <c r="D18" s="11">
        <f>COUNTIFS(GeneDate,"&gt;="&amp;$I$2,GeneDate,"&lt;="&amp;$I$3,GenePreviousHistory,"Y*",GeneMTB,"Pos*",GeneRif,"Pos*")</f>
        <v>0</v>
      </c>
      <c r="E18" s="8">
        <f>F18-(C18+D18)</f>
        <v>0</v>
      </c>
      <c r="F18" s="8">
        <f>COUNTIFS(GeneDate,"&gt;="&amp;$I$2,GeneDate,"&lt;="&amp;$I$3,GeneMTB,"Pos*",GeneRif,"Pos*")</f>
        <v>0</v>
      </c>
      <c r="G18" s="48"/>
      <c r="H18" s="49"/>
      <c r="I18" s="10" t="str">
        <f t="shared" si="0"/>
        <v/>
      </c>
    </row>
    <row r="19" spans="1:9" x14ac:dyDescent="0.2">
      <c r="A19" s="57"/>
      <c r="B19" s="12" t="s">
        <v>48</v>
      </c>
      <c r="C19" s="11">
        <f>COUNTIFS(GeneDate,"&gt;="&amp;$I$2,GeneDate,"&lt;="&amp;$I$3,GenePreviousHistory,"N*",GeneMTB,"Pos*",GeneRif,"IND*")</f>
        <v>0</v>
      </c>
      <c r="D19" s="11">
        <f>COUNTIFS(GeneDate,"&gt;="&amp;$I$2,GeneDate,"&lt;="&amp;$I$3,GenePreviousHistory,"Y*",GeneMTB,"Pos*",GeneRif,"IND*")</f>
        <v>0</v>
      </c>
      <c r="E19" s="8">
        <f>F19-(C19+D19)</f>
        <v>0</v>
      </c>
      <c r="F19" s="8">
        <f>COUNTIFS(GeneDate,"&gt;="&amp;$I$2,GeneDate,"&lt;="&amp;$I$3,GeneMTB,"Pos*",GeneRif,"IND*")</f>
        <v>0</v>
      </c>
      <c r="G19" s="48"/>
      <c r="H19" s="49"/>
      <c r="I19" s="10" t="str">
        <f t="shared" si="0"/>
        <v/>
      </c>
    </row>
    <row r="20" spans="1:9" ht="12" customHeight="1" x14ac:dyDescent="0.2">
      <c r="E20" s="7"/>
      <c r="F20" s="7"/>
      <c r="G20" s="7"/>
    </row>
    <row r="21" spans="1:9" x14ac:dyDescent="0.2">
      <c r="A21" s="2" t="s">
        <v>47</v>
      </c>
      <c r="E21" s="7"/>
      <c r="F21" s="7"/>
      <c r="G21" s="7"/>
    </row>
    <row r="22" spans="1:9" ht="30" x14ac:dyDescent="0.2">
      <c r="A22" s="12"/>
      <c r="B22" s="12"/>
      <c r="C22" s="14" t="s">
        <v>46</v>
      </c>
      <c r="D22" s="14" t="s">
        <v>45</v>
      </c>
      <c r="E22" s="13" t="s">
        <v>15</v>
      </c>
      <c r="F22" s="13" t="s">
        <v>33</v>
      </c>
      <c r="G22" s="7"/>
    </row>
    <row r="23" spans="1:9" ht="15" customHeight="1" x14ac:dyDescent="0.2">
      <c r="A23" s="58" t="s">
        <v>44</v>
      </c>
      <c r="B23" s="12" t="s">
        <v>43</v>
      </c>
      <c r="C23" s="11">
        <f>COUNTIFS(GeneDate,"&gt;="&amp;$I$2,GeneDate,"&lt;="&amp;$I$3,GeneMicroscope,"Pos*",GeneHIV,"Pos*",GeneMTB,"*tive")</f>
        <v>0</v>
      </c>
      <c r="D23" s="11">
        <f>COUNTIFS(GeneDate,"&gt;="&amp;$I$2,GeneDate,"&lt;="&amp;$I$3,GeneMicroscope,"Pos*",GeneHIV,"Neg*",GeneMTB,"*tive")</f>
        <v>0</v>
      </c>
      <c r="E23" s="8">
        <f>COUNTIFS(GeneDate,"&gt;="&amp;$I$2,GeneDate,"&lt;="&amp;$I$3,GeneMicroscope,"Pos*",GeneHIV,"Un*",GeneMTB,"*tive")</f>
        <v>0</v>
      </c>
      <c r="F23" s="8">
        <f>COUNTIFS(GeneDate,"&gt;="&amp;$I$2,GeneDate,"&lt;="&amp;$I$3,GeneMicroscope,"Pos*",GeneMTB,"*tive")</f>
        <v>0</v>
      </c>
      <c r="G23" s="48" t="str">
        <f>IF($F$9=SUM(F23:F25),"","Error! Cross information between Microscope Result and HIV Status are not match; possibly there will be Erorr or missing information on Microscope Result OR HIV Status")</f>
        <v/>
      </c>
      <c r="H23" s="49"/>
      <c r="I23" s="10" t="str">
        <f t="shared" ref="I23:I29" si="1">IF(SUM(C23:E23)=F23,"","Check Total Vaue &amp; Category")</f>
        <v/>
      </c>
    </row>
    <row r="24" spans="1:9" x14ac:dyDescent="0.2">
      <c r="A24" s="59"/>
      <c r="B24" s="12" t="s">
        <v>42</v>
      </c>
      <c r="C24" s="11">
        <f>COUNTIFS(GeneDate,"&gt;="&amp;$I$2,GeneDate,"&lt;="&amp;$I$3,GeneMicroscope,"Neg*",GeneHIV,"Pos*",GeneMTB,"*tive")</f>
        <v>0</v>
      </c>
      <c r="D24" s="11">
        <f>COUNTIFS(GeneDate,"&gt;="&amp;$I$2,GeneDate,"&lt;="&amp;$I$3,GeneMicroscope,"Neg*",GeneHIV,"Neg*",GeneMTB,"*tive")</f>
        <v>0</v>
      </c>
      <c r="E24" s="8">
        <f>COUNTIFS(GeneDate,"&gt;="&amp;$I$2,GeneDate,"&lt;="&amp;$I$3,GeneMicroscope,"Neg*",GeneHIV,"Un*",GeneMTB,"*tive")</f>
        <v>0</v>
      </c>
      <c r="F24" s="8">
        <f>COUNTIFS(GeneDate,"&gt;="&amp;$I$2,GeneDate,"&lt;="&amp;$I$3,GeneMicroscope,"Neg*",GeneMTB,"*tive")</f>
        <v>0</v>
      </c>
      <c r="G24" s="48"/>
      <c r="H24" s="49"/>
      <c r="I24" s="10" t="str">
        <f t="shared" si="1"/>
        <v/>
      </c>
    </row>
    <row r="25" spans="1:9" x14ac:dyDescent="0.2">
      <c r="A25" s="60"/>
      <c r="B25" s="12" t="s">
        <v>41</v>
      </c>
      <c r="C25" s="11">
        <f>COUNTIFS(GeneDate,"&gt;="&amp;$I$2,GeneDate,"&lt;="&amp;$I$3,GeneMicroscope,"Not*",GeneHIV,"Pos*",GeneMTB,"*tive")</f>
        <v>0</v>
      </c>
      <c r="D25" s="11">
        <f>COUNTIFS(GeneDate,"&gt;="&amp;$I$2,GeneDate,"&lt;="&amp;$I$3,GeneMicroscope,"Not*",GeneHIV,"Neg*",GeneMTB,"*tive")</f>
        <v>0</v>
      </c>
      <c r="E25" s="8">
        <f>COUNTIFS(GeneDate,"&gt;="&amp;$I$2,GeneDate,"&lt;="&amp;$I$3,GeneMicroscope,"Not*",GeneHIV,"Un*",GeneMTB,"*tive")</f>
        <v>0</v>
      </c>
      <c r="F25" s="8">
        <f>COUNTIFS(GeneDate,"&gt;="&amp;$I$2,GeneDate,"&lt;="&amp;$I$3,GeneMicroscope,"Not*",GeneMTB,"*tive")</f>
        <v>0</v>
      </c>
      <c r="G25" s="48"/>
      <c r="H25" s="49"/>
      <c r="I25" s="10" t="str">
        <f t="shared" si="1"/>
        <v/>
      </c>
    </row>
    <row r="26" spans="1:9" x14ac:dyDescent="0.2">
      <c r="A26" s="57" t="s">
        <v>40</v>
      </c>
      <c r="B26" s="12" t="s">
        <v>13</v>
      </c>
      <c r="C26" s="11">
        <f>COUNTIFS(GeneDate,"&gt;="&amp;$I$2,GeneDate,"&lt;="&amp;$I$3,GeneHIV,"Pos*",GeneMTB,"Neg*")</f>
        <v>0</v>
      </c>
      <c r="D26" s="11">
        <f>COUNTIFS(GeneDate,"&gt;="&amp;$I$2,GeneDate,"&lt;="&amp;$I$3,GeneHIV,"Neg*",GeneMTB,"Neg*")</f>
        <v>0</v>
      </c>
      <c r="E26" s="8">
        <f>COUNTIFS(GeneDate,"&gt;="&amp;$I$2,GeneDate,"&lt;="&amp;$I$3,GeneHIV,"Un*",GeneMTB,"Neg*")</f>
        <v>0</v>
      </c>
      <c r="F26" s="8">
        <f>COUNTIFS(GeneDate,"&gt;="&amp;$I$2,GeneDate,"&lt;="&amp;$I$3,GeneMTB,"*tive",GeneMTB,"Neg*")</f>
        <v>0</v>
      </c>
      <c r="G26" s="48" t="str">
        <f>IF($F$9=SUM(F26:F29),"","Error! Cross information between Xpert result and HIV Status are not match; possibly there will be Erorr or missing information on MTB result OR HIV Status")</f>
        <v/>
      </c>
      <c r="H26" s="49"/>
      <c r="I26" s="10" t="str">
        <f t="shared" si="1"/>
        <v/>
      </c>
    </row>
    <row r="27" spans="1:9" x14ac:dyDescent="0.2">
      <c r="A27" s="57"/>
      <c r="B27" s="12" t="s">
        <v>39</v>
      </c>
      <c r="C27" s="11">
        <f>COUNTIFS(GeneDate,"&gt;="&amp;$I$2,GeneDate,"&lt;="&amp;$I$3,GeneHIV,"Pos*",GeneMTB,"Pos*",GeneRif,"Neg*")</f>
        <v>0</v>
      </c>
      <c r="D27" s="11">
        <f>COUNTIFS(GeneDate,"&gt;="&amp;$I$2,GeneDate,"&lt;="&amp;$I$3,GeneHIV,"Neg*",GeneMTB,"Pos*",GeneRif,"Neg*")</f>
        <v>0</v>
      </c>
      <c r="E27" s="8">
        <f>COUNTIFS(GeneDate,"&gt;="&amp;$I$2,GeneDate,"&lt;="&amp;$I$3,GeneHIV,"Un*",GeneMTB,"Pos*",GeneRif,"Neg*")</f>
        <v>0</v>
      </c>
      <c r="F27" s="8">
        <f>COUNTIFS(GeneDate,"&gt;="&amp;$I$2,GeneDate,"&lt;="&amp;$I$3,GeneMTB,"Pos*",GeneRif,"Neg*")</f>
        <v>0</v>
      </c>
      <c r="G27" s="48"/>
      <c r="H27" s="49"/>
      <c r="I27" s="10" t="str">
        <f t="shared" si="1"/>
        <v/>
      </c>
    </row>
    <row r="28" spans="1:9" x14ac:dyDescent="0.2">
      <c r="A28" s="57"/>
      <c r="B28" s="12" t="s">
        <v>38</v>
      </c>
      <c r="C28" s="11">
        <f>COUNTIFS(GeneDate,"&gt;="&amp;$I$2,GeneDate,"&lt;="&amp;$I$3,GeneHIV,"Pos*",GeneMTB,"Pos*",GeneRif,"Pos*")</f>
        <v>0</v>
      </c>
      <c r="D28" s="11">
        <f>COUNTIFS(GeneDate,"&gt;="&amp;$I$2,GeneDate,"&lt;="&amp;$I$3,GeneHIV,"Neg*",GeneMTB,"Pos*",GeneRif,"Pos*")</f>
        <v>0</v>
      </c>
      <c r="E28" s="8">
        <f>COUNTIFS(GeneDate,"&gt;="&amp;$I$2,GeneDate,"&lt;="&amp;$I$3,GeneHIV,"Un*",GeneMTB,"Pos*",GeneRif,"Pos*")</f>
        <v>0</v>
      </c>
      <c r="F28" s="8">
        <f>COUNTIFS(GeneDate,"&gt;="&amp;$I$2,GeneDate,"&lt;="&amp;$I$3,GeneMTB,"Pos*",GeneRif,"Pos*")</f>
        <v>0</v>
      </c>
      <c r="G28" s="48"/>
      <c r="H28" s="49"/>
      <c r="I28" s="10" t="str">
        <f t="shared" si="1"/>
        <v/>
      </c>
    </row>
    <row r="29" spans="1:9" x14ac:dyDescent="0.2">
      <c r="A29" s="57"/>
      <c r="B29" s="12" t="s">
        <v>37</v>
      </c>
      <c r="C29" s="11">
        <f>COUNTIFS(GeneDate,"&gt;="&amp;$I$2,GeneDate,"&lt;="&amp;$I$3,GeneHIV,"Pos*",GeneMTB,"Pos*",GeneRif,"IND*")</f>
        <v>0</v>
      </c>
      <c r="D29" s="11">
        <f>COUNTIFS(GeneDate,"&gt;="&amp;$I$2,GeneDate,"&lt;="&amp;$I$3,GeneHIV,"Neg*",GeneMTB,"Pos*",GeneRif,"IND*")</f>
        <v>0</v>
      </c>
      <c r="E29" s="8">
        <f>COUNTIFS(GeneDate,"&gt;="&amp;$I$2,GeneDate,"&lt;="&amp;$I$3,GeneHIV,"Un*",GeneMTB,"Pos*",GeneRif,"IND*")</f>
        <v>0</v>
      </c>
      <c r="F29" s="8">
        <f>COUNTIFS(GeneDate,"&gt;="&amp;$I$2,GeneDate,"&lt;="&amp;$I$3,GeneMTB,"Pos*",GeneRif,"IND*")</f>
        <v>0</v>
      </c>
      <c r="G29" s="48"/>
      <c r="H29" s="49"/>
      <c r="I29" s="10" t="str">
        <f t="shared" si="1"/>
        <v/>
      </c>
    </row>
    <row r="30" spans="1:9" ht="12" customHeight="1" x14ac:dyDescent="0.2">
      <c r="E30" s="7"/>
      <c r="F30" s="7"/>
      <c r="G30" s="7"/>
    </row>
    <row r="31" spans="1:9" x14ac:dyDescent="0.2">
      <c r="A31" s="4"/>
      <c r="B31" s="25"/>
      <c r="C31" s="61" t="s">
        <v>14</v>
      </c>
      <c r="D31" s="62"/>
      <c r="E31" s="61" t="s">
        <v>16</v>
      </c>
      <c r="F31" s="62"/>
      <c r="G31" s="9" t="s">
        <v>33</v>
      </c>
    </row>
    <row r="32" spans="1:9" x14ac:dyDescent="0.2">
      <c r="A32" s="24" t="s">
        <v>62</v>
      </c>
      <c r="B32" s="24"/>
      <c r="C32" s="61">
        <f>COUNTIFS(GeneDate,"&gt;="&amp;$I$2,GeneDate,"&lt;="&amp;$I$3,GeneMTB,"Pos*",GeneRif,"Pos*",GeneSex,"Male")</f>
        <v>0</v>
      </c>
      <c r="D32" s="62"/>
      <c r="E32" s="64">
        <f>COUNTIFS(GeneDate,"&gt;="&amp;$I$2,GeneDate,"&lt;="&amp;$I$3,GeneMTB,"Pos*",GeneRif,"Pos*",GeneSex,"Female")</f>
        <v>0</v>
      </c>
      <c r="F32" s="65"/>
      <c r="G32" s="8">
        <f>COUNTIFS(GeneDate,"&gt;="&amp;$I$2,GeneDate,"&lt;="&amp;$I$3,GeneMTB,"Pos*",GeneRif,"Pos*")</f>
        <v>0</v>
      </c>
    </row>
    <row r="33" spans="1:10" ht="12" customHeight="1" x14ac:dyDescent="0.2">
      <c r="E33" s="7"/>
      <c r="F33" s="7"/>
      <c r="G33" s="7"/>
    </row>
    <row r="34" spans="1:10" x14ac:dyDescent="0.2">
      <c r="A34" s="2" t="s">
        <v>36</v>
      </c>
      <c r="E34" s="7"/>
      <c r="F34" s="7"/>
      <c r="G34" s="7"/>
    </row>
    <row r="35" spans="1:10" x14ac:dyDescent="0.2">
      <c r="A35" s="61"/>
      <c r="B35" s="62"/>
      <c r="C35" s="61" t="s">
        <v>35</v>
      </c>
      <c r="D35" s="62"/>
      <c r="E35" s="64" t="s">
        <v>34</v>
      </c>
      <c r="F35" s="65"/>
      <c r="G35" s="9" t="s">
        <v>33</v>
      </c>
    </row>
    <row r="36" spans="1:10" x14ac:dyDescent="0.2">
      <c r="A36" s="50" t="s">
        <v>32</v>
      </c>
      <c r="B36" s="50"/>
      <c r="C36" s="51">
        <f>COUNTIFS(GeneDate,"&gt;="&amp;$I$2,GeneDate,"&lt;="&amp;$I$3,GeneMTB,"Pos*",GeneMicroscope,"Pos*")</f>
        <v>0</v>
      </c>
      <c r="D36" s="52"/>
      <c r="E36" s="53">
        <f>COUNTIFS(GeneDate,"&gt;="&amp;$I$2,GeneDate,"&lt;="&amp;$I$3,GeneMTB,"Neg*",GeneMicroscope,"Pos*")</f>
        <v>0</v>
      </c>
      <c r="F36" s="54"/>
      <c r="G36" s="8">
        <f>COUNTIFS(GeneDate,"&gt;="&amp;$I$2,GeneDate,"&lt;="&amp;$I$3,GeneMicroscope,"Pos*",GeneMTB,"*tive")</f>
        <v>0</v>
      </c>
      <c r="H36" s="55" t="str">
        <f>IF($F$9=SUM(G36:G38),"","Error! Cross information between Xpert result and Microscope result are not match; possibly there will be Erorr or missing information on MTB result OR Microscope result")</f>
        <v/>
      </c>
      <c r="I36" s="56"/>
      <c r="J36" s="2" t="str">
        <f>IF(SUM(C36:F36)=G36,"","Check Total Vaue &amp; Category")</f>
        <v/>
      </c>
    </row>
    <row r="37" spans="1:10" x14ac:dyDescent="0.2">
      <c r="A37" s="50" t="s">
        <v>31</v>
      </c>
      <c r="B37" s="50"/>
      <c r="C37" s="51">
        <f>COUNTIFS(GeneDate,"&gt;="&amp;$I$2,GeneDate,"&lt;="&amp;$I$3,GeneMTB,"Pos*",GeneMicroscope,"Neg*")</f>
        <v>0</v>
      </c>
      <c r="D37" s="52"/>
      <c r="E37" s="53">
        <f>COUNTIFS(GeneDate,"&gt;="&amp;$I$2,GeneDate,"&lt;="&amp;$I$3,GeneMTB,"Neg*",GeneMicroscope,"Neg*")</f>
        <v>0</v>
      </c>
      <c r="F37" s="54"/>
      <c r="G37" s="8">
        <f>COUNTIFS(GeneDate,"&gt;="&amp;$I$2,GeneDate,"&lt;="&amp;$I$3,GeneMicroscope,"Neg*",GeneMTB,"*tive")</f>
        <v>0</v>
      </c>
      <c r="H37" s="55"/>
      <c r="I37" s="56"/>
      <c r="J37" s="2" t="str">
        <f>IF(SUM(C37:F37)=G37,"","Check Total Vaue &amp; Category")</f>
        <v/>
      </c>
    </row>
    <row r="38" spans="1:10" x14ac:dyDescent="0.2">
      <c r="A38" s="50" t="s">
        <v>30</v>
      </c>
      <c r="B38" s="50"/>
      <c r="C38" s="51">
        <f>COUNTIFS(GeneDate,"&gt;="&amp;$I$2,GeneDate,"&lt;="&amp;$I$3,GeneMTB,"Pos*",GeneMicroscope,"Not*")</f>
        <v>0</v>
      </c>
      <c r="D38" s="52"/>
      <c r="E38" s="53">
        <f>COUNTIFS(GeneDate,"&gt;="&amp;$I$2,GeneDate,"&lt;="&amp;$I$3,GeneMTB,"Neg*",GeneMicroscope,"Not*")</f>
        <v>0</v>
      </c>
      <c r="F38" s="54"/>
      <c r="G38" s="8">
        <f>COUNTIFS(GeneDate,"&gt;="&amp;$I$2,GeneDate,"&lt;="&amp;$I$3,GeneMTB,"*tive",GeneMicroscope,"Not*")</f>
        <v>0</v>
      </c>
      <c r="H38" s="55"/>
      <c r="I38" s="56"/>
      <c r="J38" s="2" t="str">
        <f>IF(SUM(C38:F38)=G38,"","Check Total Vaue &amp; Category")</f>
        <v/>
      </c>
    </row>
    <row r="39" spans="1:10" ht="12" customHeight="1" x14ac:dyDescent="0.2">
      <c r="D39" s="2" t="str">
        <f>IF(SUM(C36:D38)=SUM(F27:F29),"","Error")</f>
        <v/>
      </c>
      <c r="E39" s="7"/>
      <c r="F39" s="7"/>
      <c r="G39" s="7"/>
    </row>
    <row r="40" spans="1:10" x14ac:dyDescent="0.2">
      <c r="A40" s="2" t="s">
        <v>29</v>
      </c>
    </row>
    <row r="41" spans="1:10" x14ac:dyDescent="0.2">
      <c r="A41" s="66"/>
      <c r="B41" s="66"/>
      <c r="C41" s="61" t="s">
        <v>28</v>
      </c>
      <c r="D41" s="62"/>
      <c r="E41" s="66" t="s">
        <v>27</v>
      </c>
      <c r="F41" s="66"/>
    </row>
    <row r="42" spans="1:10" x14ac:dyDescent="0.2">
      <c r="A42" s="50" t="s">
        <v>26</v>
      </c>
      <c r="B42" s="50"/>
      <c r="C42" s="51"/>
      <c r="D42" s="52"/>
      <c r="E42" s="67"/>
      <c r="F42" s="67"/>
    </row>
    <row r="43" spans="1:10" x14ac:dyDescent="0.2">
      <c r="A43" s="50" t="s">
        <v>25</v>
      </c>
      <c r="B43" s="50"/>
      <c r="C43" s="51"/>
      <c r="D43" s="52"/>
      <c r="E43" s="67" t="s">
        <v>24</v>
      </c>
      <c r="F43" s="67"/>
    </row>
    <row r="44" spans="1:10" x14ac:dyDescent="0.2">
      <c r="A44" s="50" t="s">
        <v>23</v>
      </c>
      <c r="B44" s="50"/>
      <c r="C44" s="68">
        <f>C46+F9+C47</f>
        <v>0</v>
      </c>
      <c r="D44" s="69"/>
      <c r="E44" s="67"/>
      <c r="F44" s="67"/>
      <c r="G44" s="6"/>
    </row>
    <row r="45" spans="1:10" x14ac:dyDescent="0.2">
      <c r="A45" s="50" t="s">
        <v>22</v>
      </c>
      <c r="B45" s="50"/>
      <c r="C45" s="68">
        <f>SUM(C42+C43)-C44</f>
        <v>0</v>
      </c>
      <c r="D45" s="69"/>
      <c r="E45" s="67"/>
      <c r="F45" s="67"/>
    </row>
    <row r="46" spans="1:10" x14ac:dyDescent="0.2">
      <c r="A46" s="5" t="s">
        <v>21</v>
      </c>
      <c r="B46" s="5"/>
      <c r="C46" s="23">
        <f>COUNTIFS(GeneDate,"&gt;="&amp;$I$2,GeneDate,"&lt;="&amp;$I$3,GeneMTB,"Error")+COUNTIFS(GeneDate,"&gt;="&amp;$I$2,GeneDate,"&lt;="&amp;$I$3,GeneMTB,"Invalid")+COUNTIFS(GeneDate,"&gt;="&amp;$I$2,GeneDate,"&lt;="&amp;$I$3,GeneMTB,"*Result*")</f>
        <v>0</v>
      </c>
    </row>
    <row r="47" spans="1:10" x14ac:dyDescent="0.2">
      <c r="A47" s="5" t="s">
        <v>63</v>
      </c>
      <c r="C47" s="29">
        <f>SUM('Jan16'!C47,'Feb16'!C47,'Mar16'!C47,'Apr16'!C47,'May16'!C47,'Jun16'!C47,'Jul16'!C47,'Aug16'!C47,'Sep16'!C47,'Oct16'!C47,'Nov16'!C47,'Dec16'!C47)</f>
        <v>0</v>
      </c>
    </row>
    <row r="49" spans="5:7" x14ac:dyDescent="0.2">
      <c r="E49" s="2" t="s">
        <v>20</v>
      </c>
      <c r="F49" s="4"/>
      <c r="G49" s="4"/>
    </row>
    <row r="50" spans="5:7" x14ac:dyDescent="0.2">
      <c r="E50" s="2" t="s">
        <v>19</v>
      </c>
      <c r="F50" s="3"/>
      <c r="G50" s="3"/>
    </row>
    <row r="51" spans="5:7" x14ac:dyDescent="0.2">
      <c r="E51" s="2" t="s">
        <v>18</v>
      </c>
      <c r="F51" s="3"/>
      <c r="G51" s="3"/>
    </row>
    <row r="52" spans="5:7" x14ac:dyDescent="0.2">
      <c r="E52" s="2" t="s">
        <v>17</v>
      </c>
      <c r="F52" s="3"/>
      <c r="G52" s="3"/>
    </row>
  </sheetData>
  <sheetProtection algorithmName="SHA-512" hashValue="b4aJzR42FB1A6n2MkSlRVWlCCyDADenoQdrsTSGr0bKkLW6IOOO0vUF5TZbYgzdI9tHJq89QvjsBgQyytwmT9Q==" saltValue="Xygq3amIXH4J+G4yeTCEhA==" spinCount="100000" sheet="1" objects="1" scenarios="1"/>
  <protectedRanges>
    <protectedRange sqref="B4" name="Range3"/>
    <protectedRange sqref="I2:I3" name="Range2"/>
    <protectedRange sqref="C42:F43 C45 E44:F45 C47" name="Range1"/>
  </protectedRanges>
  <mergeCells count="45">
    <mergeCell ref="A45:B45"/>
    <mergeCell ref="C45:D45"/>
    <mergeCell ref="E45:F45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6:B36"/>
    <mergeCell ref="C36:D36"/>
    <mergeCell ref="E36:F36"/>
    <mergeCell ref="H36:I38"/>
    <mergeCell ref="A37:B37"/>
    <mergeCell ref="C37:D37"/>
    <mergeCell ref="E37:F37"/>
    <mergeCell ref="A38:B38"/>
    <mergeCell ref="C38:D38"/>
    <mergeCell ref="E38:F38"/>
    <mergeCell ref="C31:D31"/>
    <mergeCell ref="E31:F31"/>
    <mergeCell ref="C32:D32"/>
    <mergeCell ref="E32:F32"/>
    <mergeCell ref="A35:B35"/>
    <mergeCell ref="C35:D35"/>
    <mergeCell ref="E35:F35"/>
    <mergeCell ref="A26:A29"/>
    <mergeCell ref="G26:H29"/>
    <mergeCell ref="A1:F1"/>
    <mergeCell ref="A7:A8"/>
    <mergeCell ref="B7:C7"/>
    <mergeCell ref="D7:E7"/>
    <mergeCell ref="F7:F8"/>
    <mergeCell ref="A13:A15"/>
    <mergeCell ref="G13:H15"/>
    <mergeCell ref="A16:A19"/>
    <mergeCell ref="G16:H19"/>
    <mergeCell ref="A23:A25"/>
    <mergeCell ref="G23:H25"/>
  </mergeCells>
  <conditionalFormatting sqref="G13">
    <cfRule type="notContainsBlanks" dxfId="5" priority="6">
      <formula>LEN(TRIM(G13))&gt;0</formula>
    </cfRule>
  </conditionalFormatting>
  <conditionalFormatting sqref="G16">
    <cfRule type="notContainsBlanks" dxfId="4" priority="5">
      <formula>LEN(TRIM(G16))&gt;0</formula>
    </cfRule>
  </conditionalFormatting>
  <conditionalFormatting sqref="G23">
    <cfRule type="notContainsBlanks" dxfId="3" priority="4">
      <formula>LEN(TRIM(G23))&gt;0</formula>
    </cfRule>
  </conditionalFormatting>
  <conditionalFormatting sqref="G26">
    <cfRule type="notContainsBlanks" dxfId="2" priority="3">
      <formula>LEN(TRIM(G26))&gt;0</formula>
    </cfRule>
  </conditionalFormatting>
  <conditionalFormatting sqref="H36">
    <cfRule type="notContainsBlanks" dxfId="1" priority="2">
      <formula>LEN(TRIM(H36))&gt;0</formula>
    </cfRule>
  </conditionalFormatting>
  <conditionalFormatting sqref="I13:I19 I23:I29 J36:J38">
    <cfRule type="notContainsBlanks" dxfId="0" priority="1">
      <formula>LEN(TRIM(I13))&gt;0</formula>
    </cfRule>
  </conditionalFormatting>
  <pageMargins left="0.7" right="0.5" top="0.5" bottom="0.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Results</vt:lpstr>
      <vt:lpstr>Jan16</vt:lpstr>
      <vt:lpstr>Feb16</vt:lpstr>
      <vt:lpstr>Mar16</vt:lpstr>
      <vt:lpstr>1st Qtr</vt:lpstr>
      <vt:lpstr>Apr16</vt:lpstr>
      <vt:lpstr>May16</vt:lpstr>
      <vt:lpstr>Jun16</vt:lpstr>
      <vt:lpstr>2nd Qtr</vt:lpstr>
      <vt:lpstr>Bi Annual</vt:lpstr>
      <vt:lpstr>Jul16</vt:lpstr>
      <vt:lpstr>Aug16</vt:lpstr>
      <vt:lpstr>Sep16</vt:lpstr>
      <vt:lpstr>3rd Qtr</vt:lpstr>
      <vt:lpstr>Oct16</vt:lpstr>
      <vt:lpstr>Nov16</vt:lpstr>
      <vt:lpstr>Dec16</vt:lpstr>
      <vt:lpstr>4th Qtr</vt:lpstr>
      <vt:lpstr>Annual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2018-05-15T18:30:49Z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