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Proyectos\systemoneid\aspect\api\placeholders\"/>
    </mc:Choice>
  </mc:AlternateContent>
  <bookViews>
    <workbookView xWindow="0" yWindow="0" windowWidth="19200" windowHeight="6470" tabRatio="815"/>
  </bookViews>
  <sheets>
    <sheet name="Errors by Device" sheetId="1" r:id="rId1"/>
    <sheet name="Error Codes by Device" sheetId="2" r:id="rId2"/>
    <sheet name="Error Codes" sheetId="3" r:id="rId3"/>
  </sheets>
  <calcPr calcId="162913" fullPrecision="0" calcOnSave="0" concurrentCalc="0"/>
</workbook>
</file>

<file path=xl/calcChain.xml><?xml version="1.0" encoding="utf-8"?>
<calcChain xmlns="http://schemas.openxmlformats.org/spreadsheetml/2006/main">
  <c r="K29" i="1" l="1"/>
  <c r="K27" i="1"/>
  <c r="K26" i="1"/>
  <c r="K25" i="1"/>
  <c r="K24" i="1"/>
  <c r="K23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B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</calcChain>
</file>

<file path=xl/sharedStrings.xml><?xml version="1.0" encoding="utf-8"?>
<sst xmlns="http://schemas.openxmlformats.org/spreadsheetml/2006/main" count="215" uniqueCount="121">
  <si>
    <t>MTB-</t>
  </si>
  <si>
    <t>MTB+ Rif-</t>
  </si>
  <si>
    <t>MTB+ Rif+</t>
  </si>
  <si>
    <t>Invalid</t>
  </si>
  <si>
    <t>Errors</t>
  </si>
  <si>
    <t>&lt;MtbNegative&gt;</t>
  </si>
  <si>
    <t>&lt;MtbPositiveRifNegative&gt;</t>
  </si>
  <si>
    <t>&lt;MtbPositiveRifIndeterminate&gt;</t>
  </si>
  <si>
    <t>&lt;MtbPositiveRifPositive&gt;</t>
  </si>
  <si>
    <t>Last Upload</t>
  </si>
  <si>
    <t>MTB+ Rif?</t>
  </si>
  <si>
    <t>Error Percentage</t>
  </si>
  <si>
    <t>Other Error</t>
  </si>
  <si>
    <t>Invalid Results</t>
  </si>
  <si>
    <t>Total errors, invalid results, no results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</si>
  <si>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</si>
  <si>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</si>
  <si>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</si>
  <si>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</si>
  <si>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</si>
  <si>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</si>
  <si>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</si>
  <si>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</si>
  <si>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</si>
  <si>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</si>
  <si>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</si>
  <si>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</si>
  <si>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</si>
  <si>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</si>
  <si>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</si>
  <si>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</si>
  <si>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</si>
  <si>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</si>
  <si>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</si>
  <si>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</si>
  <si>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</si>
  <si>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</si>
  <si>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</si>
  <si>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</si>
  <si>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</si>
  <si>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</si>
  <si>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</si>
  <si>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</si>
  <si>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</si>
  <si>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</si>
  <si>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</si>
  <si>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</si>
  <si>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</si>
  <si>
    <t>Errors by Device</t>
  </si>
  <si>
    <t>Error Codes by Device</t>
  </si>
  <si>
    <t>Type of error</t>
  </si>
  <si>
    <t>Total Tests Run During Period</t>
  </si>
  <si>
    <t>Serial</t>
  </si>
  <si>
    <t>Date Range: -</t>
  </si>
  <si>
    <t>States: Balochistan, FATA, Gilgit–Baltistan, Islamabad Capital Territory, Khyber Pakhtunkhwa, Punjab, Sindh</t>
  </si>
  <si>
    <t>Deployment 1908</t>
  </si>
  <si>
    <t>Deployment 1907</t>
  </si>
  <si>
    <t>Deployment 1900</t>
  </si>
  <si>
    <t>Deployment 1899</t>
  </si>
  <si>
    <t>Deployment 1897</t>
  </si>
  <si>
    <t>Deployment 1896</t>
  </si>
  <si>
    <t>Deployment 1895</t>
  </si>
  <si>
    <t>Deployment 1894</t>
  </si>
  <si>
    <t>Deployment 1893</t>
  </si>
  <si>
    <t>Deployment 1892</t>
  </si>
  <si>
    <t>Deployment 1891</t>
  </si>
  <si>
    <t>Deployment 1890</t>
  </si>
  <si>
    <t>Deployment 1889</t>
  </si>
  <si>
    <t>Deployment 1882</t>
  </si>
  <si>
    <t>Deployment 1879</t>
  </si>
  <si>
    <t>Deployment 1875</t>
  </si>
  <si>
    <t>Deployment 1873</t>
  </si>
  <si>
    <t>Deployment 1871</t>
  </si>
  <si>
    <t>Deployment 1870</t>
  </si>
  <si>
    <t>Deployment 1869</t>
  </si>
  <si>
    <t>Deployment 1867</t>
  </si>
  <si>
    <t>Deployment 1865</t>
  </si>
  <si>
    <t>Deployment 1864</t>
  </si>
  <si>
    <t>Deployment 1862</t>
  </si>
  <si>
    <t>Deployment 1861</t>
  </si>
  <si>
    <t>Deployment 1858</t>
  </si>
  <si>
    <t>Deployment 1857</t>
  </si>
  <si>
    <t>Deployment 1856</t>
  </si>
  <si>
    <t>Deployment 1855</t>
  </si>
  <si>
    <t>Deployment 1587</t>
  </si>
  <si>
    <t>Subtotal for devices not assigned to a state</t>
  </si>
  <si>
    <t>Total</t>
  </si>
  <si>
    <t>Dates: -</t>
  </si>
  <si>
    <t>Wooster MicroLab</t>
  </si>
  <si>
    <t>DevSerial-263</t>
  </si>
  <si>
    <t>Wooster Hospital</t>
  </si>
  <si>
    <t>DevSerial-989</t>
  </si>
  <si>
    <t>systemonetest</t>
  </si>
  <si>
    <t>WINDOWS-7-VM</t>
  </si>
  <si>
    <t>Stefan Troubles</t>
  </si>
  <si>
    <t>Tranquilo</t>
  </si>
  <si>
    <t>Shelburne Falls MicroLab</t>
  </si>
  <si>
    <t>DevSerial-262</t>
  </si>
  <si>
    <t>Pittsburgh MicroLab</t>
  </si>
  <si>
    <t>DevSerial-267</t>
  </si>
  <si>
    <t>Philadelphia MicroLab</t>
  </si>
  <si>
    <t>DevSerial-264</t>
  </si>
  <si>
    <t>OH Central MicroLab</t>
  </si>
  <si>
    <t>DevSerial-993</t>
  </si>
  <si>
    <t>Northampton MicroLab</t>
  </si>
  <si>
    <t>DevSerial-261</t>
  </si>
  <si>
    <t>Cleveland MicroLab</t>
  </si>
  <si>
    <t>DevSerial-265</t>
  </si>
  <si>
    <t>Boston Micro Lab</t>
  </si>
  <si>
    <t>DevSerial-260</t>
  </si>
  <si>
    <t>Atlanta MicroLab</t>
  </si>
  <si>
    <t>DevSerial-268</t>
  </si>
  <si>
    <t>Akron MicroLab</t>
  </si>
  <si>
    <t>DevSerial-266</t>
  </si>
  <si>
    <t>States: Georgia, Massachusetts, Ohio, Pennsylvania</t>
  </si>
  <si>
    <t>County: , Allegheny County, Cuyahoga County, Fulton County, Hampshire County, Philadelphia County, Suffolk County, Summit County, Wayne County</t>
  </si>
  <si>
    <t>Devices</t>
  </si>
  <si>
    <t>Subtotal for Georgia</t>
  </si>
  <si>
    <t>Subtotal for Massachusetts</t>
  </si>
  <si>
    <t>Subtotal for Ohio</t>
  </si>
  <si>
    <t>Subtotal for Pennsylvania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</si>
</sst>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3">
    <xf numFmtId="0" fontId="0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</cellStyleXfs>
  <cellXfs count="55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 applyAlignment="1">
      <alignment vertical="center" wrapText="1"/>
    </xf>
    <xf numFmtId="0" fontId="1" fillId="0" borderId="7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/>
    <xf numFmtId="0" fontId="2" fillId="0" borderId="0" xfId="0" applyFont="1"/>
    <xf numFmtId="0" fontId="0" fillId="0" borderId="2" xfId="0" applyBorder="1"/>
    <xf numFmtId="0" fontId="0" fillId="0" borderId="10" xfId="0" applyBorder="1"/>
    <xf numFmtId="164" fontId="0" fillId="0" borderId="3" xfId="0" applyNumberFormat="1" applyBorder="1"/>
    <xf numFmtId="0" fontId="0" fillId="0" borderId="3" xfId="0" applyBorder="1"/>
    <xf numFmtId="9" fontId="0" fillId="0" borderId="3" xfId="0" applyNumberFormat="1" applyFont="1" applyBorder="1"/>
    <xf numFmtId="0" fontId="5" fillId="2" borderId="7" xfId="0" applyFont="1" applyFill="1" applyBorder="1"/>
  </cellXfs>
  <cellStyles count="43"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tabSelected="1" workbookViewId="0">
      <selection activeCell="C2" sqref="C2"/>
    </sheetView>
  </sheetViews>
  <sheetFormatPr baseColWidth="10" defaultColWidth="11" defaultRowHeight="15.5" x14ac:dyDescent="0.35"/>
  <cols>
    <col min="1" max="1" width="27.08203125" customWidth="1"/>
    <col min="2" max="2" width="15.25" customWidth="1"/>
    <col min="3" max="3" width="19.08203125" customWidth="1"/>
    <col min="4" max="4" width="14.83203125" customWidth="1"/>
    <col min="5" max="7" width="0" hidden="1" customWidth="1"/>
    <col min="8" max="8" width="3" hidden="1" customWidth="1"/>
    <col min="9" max="9" width="11" customWidth="1"/>
    <col min="11" max="11" width="17" customWidth="1"/>
  </cols>
  <sheetData>
    <row r="1" spans="1:11" ht="21" x14ac:dyDescent="0.5">
      <c r="A1" s="549" t="s">
        <v>48</v>
      </c>
      <c r="B1" s="549"/>
      <c r="C1" s="548"/>
      <c r="D1" s="548"/>
      <c r="E1" s="548"/>
      <c r="F1" s="548"/>
      <c r="G1" s="548"/>
      <c r="H1" s="548"/>
      <c r="I1" s="548"/>
      <c r="J1" s="548"/>
      <c r="K1" s="548"/>
    </row>
    <row r="2" spans="1:11" x14ac:dyDescent="0.35">
      <c r="A2" s="548" t="s">
        <v>53</v>
      </c>
      <c r="B2" s="548"/>
      <c r="C2" s="548"/>
      <c r="D2" s="548"/>
      <c r="E2" s="548"/>
      <c r="F2" s="548"/>
      <c r="G2" s="548"/>
      <c r="H2" s="548"/>
      <c r="I2" s="548"/>
      <c r="J2" s="548"/>
      <c r="K2" s="548"/>
    </row>
    <row r="3" spans="1:11" x14ac:dyDescent="0.35">
      <c r="A3" s="548" t="s">
        <v>114</v>
      </c>
      <c r="B3" s="548"/>
      <c r="C3" s="548"/>
      <c r="D3" s="548"/>
      <c r="E3" s="548"/>
      <c r="F3" s="548"/>
      <c r="G3" s="548"/>
      <c r="H3" s="548"/>
      <c r="I3" s="548"/>
      <c r="J3" s="548"/>
      <c r="K3" s="548"/>
    </row>
    <row r="4" spans="1:11" x14ac:dyDescent="0.35">
      <c r="A4" s="548" t="s">
        <v>115</v>
      </c>
      <c r="B4" s="548"/>
      <c r="C4" s="548"/>
      <c r="D4" s="548"/>
      <c r="E4" s="548"/>
      <c r="F4" s="548"/>
      <c r="G4" s="548"/>
      <c r="H4" s="548"/>
      <c r="I4" s="548"/>
      <c r="J4" s="548"/>
      <c r="K4" s="548"/>
    </row>
    <row r="5" spans="1:11" x14ac:dyDescent="0.35">
      <c r="A5" s="548"/>
      <c r="B5" s="548"/>
      <c r="C5" s="548"/>
      <c r="D5" s="548"/>
      <c r="E5" s="548"/>
      <c r="F5" s="548"/>
      <c r="G5" s="548"/>
      <c r="H5" s="548"/>
      <c r="I5" s="548"/>
      <c r="J5" s="548"/>
      <c r="K5" s="548"/>
    </row>
    <row r="6" spans="1:11" ht="16" thickBot="1" x14ac:dyDescent="0.4">
      <c r="A6" s="548"/>
      <c r="B6" s="548"/>
      <c r="C6" s="548"/>
      <c r="D6" s="548"/>
      <c r="E6" s="548"/>
      <c r="F6" s="548"/>
      <c r="G6" s="548"/>
      <c r="H6" s="548"/>
      <c r="I6" s="548"/>
      <c r="J6" s="548"/>
      <c r="K6" s="548"/>
    </row>
    <row r="7" spans="1:11" ht="30" customHeight="1" thickBot="1" x14ac:dyDescent="0.4">
      <c r="A7" s="555" t="s">
        <v>116</v>
      </c>
      <c r="B7" s="555" t="s">
        <v>52</v>
      </c>
      <c r="C7" s="555" t="s">
        <v>9</v>
      </c>
      <c r="D7" s="555" t="s">
        <v>51</v>
      </c>
      <c r="E7" s="555" t="s">
        <v>0</v>
      </c>
      <c r="F7" s="555" t="s">
        <v>1</v>
      </c>
      <c r="G7" s="555" t="s">
        <v>2</v>
      </c>
      <c r="H7" s="555" t="s">
        <v>10</v>
      </c>
      <c r="I7" s="555" t="s">
        <v>3</v>
      </c>
      <c r="J7" s="555" t="s">
        <v>4</v>
      </c>
      <c r="K7" s="555" t="s">
        <v>11</v>
      </c>
    </row>
    <row r="8" spans="1:11" x14ac:dyDescent="0.35">
      <c r="A8" s="550" t="s">
        <v>88</v>
      </c>
      <c r="B8" s="551" t="s">
        <v>89</v>
      </c>
      <c r="C8" s="552">
        <v>43290.256388888898</v>
      </c>
      <c r="D8" s="553">
        <v>2653</v>
      </c>
      <c r="E8" s="553" t="s">
        <v>5</v>
      </c>
      <c r="F8" s="553" t="s">
        <v>6</v>
      </c>
      <c r="G8" s="553" t="s">
        <v>8</v>
      </c>
      <c r="H8" s="553" t="s">
        <v>7</v>
      </c>
      <c r="I8" s="553">
        <v>13</v>
      </c>
      <c r="J8" s="553">
        <v>64</v>
      </c>
      <c r="K8" s="554">
        <f t="shared" ref="K8:K20" si="0">IF(D8=0,0,(J8)/D8)</f>
        <v>0.02</v>
      </c>
    </row>
    <row r="9" spans="1:11" x14ac:dyDescent="0.35">
      <c r="A9" s="550" t="s">
        <v>90</v>
      </c>
      <c r="B9" s="551" t="s">
        <v>91</v>
      </c>
      <c r="C9" s="552">
        <v>43291.477210648103</v>
      </c>
      <c r="D9" s="553">
        <v>44</v>
      </c>
      <c r="E9" s="553" t="s">
        <v>5</v>
      </c>
      <c r="F9" s="553" t="s">
        <v>6</v>
      </c>
      <c r="G9" s="553" t="s">
        <v>8</v>
      </c>
      <c r="H9" s="553" t="s">
        <v>7</v>
      </c>
      <c r="I9" s="553">
        <v>0</v>
      </c>
      <c r="J9" s="553">
        <v>0</v>
      </c>
      <c r="K9" s="554">
        <f t="shared" si="0"/>
        <v>0</v>
      </c>
    </row>
    <row r="10" spans="1:11" x14ac:dyDescent="0.35">
      <c r="A10" s="550" t="s">
        <v>92</v>
      </c>
      <c r="B10" s="551" t="s">
        <v>93</v>
      </c>
      <c r="C10" s="552">
        <v>43696.675752314797</v>
      </c>
      <c r="D10" s="553">
        <v>8</v>
      </c>
      <c r="E10" s="553" t="s">
        <v>5</v>
      </c>
      <c r="F10" s="553" t="s">
        <v>6</v>
      </c>
      <c r="G10" s="553" t="s">
        <v>8</v>
      </c>
      <c r="H10" s="553" t="s">
        <v>7</v>
      </c>
      <c r="I10" s="553">
        <v>0</v>
      </c>
      <c r="J10" s="553">
        <v>0</v>
      </c>
      <c r="K10" s="554">
        <f t="shared" si="0"/>
        <v>0</v>
      </c>
    </row>
    <row r="11" spans="1:11" x14ac:dyDescent="0.35">
      <c r="A11" s="550" t="s">
        <v>94</v>
      </c>
      <c r="B11" s="551" t="s">
        <v>95</v>
      </c>
      <c r="C11" s="552">
        <v>43376.754537036999</v>
      </c>
      <c r="D11" s="553">
        <v>63</v>
      </c>
      <c r="E11" s="553" t="s">
        <v>5</v>
      </c>
      <c r="F11" s="553" t="s">
        <v>6</v>
      </c>
      <c r="G11" s="553" t="s">
        <v>8</v>
      </c>
      <c r="H11" s="553" t="s">
        <v>7</v>
      </c>
      <c r="I11" s="553">
        <v>1</v>
      </c>
      <c r="J11" s="553">
        <v>1</v>
      </c>
      <c r="K11" s="554">
        <f t="shared" si="0"/>
        <v>0.02</v>
      </c>
    </row>
    <row r="12" spans="1:11" x14ac:dyDescent="0.35">
      <c r="A12" s="550" t="s">
        <v>96</v>
      </c>
      <c r="B12" s="551" t="s">
        <v>97</v>
      </c>
      <c r="C12" s="552">
        <v>43290.563379629602</v>
      </c>
      <c r="D12" s="553">
        <v>3983</v>
      </c>
      <c r="E12" s="553" t="s">
        <v>5</v>
      </c>
      <c r="F12" s="553" t="s">
        <v>6</v>
      </c>
      <c r="G12" s="553" t="s">
        <v>8</v>
      </c>
      <c r="H12" s="553" t="s">
        <v>7</v>
      </c>
      <c r="I12" s="553">
        <v>87</v>
      </c>
      <c r="J12" s="553">
        <v>192</v>
      </c>
      <c r="K12" s="554">
        <f t="shared" si="0"/>
        <v>0.05</v>
      </c>
    </row>
    <row r="13" spans="1:11" x14ac:dyDescent="0.35">
      <c r="A13" s="550" t="s">
        <v>98</v>
      </c>
      <c r="B13" s="551" t="s">
        <v>99</v>
      </c>
      <c r="C13" s="552">
        <v>43287.538900462998</v>
      </c>
      <c r="D13" s="553">
        <v>24</v>
      </c>
      <c r="E13" s="553" t="s">
        <v>5</v>
      </c>
      <c r="F13" s="553" t="s">
        <v>6</v>
      </c>
      <c r="G13" s="553" t="s">
        <v>8</v>
      </c>
      <c r="H13" s="553" t="s">
        <v>7</v>
      </c>
      <c r="I13" s="553">
        <v>0</v>
      </c>
      <c r="J13" s="553">
        <v>1</v>
      </c>
      <c r="K13" s="554">
        <f t="shared" si="0"/>
        <v>0.04</v>
      </c>
    </row>
    <row r="14" spans="1:11" x14ac:dyDescent="0.35">
      <c r="A14" s="550" t="s">
        <v>100</v>
      </c>
      <c r="B14" s="551" t="s">
        <v>101</v>
      </c>
      <c r="C14" s="552">
        <v>43290.4698726852</v>
      </c>
      <c r="D14" s="553">
        <v>2331</v>
      </c>
      <c r="E14" s="553" t="s">
        <v>5</v>
      </c>
      <c r="F14" s="553" t="s">
        <v>6</v>
      </c>
      <c r="G14" s="553" t="s">
        <v>8</v>
      </c>
      <c r="H14" s="553" t="s">
        <v>7</v>
      </c>
      <c r="I14" s="553">
        <v>38</v>
      </c>
      <c r="J14" s="553">
        <v>177</v>
      </c>
      <c r="K14" s="554">
        <f t="shared" si="0"/>
        <v>0.08</v>
      </c>
    </row>
    <row r="15" spans="1:11" x14ac:dyDescent="0.35">
      <c r="A15" s="550" t="s">
        <v>102</v>
      </c>
      <c r="B15" s="551" t="s">
        <v>103</v>
      </c>
      <c r="C15" s="552">
        <v>43276.418298611097</v>
      </c>
      <c r="D15" s="553">
        <v>272</v>
      </c>
      <c r="E15" s="553" t="s">
        <v>5</v>
      </c>
      <c r="F15" s="553" t="s">
        <v>6</v>
      </c>
      <c r="G15" s="553" t="s">
        <v>8</v>
      </c>
      <c r="H15" s="553" t="s">
        <v>7</v>
      </c>
      <c r="I15" s="553">
        <v>3</v>
      </c>
      <c r="J15" s="553">
        <v>29</v>
      </c>
      <c r="K15" s="554">
        <f t="shared" si="0"/>
        <v>0.11</v>
      </c>
    </row>
    <row r="16" spans="1:11" x14ac:dyDescent="0.35">
      <c r="A16" s="550" t="s">
        <v>104</v>
      </c>
      <c r="B16" s="551" t="s">
        <v>105</v>
      </c>
      <c r="C16" s="552">
        <v>43290.545868055597</v>
      </c>
      <c r="D16" s="553">
        <v>2949</v>
      </c>
      <c r="E16" s="553" t="s">
        <v>5</v>
      </c>
      <c r="F16" s="553" t="s">
        <v>6</v>
      </c>
      <c r="G16" s="553" t="s">
        <v>8</v>
      </c>
      <c r="H16" s="553" t="s">
        <v>7</v>
      </c>
      <c r="I16" s="553">
        <v>28</v>
      </c>
      <c r="J16" s="553">
        <v>184</v>
      </c>
      <c r="K16" s="554">
        <f t="shared" si="0"/>
        <v>0.06</v>
      </c>
    </row>
    <row r="17" spans="1:11" x14ac:dyDescent="0.35">
      <c r="A17" s="550" t="s">
        <v>106</v>
      </c>
      <c r="B17" s="551" t="s">
        <v>107</v>
      </c>
      <c r="C17" s="552">
        <v>43287.570289351803</v>
      </c>
      <c r="D17" s="553">
        <v>4</v>
      </c>
      <c r="E17" s="553" t="s">
        <v>5</v>
      </c>
      <c r="F17" s="553" t="s">
        <v>6</v>
      </c>
      <c r="G17" s="553" t="s">
        <v>8</v>
      </c>
      <c r="H17" s="553" t="s">
        <v>7</v>
      </c>
      <c r="I17" s="553">
        <v>0</v>
      </c>
      <c r="J17" s="553">
        <v>0</v>
      </c>
      <c r="K17" s="554">
        <f t="shared" si="0"/>
        <v>0</v>
      </c>
    </row>
    <row r="18" spans="1:11" x14ac:dyDescent="0.35">
      <c r="A18" s="550" t="s">
        <v>108</v>
      </c>
      <c r="B18" s="551" t="s">
        <v>109</v>
      </c>
      <c r="C18" s="552">
        <v>43289.361250000002</v>
      </c>
      <c r="D18" s="553">
        <v>6669</v>
      </c>
      <c r="E18" s="553" t="s">
        <v>5</v>
      </c>
      <c r="F18" s="553" t="s">
        <v>6</v>
      </c>
      <c r="G18" s="553" t="s">
        <v>8</v>
      </c>
      <c r="H18" s="553" t="s">
        <v>7</v>
      </c>
      <c r="I18" s="553">
        <v>76</v>
      </c>
      <c r="J18" s="553">
        <v>295</v>
      </c>
      <c r="K18" s="554">
        <f t="shared" si="0"/>
        <v>0.04</v>
      </c>
    </row>
    <row r="19" spans="1:11" x14ac:dyDescent="0.35">
      <c r="A19" s="550" t="s">
        <v>110</v>
      </c>
      <c r="B19" s="551" t="s">
        <v>111</v>
      </c>
      <c r="C19" s="552">
        <v>43288.357418981497</v>
      </c>
      <c r="D19" s="553">
        <v>4</v>
      </c>
      <c r="E19" s="553" t="s">
        <v>5</v>
      </c>
      <c r="F19" s="553" t="s">
        <v>6</v>
      </c>
      <c r="G19" s="553" t="s">
        <v>8</v>
      </c>
      <c r="H19" s="553" t="s">
        <v>7</v>
      </c>
      <c r="I19" s="553">
        <v>0</v>
      </c>
      <c r="J19" s="553">
        <v>0</v>
      </c>
      <c r="K19" s="554">
        <f t="shared" si="0"/>
        <v>0</v>
      </c>
    </row>
    <row r="20" spans="1:11" x14ac:dyDescent="0.35">
      <c r="A20" s="550" t="s">
        <v>112</v>
      </c>
      <c r="B20" s="551" t="s">
        <v>113</v>
      </c>
      <c r="C20" s="552">
        <v>43290.381157407399</v>
      </c>
      <c r="D20" s="553">
        <v>45</v>
      </c>
      <c r="E20" s="553" t="s">
        <v>5</v>
      </c>
      <c r="F20" s="553" t="s">
        <v>6</v>
      </c>
      <c r="G20" s="553" t="s">
        <v>8</v>
      </c>
      <c r="H20" s="553" t="s">
        <v>7</v>
      </c>
      <c r="I20" s="553">
        <v>0</v>
      </c>
      <c r="J20" s="553">
        <v>2</v>
      </c>
      <c r="K20" s="554">
        <f t="shared" si="0"/>
        <v>0.04</v>
      </c>
    </row>
    <row r="21" spans="1:11" x14ac:dyDescent="0.35">
      <c r="A21" s="550"/>
      <c r="B21" s="551"/>
      <c r="C21" s="552"/>
      <c r="D21" s="553"/>
      <c r="E21" s="553"/>
      <c r="F21" s="553"/>
      <c r="G21" s="553"/>
      <c r="H21" s="553"/>
      <c r="I21" s="553"/>
      <c r="J21" s="553"/>
      <c r="K21" s="554"/>
    </row>
    <row r="22" spans="1:11" x14ac:dyDescent="0.35">
      <c r="A22" s="550"/>
      <c r="B22" s="551"/>
      <c r="C22" s="552"/>
      <c r="D22" s="553"/>
      <c r="E22" s="553"/>
      <c r="F22" s="553"/>
      <c r="G22" s="553"/>
      <c r="H22" s="553"/>
      <c r="I22" s="553"/>
      <c r="J22" s="553"/>
      <c r="K22" s="554"/>
    </row>
    <row r="23" spans="1:11" x14ac:dyDescent="0.35">
      <c r="A23" s="550" t="s">
        <v>85</v>
      </c>
      <c r="B23" s="551"/>
      <c r="C23" s="552"/>
      <c r="D23" s="553">
        <v>71</v>
      </c>
      <c r="E23" s="553" t="s">
        <v>5</v>
      </c>
      <c r="F23" s="553" t="s">
        <v>6</v>
      </c>
      <c r="G23" s="553" t="s">
        <v>8</v>
      </c>
      <c r="H23" s="553" t="s">
        <v>7</v>
      </c>
      <c r="I23" s="553">
        <v>1</v>
      </c>
      <c r="J23" s="553">
        <v>1</v>
      </c>
      <c r="K23" s="554">
        <f>IF(D23=0,0,(J23)/D23)</f>
        <v>0.01</v>
      </c>
    </row>
    <row r="24" spans="1:11" x14ac:dyDescent="0.35">
      <c r="A24" s="550" t="s">
        <v>117</v>
      </c>
      <c r="B24" s="551"/>
      <c r="C24" s="552"/>
      <c r="D24" s="553">
        <v>4</v>
      </c>
      <c r="E24" s="553" t="s">
        <v>5</v>
      </c>
      <c r="F24" s="553" t="s">
        <v>6</v>
      </c>
      <c r="G24" s="553" t="s">
        <v>8</v>
      </c>
      <c r="H24" s="553" t="s">
        <v>7</v>
      </c>
      <c r="I24" s="553">
        <v>0</v>
      </c>
      <c r="J24" s="553">
        <v>0</v>
      </c>
      <c r="K24" s="554">
        <f>IF(D24=0,0,(J24)/D24)</f>
        <v>0</v>
      </c>
    </row>
    <row r="25" spans="1:11" x14ac:dyDescent="0.35">
      <c r="A25" s="550" t="s">
        <v>118</v>
      </c>
      <c r="B25" s="551"/>
      <c r="C25" s="552"/>
      <c r="D25" s="553">
        <v>13873</v>
      </c>
      <c r="E25" s="553" t="s">
        <v>5</v>
      </c>
      <c r="F25" s="553" t="s">
        <v>6</v>
      </c>
      <c r="G25" s="553" t="s">
        <v>8</v>
      </c>
      <c r="H25" s="553" t="s">
        <v>7</v>
      </c>
      <c r="I25" s="553">
        <v>194</v>
      </c>
      <c r="J25" s="553">
        <v>700</v>
      </c>
      <c r="K25" s="554">
        <f>IF(D25=0,0,(J25)/D25)</f>
        <v>0.05</v>
      </c>
    </row>
    <row r="26" spans="1:11" x14ac:dyDescent="0.35">
      <c r="A26" s="550" t="s">
        <v>119</v>
      </c>
      <c r="B26" s="551"/>
      <c r="C26" s="552"/>
      <c r="D26" s="553">
        <v>2746</v>
      </c>
      <c r="E26" s="553" t="s">
        <v>5</v>
      </c>
      <c r="F26" s="553" t="s">
        <v>6</v>
      </c>
      <c r="G26" s="553" t="s">
        <v>8</v>
      </c>
      <c r="H26" s="553" t="s">
        <v>7</v>
      </c>
      <c r="I26" s="553">
        <v>13</v>
      </c>
      <c r="J26" s="553">
        <v>66</v>
      </c>
      <c r="K26" s="554">
        <f>IF(D26=0,0,(J26)/D26)</f>
        <v>0.02</v>
      </c>
    </row>
    <row r="27" spans="1:11" x14ac:dyDescent="0.35">
      <c r="A27" s="550" t="s">
        <v>120</v>
      </c>
      <c r="B27" s="551"/>
      <c r="C27" s="552"/>
      <c r="D27" s="553">
        <v>2355</v>
      </c>
      <c r="E27" s="553" t="s">
        <v>5</v>
      </c>
      <c r="F27" s="553" t="s">
        <v>6</v>
      </c>
      <c r="G27" s="553" t="s">
        <v>8</v>
      </c>
      <c r="H27" s="553" t="s">
        <v>7</v>
      </c>
      <c r="I27" s="553">
        <v>38</v>
      </c>
      <c r="J27" s="553">
        <v>178</v>
      </c>
      <c r="K27" s="554">
        <f>IF(D27=0,0,(J27)/D27)</f>
        <v>0.08</v>
      </c>
    </row>
    <row r="28" spans="1:11" x14ac:dyDescent="0.35">
      <c r="A28" s="550"/>
      <c r="B28" s="551"/>
      <c r="C28" s="552"/>
      <c r="D28" s="553"/>
      <c r="E28" s="553"/>
      <c r="F28" s="553"/>
      <c r="G28" s="553"/>
      <c r="H28" s="553"/>
      <c r="I28" s="553"/>
      <c r="J28" s="553"/>
      <c r="K28" s="554"/>
    </row>
    <row r="29" spans="1:11" x14ac:dyDescent="0.35">
      <c r="A29" s="550" t="s">
        <v>86</v>
      </c>
      <c r="B29" s="551"/>
      <c r="C29" s="552"/>
      <c r="D29" s="553">
        <v>19049</v>
      </c>
      <c r="E29" s="553" t="s">
        <v>5</v>
      </c>
      <c r="F29" s="553" t="s">
        <v>6</v>
      </c>
      <c r="G29" s="553" t="s">
        <v>8</v>
      </c>
      <c r="H29" s="553" t="s">
        <v>7</v>
      </c>
      <c r="I29" s="553">
        <v>246</v>
      </c>
      <c r="J29" s="553">
        <v>945</v>
      </c>
      <c r="K29" s="554">
        <f>IF(D29=0,0,(J29)/D29)</f>
        <v>0.05</v>
      </c>
    </row>
  </sheetData>
  <pageMargins left="0.75" right="0.75" top="1" bottom="1" header="0.5" footer="0.5"/>
  <pageSetup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8"/>
  <sheetViews>
    <sheetView workbookViewId="0"/>
  </sheetViews>
  <sheetFormatPr baseColWidth="10" defaultColWidth="8.6640625" defaultRowHeight="15.5" x14ac:dyDescent="0.35"/>
  <cols>
    <col min="1" max="1" width="40.83203125" customWidth="1"/>
    <col min="2" max="2" width="28.5" customWidth="1"/>
    <col min="3" max="31" width="28.5" customWidth="1" collapsed="1"/>
  </cols>
  <sheetData>
    <row r="1" spans="1:31" ht="21" x14ac:dyDescent="0.5">
      <c r="A1" s="1" t="s">
        <v>49</v>
      </c>
      <c r="B1" s="8"/>
      <c r="C1" s="26"/>
      <c r="D1" s="44"/>
      <c r="E1" s="62"/>
      <c r="F1" s="80"/>
      <c r="G1" s="98"/>
      <c r="H1" s="116"/>
      <c r="I1" s="134"/>
      <c r="J1" s="152"/>
      <c r="K1" s="170"/>
      <c r="L1" s="188"/>
      <c r="M1" s="206"/>
      <c r="N1" s="224"/>
      <c r="O1" s="242"/>
      <c r="P1" s="260"/>
      <c r="Q1" s="278"/>
      <c r="R1" s="296"/>
      <c r="S1" s="314"/>
      <c r="T1" s="332"/>
      <c r="U1" s="350"/>
      <c r="V1" s="368"/>
      <c r="W1" s="386"/>
      <c r="X1" s="404"/>
      <c r="Y1" s="422"/>
      <c r="Z1" s="440"/>
      <c r="AA1" s="458"/>
      <c r="AB1" s="476"/>
      <c r="AC1" s="494"/>
      <c r="AD1" s="512"/>
      <c r="AE1" s="530"/>
    </row>
    <row r="2" spans="1:31" x14ac:dyDescent="0.35">
      <c r="A2" t="s">
        <v>87</v>
      </c>
      <c r="B2" s="9"/>
      <c r="C2" s="27"/>
      <c r="D2" s="45"/>
      <c r="E2" s="63"/>
      <c r="F2" s="81"/>
      <c r="G2" s="99"/>
      <c r="H2" s="117"/>
      <c r="I2" s="135"/>
      <c r="J2" s="153"/>
      <c r="K2" s="171"/>
      <c r="L2" s="189"/>
      <c r="M2" s="207"/>
      <c r="N2" s="225"/>
      <c r="O2" s="243"/>
      <c r="P2" s="261"/>
      <c r="Q2" s="279"/>
      <c r="R2" s="297"/>
      <c r="S2" s="315"/>
      <c r="T2" s="333"/>
      <c r="U2" s="351"/>
      <c r="V2" s="369"/>
      <c r="W2" s="387"/>
      <c r="X2" s="405"/>
      <c r="Y2" s="423"/>
      <c r="Z2" s="441"/>
      <c r="AA2" s="459"/>
      <c r="AB2" s="477"/>
      <c r="AC2" s="495"/>
      <c r="AD2" s="513"/>
      <c r="AE2" s="531"/>
    </row>
    <row r="3" spans="1:31" x14ac:dyDescent="0.35">
      <c r="A3" t="s">
        <v>54</v>
      </c>
      <c r="B3" s="10"/>
      <c r="C3" s="28"/>
      <c r="D3" s="46"/>
      <c r="E3" s="64"/>
      <c r="F3" s="82"/>
      <c r="G3" s="100"/>
      <c r="H3" s="118"/>
      <c r="I3" s="136"/>
      <c r="J3" s="154"/>
      <c r="K3" s="172"/>
      <c r="L3" s="190"/>
      <c r="M3" s="208"/>
      <c r="N3" s="226"/>
      <c r="O3" s="244"/>
      <c r="P3" s="262"/>
      <c r="Q3" s="280"/>
      <c r="R3" s="298"/>
      <c r="S3" s="316"/>
      <c r="T3" s="334"/>
      <c r="U3" s="352"/>
      <c r="V3" s="370"/>
      <c r="W3" s="388"/>
      <c r="X3" s="406"/>
      <c r="Y3" s="424"/>
      <c r="Z3" s="442"/>
      <c r="AA3" s="460"/>
      <c r="AB3" s="478"/>
      <c r="AC3" s="496"/>
      <c r="AD3" s="514"/>
      <c r="AE3" s="532"/>
    </row>
    <row r="4" spans="1:31" x14ac:dyDescent="0.35">
      <c r="B4" s="11"/>
      <c r="C4" s="29"/>
      <c r="D4" s="47"/>
      <c r="E4" s="65"/>
      <c r="F4" s="83"/>
      <c r="G4" s="101"/>
      <c r="H4" s="119"/>
      <c r="I4" s="137"/>
      <c r="J4" s="155"/>
      <c r="K4" s="173"/>
      <c r="L4" s="191"/>
      <c r="M4" s="209"/>
      <c r="N4" s="227"/>
      <c r="O4" s="245"/>
      <c r="P4" s="263"/>
      <c r="Q4" s="281"/>
      <c r="R4" s="299"/>
      <c r="S4" s="317"/>
      <c r="T4" s="335"/>
      <c r="U4" s="353"/>
      <c r="V4" s="371"/>
      <c r="W4" s="389"/>
      <c r="X4" s="407"/>
      <c r="Y4" s="425"/>
      <c r="Z4" s="443"/>
      <c r="AA4" s="461"/>
      <c r="AB4" s="479"/>
      <c r="AC4" s="497"/>
      <c r="AD4" s="515"/>
      <c r="AE4" s="533"/>
    </row>
    <row r="5" spans="1:31" x14ac:dyDescent="0.35">
      <c r="B5" s="12"/>
      <c r="C5" s="30"/>
      <c r="D5" s="48"/>
      <c r="E5" s="66"/>
      <c r="F5" s="84"/>
      <c r="G5" s="102"/>
      <c r="H5" s="120"/>
      <c r="I5" s="138"/>
      <c r="J5" s="156"/>
      <c r="K5" s="174"/>
      <c r="L5" s="192"/>
      <c r="M5" s="210"/>
      <c r="N5" s="228"/>
      <c r="O5" s="246"/>
      <c r="P5" s="264"/>
      <c r="Q5" s="282"/>
      <c r="R5" s="300"/>
      <c r="S5" s="318"/>
      <c r="T5" s="336"/>
      <c r="U5" s="354"/>
      <c r="V5" s="372"/>
      <c r="W5" s="390"/>
      <c r="X5" s="408"/>
      <c r="Y5" s="426"/>
      <c r="Z5" s="444"/>
      <c r="AA5" s="462"/>
      <c r="AB5" s="480"/>
      <c r="AC5" s="498"/>
      <c r="AD5" s="516"/>
      <c r="AE5" s="534"/>
    </row>
    <row r="6" spans="1:31" ht="16" thickBot="1" x14ac:dyDescent="0.4">
      <c r="B6" s="13"/>
      <c r="C6" s="31"/>
      <c r="D6" s="49"/>
      <c r="E6" s="67"/>
      <c r="F6" s="85"/>
      <c r="G6" s="103"/>
      <c r="H6" s="121"/>
      <c r="I6" s="139"/>
      <c r="J6" s="157"/>
      <c r="K6" s="175"/>
      <c r="L6" s="193"/>
      <c r="M6" s="211"/>
      <c r="N6" s="229"/>
      <c r="O6" s="247"/>
      <c r="P6" s="265"/>
      <c r="Q6" s="283"/>
      <c r="R6" s="301"/>
      <c r="S6" s="319"/>
      <c r="T6" s="337"/>
      <c r="U6" s="355"/>
      <c r="V6" s="373"/>
      <c r="W6" s="391"/>
      <c r="X6" s="409"/>
      <c r="Y6" s="427"/>
      <c r="Z6" s="445"/>
      <c r="AA6" s="463"/>
      <c r="AB6" s="481"/>
      <c r="AC6" s="499"/>
      <c r="AD6" s="517"/>
      <c r="AE6" s="535"/>
    </row>
    <row r="7" spans="1:31" ht="16" thickBot="1" x14ac:dyDescent="0.4">
      <c r="A7" s="7" t="s">
        <v>50</v>
      </c>
      <c r="B7" s="14" t="s">
        <v>55</v>
      </c>
      <c r="C7" s="32" t="s">
        <v>56</v>
      </c>
      <c r="D7" s="50" t="s">
        <v>57</v>
      </c>
      <c r="E7" s="68" t="s">
        <v>58</v>
      </c>
      <c r="F7" s="86" t="s">
        <v>59</v>
      </c>
      <c r="G7" s="104" t="s">
        <v>60</v>
      </c>
      <c r="H7" s="122" t="s">
        <v>61</v>
      </c>
      <c r="I7" s="140" t="s">
        <v>62</v>
      </c>
      <c r="J7" s="158" t="s">
        <v>63</v>
      </c>
      <c r="K7" s="176" t="s">
        <v>64</v>
      </c>
      <c r="L7" s="194" t="s">
        <v>65</v>
      </c>
      <c r="M7" s="212" t="s">
        <v>66</v>
      </c>
      <c r="N7" s="230" t="s">
        <v>67</v>
      </c>
      <c r="O7" s="248" t="s">
        <v>68</v>
      </c>
      <c r="P7" s="266" t="s">
        <v>69</v>
      </c>
      <c r="Q7" s="284" t="s">
        <v>70</v>
      </c>
      <c r="R7" s="302" t="s">
        <v>71</v>
      </c>
      <c r="S7" s="320" t="s">
        <v>72</v>
      </c>
      <c r="T7" s="338" t="s">
        <v>73</v>
      </c>
      <c r="U7" s="356" t="s">
        <v>74</v>
      </c>
      <c r="V7" s="374" t="s">
        <v>75</v>
      </c>
      <c r="W7" s="392" t="s">
        <v>76</v>
      </c>
      <c r="X7" s="410" t="s">
        <v>77</v>
      </c>
      <c r="Y7" s="428" t="s">
        <v>78</v>
      </c>
      <c r="Z7" s="446" t="s">
        <v>79</v>
      </c>
      <c r="AA7" s="464" t="s">
        <v>80</v>
      </c>
      <c r="AB7" s="482" t="s">
        <v>81</v>
      </c>
      <c r="AC7" s="500" t="s">
        <v>82</v>
      </c>
      <c r="AD7" s="518" t="s">
        <v>83</v>
      </c>
      <c r="AE7" s="536" t="s">
        <v>84</v>
      </c>
    </row>
    <row r="8" spans="1:31" x14ac:dyDescent="0.35">
      <c r="A8" s="3">
        <v>5011</v>
      </c>
      <c r="B8" s="15">
        <v>38</v>
      </c>
      <c r="C8" s="33">
        <v>0</v>
      </c>
      <c r="D8" s="51">
        <v>0</v>
      </c>
      <c r="E8" s="69">
        <v>0</v>
      </c>
      <c r="F8" s="87">
        <v>0</v>
      </c>
      <c r="G8" s="105">
        <v>0</v>
      </c>
      <c r="H8" s="123">
        <v>0</v>
      </c>
      <c r="I8" s="141">
        <v>0</v>
      </c>
      <c r="J8" s="159">
        <v>0</v>
      </c>
      <c r="K8" s="177">
        <v>0</v>
      </c>
      <c r="L8" s="195">
        <v>0</v>
      </c>
      <c r="M8" s="213">
        <v>0</v>
      </c>
      <c r="N8" s="231">
        <v>0</v>
      </c>
      <c r="O8" s="249">
        <v>0</v>
      </c>
      <c r="P8" s="267">
        <v>0</v>
      </c>
      <c r="Q8" s="285">
        <v>0</v>
      </c>
      <c r="R8" s="303">
        <v>0</v>
      </c>
      <c r="S8" s="321">
        <v>0</v>
      </c>
      <c r="T8" s="339">
        <v>0</v>
      </c>
      <c r="U8" s="357">
        <v>0</v>
      </c>
      <c r="V8" s="375">
        <v>0</v>
      </c>
      <c r="W8" s="393">
        <v>0</v>
      </c>
      <c r="X8" s="411">
        <v>0</v>
      </c>
      <c r="Y8" s="429">
        <v>0</v>
      </c>
      <c r="Z8" s="447">
        <v>0</v>
      </c>
      <c r="AA8" s="465">
        <v>0</v>
      </c>
      <c r="AB8" s="483">
        <v>0</v>
      </c>
      <c r="AC8" s="501">
        <v>0</v>
      </c>
      <c r="AD8" s="519">
        <v>0</v>
      </c>
      <c r="AE8" s="537">
        <v>0</v>
      </c>
    </row>
    <row r="9" spans="1:31" x14ac:dyDescent="0.35">
      <c r="A9" s="4">
        <v>5007</v>
      </c>
      <c r="B9" s="16">
        <v>271</v>
      </c>
      <c r="C9" s="34">
        <v>1</v>
      </c>
      <c r="D9" s="52">
        <v>0</v>
      </c>
      <c r="E9" s="70">
        <v>0</v>
      </c>
      <c r="F9" s="88">
        <v>0</v>
      </c>
      <c r="G9" s="106">
        <v>0</v>
      </c>
      <c r="H9" s="124">
        <v>0</v>
      </c>
      <c r="I9" s="142">
        <v>0</v>
      </c>
      <c r="J9" s="160">
        <v>0</v>
      </c>
      <c r="K9" s="178">
        <v>0</v>
      </c>
      <c r="L9" s="196">
        <v>0</v>
      </c>
      <c r="M9" s="214">
        <v>0</v>
      </c>
      <c r="N9" s="232">
        <v>0</v>
      </c>
      <c r="O9" s="250">
        <v>0</v>
      </c>
      <c r="P9" s="268">
        <v>0</v>
      </c>
      <c r="Q9" s="286">
        <v>0</v>
      </c>
      <c r="R9" s="304">
        <v>0</v>
      </c>
      <c r="S9" s="322">
        <v>0</v>
      </c>
      <c r="T9" s="340">
        <v>0</v>
      </c>
      <c r="U9" s="358">
        <v>0</v>
      </c>
      <c r="V9" s="376">
        <v>0</v>
      </c>
      <c r="W9" s="394">
        <v>0</v>
      </c>
      <c r="X9" s="412">
        <v>0</v>
      </c>
      <c r="Y9" s="430">
        <v>0</v>
      </c>
      <c r="Z9" s="448">
        <v>0</v>
      </c>
      <c r="AA9" s="466">
        <v>0</v>
      </c>
      <c r="AB9" s="484">
        <v>0</v>
      </c>
      <c r="AC9" s="502">
        <v>0</v>
      </c>
      <c r="AD9" s="520">
        <v>0</v>
      </c>
      <c r="AE9" s="538">
        <v>0</v>
      </c>
    </row>
    <row r="10" spans="1:31" x14ac:dyDescent="0.35">
      <c r="A10" s="4">
        <v>5006</v>
      </c>
      <c r="B10" s="17">
        <v>66</v>
      </c>
      <c r="C10" s="35">
        <v>1</v>
      </c>
      <c r="D10" s="53">
        <v>0</v>
      </c>
      <c r="E10" s="71">
        <v>0</v>
      </c>
      <c r="F10" s="89">
        <v>0</v>
      </c>
      <c r="G10" s="107">
        <v>0</v>
      </c>
      <c r="H10" s="125">
        <v>0</v>
      </c>
      <c r="I10" s="143">
        <v>0</v>
      </c>
      <c r="J10" s="161">
        <v>0</v>
      </c>
      <c r="K10" s="179">
        <v>0</v>
      </c>
      <c r="L10" s="197">
        <v>0</v>
      </c>
      <c r="M10" s="215">
        <v>0</v>
      </c>
      <c r="N10" s="233">
        <v>0</v>
      </c>
      <c r="O10" s="251">
        <v>0</v>
      </c>
      <c r="P10" s="269">
        <v>0</v>
      </c>
      <c r="Q10" s="287">
        <v>0</v>
      </c>
      <c r="R10" s="305">
        <v>0</v>
      </c>
      <c r="S10" s="323">
        <v>0</v>
      </c>
      <c r="T10" s="341">
        <v>0</v>
      </c>
      <c r="U10" s="359">
        <v>0</v>
      </c>
      <c r="V10" s="377">
        <v>0</v>
      </c>
      <c r="W10" s="395">
        <v>0</v>
      </c>
      <c r="X10" s="413">
        <v>0</v>
      </c>
      <c r="Y10" s="431">
        <v>0</v>
      </c>
      <c r="Z10" s="449">
        <v>0</v>
      </c>
      <c r="AA10" s="467">
        <v>0</v>
      </c>
      <c r="AB10" s="485">
        <v>0</v>
      </c>
      <c r="AC10" s="503">
        <v>0</v>
      </c>
      <c r="AD10" s="521">
        <v>0</v>
      </c>
      <c r="AE10" s="539">
        <v>1</v>
      </c>
    </row>
    <row r="11" spans="1:31" x14ac:dyDescent="0.35">
      <c r="A11" s="4">
        <v>2008</v>
      </c>
      <c r="B11" s="18">
        <v>0</v>
      </c>
      <c r="C11" s="36">
        <v>0</v>
      </c>
      <c r="D11" s="54">
        <v>0</v>
      </c>
      <c r="E11" s="72">
        <v>0</v>
      </c>
      <c r="F11" s="90">
        <v>0</v>
      </c>
      <c r="G11" s="108">
        <v>0</v>
      </c>
      <c r="H11" s="126">
        <v>0</v>
      </c>
      <c r="I11" s="144">
        <v>0</v>
      </c>
      <c r="J11" s="162">
        <v>0</v>
      </c>
      <c r="K11" s="180">
        <v>0</v>
      </c>
      <c r="L11" s="198">
        <v>0</v>
      </c>
      <c r="M11" s="216">
        <v>0</v>
      </c>
      <c r="N11" s="234">
        <v>0</v>
      </c>
      <c r="O11" s="252">
        <v>0</v>
      </c>
      <c r="P11" s="270">
        <v>0</v>
      </c>
      <c r="Q11" s="288">
        <v>0</v>
      </c>
      <c r="R11" s="306">
        <v>0</v>
      </c>
      <c r="S11" s="324">
        <v>0</v>
      </c>
      <c r="T11" s="342">
        <v>0</v>
      </c>
      <c r="U11" s="360">
        <v>0</v>
      </c>
      <c r="V11" s="378">
        <v>0</v>
      </c>
      <c r="W11" s="396">
        <v>0</v>
      </c>
      <c r="X11" s="414">
        <v>0</v>
      </c>
      <c r="Y11" s="432">
        <v>0</v>
      </c>
      <c r="Z11" s="450">
        <v>0</v>
      </c>
      <c r="AA11" s="468">
        <v>0</v>
      </c>
      <c r="AB11" s="486">
        <v>0</v>
      </c>
      <c r="AC11" s="504">
        <v>0</v>
      </c>
      <c r="AD11" s="522">
        <v>0</v>
      </c>
      <c r="AE11" s="540">
        <v>0</v>
      </c>
    </row>
    <row r="12" spans="1:31" x14ac:dyDescent="0.35">
      <c r="A12" s="4">
        <v>2005</v>
      </c>
      <c r="B12" s="19">
        <v>0</v>
      </c>
      <c r="C12" s="37">
        <v>0</v>
      </c>
      <c r="D12" s="55">
        <v>0</v>
      </c>
      <c r="E12" s="73">
        <v>0</v>
      </c>
      <c r="F12" s="91">
        <v>0</v>
      </c>
      <c r="G12" s="109">
        <v>0</v>
      </c>
      <c r="H12" s="127">
        <v>0</v>
      </c>
      <c r="I12" s="145">
        <v>0</v>
      </c>
      <c r="J12" s="163">
        <v>0</v>
      </c>
      <c r="K12" s="181">
        <v>0</v>
      </c>
      <c r="L12" s="199">
        <v>0</v>
      </c>
      <c r="M12" s="217">
        <v>0</v>
      </c>
      <c r="N12" s="235">
        <v>0</v>
      </c>
      <c r="O12" s="253">
        <v>0</v>
      </c>
      <c r="P12" s="271">
        <v>0</v>
      </c>
      <c r="Q12" s="289">
        <v>0</v>
      </c>
      <c r="R12" s="307">
        <v>0</v>
      </c>
      <c r="S12" s="325">
        <v>0</v>
      </c>
      <c r="T12" s="343">
        <v>0</v>
      </c>
      <c r="U12" s="361">
        <v>0</v>
      </c>
      <c r="V12" s="379">
        <v>0</v>
      </c>
      <c r="W12" s="397">
        <v>0</v>
      </c>
      <c r="X12" s="415">
        <v>0</v>
      </c>
      <c r="Y12" s="433">
        <v>0</v>
      </c>
      <c r="Z12" s="451">
        <v>0</v>
      </c>
      <c r="AA12" s="469">
        <v>0</v>
      </c>
      <c r="AB12" s="487">
        <v>0</v>
      </c>
      <c r="AC12" s="505">
        <v>0</v>
      </c>
      <c r="AD12" s="523">
        <v>0</v>
      </c>
      <c r="AE12" s="541">
        <v>0</v>
      </c>
    </row>
    <row r="13" spans="1:31" x14ac:dyDescent="0.35">
      <c r="A13" s="4">
        <v>2037</v>
      </c>
      <c r="B13" s="20">
        <v>0</v>
      </c>
      <c r="C13" s="38">
        <v>0</v>
      </c>
      <c r="D13" s="56">
        <v>0</v>
      </c>
      <c r="E13" s="74">
        <v>0</v>
      </c>
      <c r="F13" s="92">
        <v>0</v>
      </c>
      <c r="G13" s="110">
        <v>0</v>
      </c>
      <c r="H13" s="128">
        <v>0</v>
      </c>
      <c r="I13" s="146">
        <v>0</v>
      </c>
      <c r="J13" s="164">
        <v>0</v>
      </c>
      <c r="K13" s="182">
        <v>0</v>
      </c>
      <c r="L13" s="200">
        <v>0</v>
      </c>
      <c r="M13" s="218">
        <v>0</v>
      </c>
      <c r="N13" s="236">
        <v>0</v>
      </c>
      <c r="O13" s="254">
        <v>0</v>
      </c>
      <c r="P13" s="272">
        <v>0</v>
      </c>
      <c r="Q13" s="290">
        <v>0</v>
      </c>
      <c r="R13" s="308">
        <v>0</v>
      </c>
      <c r="S13" s="326">
        <v>0</v>
      </c>
      <c r="T13" s="344">
        <v>0</v>
      </c>
      <c r="U13" s="362">
        <v>0</v>
      </c>
      <c r="V13" s="380">
        <v>0</v>
      </c>
      <c r="W13" s="398">
        <v>0</v>
      </c>
      <c r="X13" s="416">
        <v>0</v>
      </c>
      <c r="Y13" s="434">
        <v>0</v>
      </c>
      <c r="Z13" s="452">
        <v>0</v>
      </c>
      <c r="AA13" s="470">
        <v>0</v>
      </c>
      <c r="AB13" s="488">
        <v>0</v>
      </c>
      <c r="AC13" s="506">
        <v>0</v>
      </c>
      <c r="AD13" s="524">
        <v>0</v>
      </c>
      <c r="AE13" s="542">
        <v>0</v>
      </c>
    </row>
    <row r="14" spans="1:31" x14ac:dyDescent="0.35">
      <c r="A14" s="4">
        <v>2025</v>
      </c>
      <c r="B14" s="21">
        <v>0</v>
      </c>
      <c r="C14" s="39">
        <v>0</v>
      </c>
      <c r="D14" s="57">
        <v>0</v>
      </c>
      <c r="E14" s="75">
        <v>0</v>
      </c>
      <c r="F14" s="93">
        <v>0</v>
      </c>
      <c r="G14" s="111">
        <v>0</v>
      </c>
      <c r="H14" s="129">
        <v>0</v>
      </c>
      <c r="I14" s="147">
        <v>0</v>
      </c>
      <c r="J14" s="165">
        <v>0</v>
      </c>
      <c r="K14" s="183">
        <v>0</v>
      </c>
      <c r="L14" s="201">
        <v>0</v>
      </c>
      <c r="M14" s="219">
        <v>0</v>
      </c>
      <c r="N14" s="237">
        <v>0</v>
      </c>
      <c r="O14" s="255">
        <v>0</v>
      </c>
      <c r="P14" s="273">
        <v>0</v>
      </c>
      <c r="Q14" s="291">
        <v>0</v>
      </c>
      <c r="R14" s="309">
        <v>0</v>
      </c>
      <c r="S14" s="327">
        <v>0</v>
      </c>
      <c r="T14" s="345">
        <v>0</v>
      </c>
      <c r="U14" s="363">
        <v>0</v>
      </c>
      <c r="V14" s="381">
        <v>0</v>
      </c>
      <c r="W14" s="399">
        <v>0</v>
      </c>
      <c r="X14" s="417">
        <v>0</v>
      </c>
      <c r="Y14" s="435">
        <v>0</v>
      </c>
      <c r="Z14" s="453">
        <v>0</v>
      </c>
      <c r="AA14" s="471">
        <v>0</v>
      </c>
      <c r="AB14" s="489">
        <v>0</v>
      </c>
      <c r="AC14" s="507">
        <v>0</v>
      </c>
      <c r="AD14" s="525">
        <v>0</v>
      </c>
      <c r="AE14" s="543">
        <v>0</v>
      </c>
    </row>
    <row r="15" spans="1:31" x14ac:dyDescent="0.35">
      <c r="A15" s="4">
        <v>2022</v>
      </c>
      <c r="B15" s="22">
        <v>0</v>
      </c>
      <c r="C15" s="40">
        <v>0</v>
      </c>
      <c r="D15" s="58">
        <v>0</v>
      </c>
      <c r="E15" s="76">
        <v>0</v>
      </c>
      <c r="F15" s="94">
        <v>0</v>
      </c>
      <c r="G15" s="112">
        <v>0</v>
      </c>
      <c r="H15" s="130">
        <v>0</v>
      </c>
      <c r="I15" s="148">
        <v>0</v>
      </c>
      <c r="J15" s="166">
        <v>0</v>
      </c>
      <c r="K15" s="184">
        <v>0</v>
      </c>
      <c r="L15" s="202">
        <v>0</v>
      </c>
      <c r="M15" s="220">
        <v>0</v>
      </c>
      <c r="N15" s="238">
        <v>0</v>
      </c>
      <c r="O15" s="256">
        <v>0</v>
      </c>
      <c r="P15" s="274">
        <v>0</v>
      </c>
      <c r="Q15" s="292">
        <v>0</v>
      </c>
      <c r="R15" s="310">
        <v>0</v>
      </c>
      <c r="S15" s="328">
        <v>0</v>
      </c>
      <c r="T15" s="346">
        <v>0</v>
      </c>
      <c r="U15" s="364">
        <v>0</v>
      </c>
      <c r="V15" s="382">
        <v>0</v>
      </c>
      <c r="W15" s="400">
        <v>0</v>
      </c>
      <c r="X15" s="418">
        <v>0</v>
      </c>
      <c r="Y15" s="436">
        <v>0</v>
      </c>
      <c r="Z15" s="454">
        <v>0</v>
      </c>
      <c r="AA15" s="472">
        <v>0</v>
      </c>
      <c r="AB15" s="490">
        <v>0</v>
      </c>
      <c r="AC15" s="508">
        <v>0</v>
      </c>
      <c r="AD15" s="526">
        <v>0</v>
      </c>
      <c r="AE15" s="544">
        <v>0</v>
      </c>
    </row>
    <row r="16" spans="1:31" x14ac:dyDescent="0.35">
      <c r="A16" s="4" t="s">
        <v>12</v>
      </c>
      <c r="B16" s="23">
        <v>40</v>
      </c>
      <c r="C16" s="41">
        <v>10</v>
      </c>
      <c r="D16" s="59">
        <v>7</v>
      </c>
      <c r="E16" s="77">
        <v>60</v>
      </c>
      <c r="F16" s="95">
        <v>373</v>
      </c>
      <c r="G16" s="113">
        <v>294</v>
      </c>
      <c r="H16" s="131">
        <v>16</v>
      </c>
      <c r="I16" s="149">
        <v>66</v>
      </c>
      <c r="J16" s="167">
        <v>36</v>
      </c>
      <c r="K16" s="185">
        <v>6</v>
      </c>
      <c r="L16" s="203">
        <v>126</v>
      </c>
      <c r="M16" s="221">
        <v>120</v>
      </c>
      <c r="N16" s="239">
        <v>144</v>
      </c>
      <c r="O16" s="257">
        <v>388</v>
      </c>
      <c r="P16" s="275">
        <v>135</v>
      </c>
      <c r="Q16" s="293">
        <v>33</v>
      </c>
      <c r="R16" s="311">
        <v>36</v>
      </c>
      <c r="S16" s="329">
        <v>176</v>
      </c>
      <c r="T16" s="347">
        <v>11</v>
      </c>
      <c r="U16" s="365">
        <v>162</v>
      </c>
      <c r="V16" s="383">
        <v>426</v>
      </c>
      <c r="W16" s="401">
        <v>21</v>
      </c>
      <c r="X16" s="419">
        <v>429</v>
      </c>
      <c r="Y16" s="437">
        <v>334</v>
      </c>
      <c r="Z16" s="455">
        <v>220</v>
      </c>
      <c r="AA16" s="473">
        <v>285</v>
      </c>
      <c r="AB16" s="491">
        <v>129</v>
      </c>
      <c r="AC16" s="509">
        <v>20</v>
      </c>
      <c r="AD16" s="527">
        <v>147</v>
      </c>
      <c r="AE16" s="545">
        <v>586</v>
      </c>
    </row>
    <row r="17" spans="1:31" x14ac:dyDescent="0.35">
      <c r="A17" s="4" t="s">
        <v>13</v>
      </c>
      <c r="B17" s="24">
        <v>155</v>
      </c>
      <c r="C17" s="42">
        <v>12</v>
      </c>
      <c r="D17" s="60">
        <v>0</v>
      </c>
      <c r="E17" s="78">
        <v>64</v>
      </c>
      <c r="F17" s="96">
        <v>29</v>
      </c>
      <c r="G17" s="114">
        <v>73</v>
      </c>
      <c r="H17" s="132">
        <v>5</v>
      </c>
      <c r="I17" s="150">
        <v>73</v>
      </c>
      <c r="J17" s="168">
        <v>12</v>
      </c>
      <c r="K17" s="186">
        <v>3</v>
      </c>
      <c r="L17" s="204">
        <v>13</v>
      </c>
      <c r="M17" s="222">
        <v>15</v>
      </c>
      <c r="N17" s="240">
        <v>11</v>
      </c>
      <c r="O17" s="258">
        <v>73</v>
      </c>
      <c r="P17" s="276">
        <v>50</v>
      </c>
      <c r="Q17" s="294">
        <v>9</v>
      </c>
      <c r="R17" s="312">
        <v>38</v>
      </c>
      <c r="S17" s="330">
        <v>79</v>
      </c>
      <c r="T17" s="348">
        <v>6</v>
      </c>
      <c r="U17" s="366">
        <v>20</v>
      </c>
      <c r="V17" s="384">
        <v>90</v>
      </c>
      <c r="W17" s="402">
        <v>0</v>
      </c>
      <c r="X17" s="420">
        <v>25</v>
      </c>
      <c r="Y17" s="438">
        <v>37</v>
      </c>
      <c r="Z17" s="456">
        <v>27</v>
      </c>
      <c r="AA17" s="474">
        <v>27</v>
      </c>
      <c r="AB17" s="492">
        <v>41</v>
      </c>
      <c r="AC17" s="510">
        <v>36</v>
      </c>
      <c r="AD17" s="528">
        <v>48</v>
      </c>
      <c r="AE17" s="546">
        <v>98</v>
      </c>
    </row>
    <row r="18" spans="1:31" ht="16" thickBot="1" x14ac:dyDescent="0.4">
      <c r="A18" s="5" t="s">
        <v>14</v>
      </c>
      <c r="B18" s="25">
        <f t="shared" ref="B18:AE18" si="0">B8+B9+B10+B11+B12+B13+B14+B15+B16+B17</f>
        <v>570</v>
      </c>
      <c r="C18" s="43">
        <f t="shared" si="0"/>
        <v>24</v>
      </c>
      <c r="D18" s="61">
        <f t="shared" si="0"/>
        <v>7</v>
      </c>
      <c r="E18" s="79">
        <f t="shared" si="0"/>
        <v>124</v>
      </c>
      <c r="F18" s="97">
        <f t="shared" si="0"/>
        <v>402</v>
      </c>
      <c r="G18" s="115">
        <f t="shared" si="0"/>
        <v>367</v>
      </c>
      <c r="H18" s="133">
        <f t="shared" si="0"/>
        <v>21</v>
      </c>
      <c r="I18" s="151">
        <f t="shared" si="0"/>
        <v>139</v>
      </c>
      <c r="J18" s="169">
        <f t="shared" si="0"/>
        <v>48</v>
      </c>
      <c r="K18" s="187">
        <f t="shared" si="0"/>
        <v>9</v>
      </c>
      <c r="L18" s="205">
        <f t="shared" si="0"/>
        <v>139</v>
      </c>
      <c r="M18" s="223">
        <f t="shared" si="0"/>
        <v>135</v>
      </c>
      <c r="N18" s="241">
        <f t="shared" si="0"/>
        <v>155</v>
      </c>
      <c r="O18" s="259">
        <f t="shared" si="0"/>
        <v>461</v>
      </c>
      <c r="P18" s="277">
        <f t="shared" si="0"/>
        <v>185</v>
      </c>
      <c r="Q18" s="295">
        <f t="shared" si="0"/>
        <v>42</v>
      </c>
      <c r="R18" s="313">
        <f t="shared" si="0"/>
        <v>74</v>
      </c>
      <c r="S18" s="331">
        <f t="shared" si="0"/>
        <v>255</v>
      </c>
      <c r="T18" s="349">
        <f t="shared" si="0"/>
        <v>17</v>
      </c>
      <c r="U18" s="367">
        <f t="shared" si="0"/>
        <v>182</v>
      </c>
      <c r="V18" s="385">
        <f t="shared" si="0"/>
        <v>516</v>
      </c>
      <c r="W18" s="403">
        <f t="shared" si="0"/>
        <v>21</v>
      </c>
      <c r="X18" s="421">
        <f t="shared" si="0"/>
        <v>454</v>
      </c>
      <c r="Y18" s="439">
        <f t="shared" si="0"/>
        <v>371</v>
      </c>
      <c r="Z18" s="457">
        <f t="shared" si="0"/>
        <v>247</v>
      </c>
      <c r="AA18" s="475">
        <f t="shared" si="0"/>
        <v>312</v>
      </c>
      <c r="AB18" s="493">
        <f t="shared" si="0"/>
        <v>170</v>
      </c>
      <c r="AC18" s="511">
        <f t="shared" si="0"/>
        <v>56</v>
      </c>
      <c r="AD18" s="529">
        <f t="shared" si="0"/>
        <v>195</v>
      </c>
      <c r="AE18" s="547">
        <f t="shared" si="0"/>
        <v>685</v>
      </c>
    </row>
  </sheetData>
  <pageMargins left="0.7" right="0.7" top="0.75" bottom="0.75" header="0.3" footer="0.3"/>
  <pageSetup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/>
  </sheetViews>
  <sheetFormatPr baseColWidth="10" defaultColWidth="8.6640625" defaultRowHeight="22" customHeight="1" x14ac:dyDescent="0.35"/>
  <cols>
    <col min="1" max="1" width="5.08203125" bestFit="1" customWidth="1"/>
    <col min="2" max="2" width="39.25" customWidth="1"/>
    <col min="3" max="3" width="100.58203125" customWidth="1"/>
  </cols>
  <sheetData>
    <row r="1" spans="1:3" ht="22" customHeight="1" x14ac:dyDescent="0.35">
      <c r="A1" s="2" t="s">
        <v>15</v>
      </c>
      <c r="B1" s="2" t="s">
        <v>16</v>
      </c>
      <c r="C1" s="2" t="s">
        <v>17</v>
      </c>
    </row>
    <row r="2" spans="1:3" ht="22" customHeight="1" x14ac:dyDescent="0.35">
      <c r="A2" s="6">
        <v>1001</v>
      </c>
      <c r="B2" s="6" t="s">
        <v>18</v>
      </c>
      <c r="C2" s="6" t="s">
        <v>19</v>
      </c>
    </row>
    <row r="3" spans="1:3" ht="22" customHeight="1" x14ac:dyDescent="0.35">
      <c r="A3" s="6">
        <v>1002</v>
      </c>
      <c r="B3" s="6" t="s">
        <v>18</v>
      </c>
      <c r="C3" s="6" t="s">
        <v>20</v>
      </c>
    </row>
    <row r="4" spans="1:3" ht="22" customHeight="1" x14ac:dyDescent="0.35">
      <c r="A4" s="6">
        <v>1004</v>
      </c>
      <c r="B4" s="6" t="s">
        <v>18</v>
      </c>
      <c r="C4" s="6" t="s">
        <v>21</v>
      </c>
    </row>
    <row r="5" spans="1:3" ht="22" customHeight="1" x14ac:dyDescent="0.35">
      <c r="A5" s="6">
        <v>1005</v>
      </c>
      <c r="B5" s="6" t="s">
        <v>18</v>
      </c>
      <c r="C5" s="6" t="s">
        <v>22</v>
      </c>
    </row>
    <row r="6" spans="1:3" ht="22" customHeight="1" x14ac:dyDescent="0.35">
      <c r="A6" s="6">
        <v>1006</v>
      </c>
      <c r="B6" s="6" t="s">
        <v>18</v>
      </c>
      <c r="C6" s="6" t="s">
        <v>23</v>
      </c>
    </row>
    <row r="7" spans="1:3" ht="22" customHeight="1" x14ac:dyDescent="0.35">
      <c r="A7" s="6">
        <v>1007</v>
      </c>
      <c r="B7" s="6" t="s">
        <v>18</v>
      </c>
      <c r="C7" s="6" t="s">
        <v>24</v>
      </c>
    </row>
    <row r="8" spans="1:3" ht="22" customHeight="1" x14ac:dyDescent="0.35">
      <c r="A8" s="6">
        <v>1017</v>
      </c>
      <c r="B8" s="6" t="s">
        <v>18</v>
      </c>
      <c r="C8" s="6" t="s">
        <v>25</v>
      </c>
    </row>
    <row r="9" spans="1:3" ht="22" customHeight="1" x14ac:dyDescent="0.35">
      <c r="A9" s="6">
        <v>1018</v>
      </c>
      <c r="B9" s="6" t="s">
        <v>18</v>
      </c>
      <c r="C9" s="6" t="s">
        <v>26</v>
      </c>
    </row>
    <row r="10" spans="1:3" ht="22" customHeight="1" x14ac:dyDescent="0.35">
      <c r="A10" s="6">
        <v>2003</v>
      </c>
      <c r="B10" s="6" t="s">
        <v>27</v>
      </c>
      <c r="C10" s="6" t="s">
        <v>28</v>
      </c>
    </row>
    <row r="11" spans="1:3" ht="22" customHeight="1" x14ac:dyDescent="0.35">
      <c r="A11" s="6">
        <v>2005</v>
      </c>
      <c r="B11" s="6" t="s">
        <v>27</v>
      </c>
      <c r="C11" s="6" t="s">
        <v>29</v>
      </c>
    </row>
    <row r="12" spans="1:3" ht="22" customHeight="1" x14ac:dyDescent="0.35">
      <c r="A12" s="6">
        <v>2008</v>
      </c>
      <c r="B12" s="6" t="s">
        <v>27</v>
      </c>
      <c r="C12" s="6" t="s">
        <v>30</v>
      </c>
    </row>
    <row r="13" spans="1:3" ht="22" customHeight="1" x14ac:dyDescent="0.35">
      <c r="A13" s="6">
        <v>2009</v>
      </c>
      <c r="B13" s="6" t="s">
        <v>27</v>
      </c>
      <c r="C13" s="6" t="s">
        <v>31</v>
      </c>
    </row>
    <row r="14" spans="1:3" ht="22" customHeight="1" x14ac:dyDescent="0.35">
      <c r="A14" s="6">
        <v>2011</v>
      </c>
      <c r="B14" s="6" t="s">
        <v>32</v>
      </c>
      <c r="C14" s="6" t="s">
        <v>33</v>
      </c>
    </row>
    <row r="15" spans="1:3" ht="22" customHeight="1" x14ac:dyDescent="0.35">
      <c r="A15" s="6">
        <v>2014</v>
      </c>
      <c r="B15" s="6" t="s">
        <v>27</v>
      </c>
      <c r="C15" s="6" t="s">
        <v>34</v>
      </c>
    </row>
    <row r="16" spans="1:3" ht="22" customHeight="1" x14ac:dyDescent="0.35">
      <c r="A16" s="6">
        <v>2016</v>
      </c>
      <c r="B16" s="6" t="s">
        <v>27</v>
      </c>
      <c r="C16" s="6" t="s">
        <v>35</v>
      </c>
    </row>
    <row r="17" spans="1:3" ht="22" customHeight="1" x14ac:dyDescent="0.35">
      <c r="A17" s="6">
        <v>2018</v>
      </c>
      <c r="B17" s="6" t="s">
        <v>32</v>
      </c>
      <c r="C17" s="6" t="s">
        <v>36</v>
      </c>
    </row>
    <row r="18" spans="1:3" ht="22" customHeight="1" x14ac:dyDescent="0.35">
      <c r="A18" s="6">
        <v>2022</v>
      </c>
      <c r="B18" s="6" t="s">
        <v>27</v>
      </c>
      <c r="C18" s="6" t="s">
        <v>37</v>
      </c>
    </row>
    <row r="19" spans="1:3" ht="22" customHeight="1" x14ac:dyDescent="0.35">
      <c r="A19" s="6">
        <v>2025</v>
      </c>
      <c r="B19" s="6" t="s">
        <v>32</v>
      </c>
      <c r="C19" s="6" t="s">
        <v>38</v>
      </c>
    </row>
    <row r="20" spans="1:3" ht="22" customHeight="1" x14ac:dyDescent="0.35">
      <c r="A20" s="6">
        <v>2032</v>
      </c>
      <c r="B20" s="6" t="s">
        <v>27</v>
      </c>
      <c r="C20" s="6" t="s">
        <v>39</v>
      </c>
    </row>
    <row r="21" spans="1:3" ht="22" customHeight="1" x14ac:dyDescent="0.35">
      <c r="A21" s="6">
        <v>2034</v>
      </c>
      <c r="B21" s="6" t="s">
        <v>27</v>
      </c>
      <c r="C21" s="6" t="s">
        <v>40</v>
      </c>
    </row>
    <row r="22" spans="1:3" ht="22" customHeight="1" x14ac:dyDescent="0.35">
      <c r="A22" s="6">
        <v>2037</v>
      </c>
      <c r="B22" s="6" t="s">
        <v>32</v>
      </c>
      <c r="C22" s="6" t="s">
        <v>41</v>
      </c>
    </row>
    <row r="23" spans="1:3" ht="22" customHeight="1" x14ac:dyDescent="0.35">
      <c r="A23" s="6">
        <v>4010</v>
      </c>
      <c r="B23" s="6" t="s">
        <v>42</v>
      </c>
      <c r="C23" s="6" t="s">
        <v>43</v>
      </c>
    </row>
    <row r="24" spans="1:3" ht="22" customHeight="1" x14ac:dyDescent="0.35">
      <c r="A24" s="6">
        <v>4017</v>
      </c>
      <c r="B24" s="6" t="s">
        <v>42</v>
      </c>
      <c r="C24" s="6" t="s">
        <v>34</v>
      </c>
    </row>
    <row r="25" spans="1:3" ht="22" customHeight="1" x14ac:dyDescent="0.35">
      <c r="A25" s="6">
        <v>5006</v>
      </c>
      <c r="B25" s="6" t="s">
        <v>44</v>
      </c>
      <c r="C25" s="6" t="s">
        <v>45</v>
      </c>
    </row>
    <row r="26" spans="1:3" ht="22" customHeight="1" x14ac:dyDescent="0.35">
      <c r="A26" s="6">
        <v>5007</v>
      </c>
      <c r="B26" s="6" t="s">
        <v>44</v>
      </c>
      <c r="C26" s="6" t="s">
        <v>46</v>
      </c>
    </row>
    <row r="27" spans="1:3" ht="22" customHeight="1" x14ac:dyDescent="0.35">
      <c r="A27" s="6">
        <v>5011</v>
      </c>
      <c r="B27" s="6" t="s">
        <v>44</v>
      </c>
      <c r="C27" s="6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Ariel Epelman</cp:lastModifiedBy>
  <dcterms:created xsi:type="dcterms:W3CDTF">2014-04-20T08:25:13Z</dcterms:created>
  <dcterms:modified xsi:type="dcterms:W3CDTF">2019-10-01T13:10:11Z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