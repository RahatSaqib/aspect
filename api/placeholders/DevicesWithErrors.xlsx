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epel\Desktop\"/>
    </mc:Choice>
  </mc:AlternateContent>
  <bookViews>
    <workbookView xWindow="0" yWindow="0" windowWidth="19200" windowHeight="6470" tabRatio="815"/>
  </bookViews>
  <sheets>
    <sheet name="Errors by Device" sheetId="1" r:id="rId1"/>
    <sheet name="Error Codes by Device" sheetId="2" r:id="rId2"/>
    <sheet name="Error Codes" sheetId="3" r:id="rId3"/>
  </sheets>
  <calcPr calcId="162913" fullPrecision="0" calcOnSave="0" concurrentCalc="0"/>
  <extLst>
    <ext uri="{7523E5D3-25F3-A5E0-1632-64F254C22452}">
      <mx:ArchID xmlns:mx="http://schemas.microsoft.com/office/mac/excel/2008/main" Flags="2"/>
    </ext>
  </extLst>
</workbook>
</file>

<file path=xl/calcChain.xml><?xml version="1.0" encoding="utf-8"?>
<calcChain xmlns="http://schemas.openxmlformats.org/spreadsheetml/2006/main">
  <c r="B18" i="2" l="1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K49" i="1"/>
  <c r="K47" i="1"/>
  <c r="K46" i="1"/>
  <c r="K45" i="1"/>
  <c r="K44" i="1"/>
  <c r="K43" i="1"/>
  <c r="K42" i="1"/>
  <c r="K41" i="1"/>
  <c r="K40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</calcChain>
</file>

<file path=xl/sharedStrings.xml><?xml version="1.0" encoding="utf-8"?>
<sst xmlns="http://schemas.openxmlformats.org/spreadsheetml/2006/main" count="331" uniqueCount="127">
  <si>
    <t>MTB-</t>
  </si>
  <si>
    <t>MTB+ Rif-</t>
  </si>
  <si>
    <t>MTB+ Rif+</t>
  </si>
  <si>
    <t>Invalid</t>
  </si>
  <si>
    <t>Errors</t>
  </si>
  <si>
    <t>&lt;MtbNegative&gt;</t>
  </si>
  <si>
    <t>&lt;MtbPositiveRifNegative&gt;</t>
  </si>
  <si>
    <t>&lt;MtbPositiveRifIndeterminate&gt;</t>
  </si>
  <si>
    <t>&lt;MtbPositiveRifPositive&gt;</t>
  </si>
  <si>
    <t>Deployment</t>
  </si>
  <si>
    <t>Last Upload</t>
  </si>
  <si>
    <t>MTB+ Rif?</t>
  </si>
  <si>
    <t>Error Percentage</t>
  </si>
  <si>
    <t>Other Error</t>
  </si>
  <si>
    <t>Invalid Results</t>
  </si>
  <si>
    <t>Total errors, 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</si>
  <si>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</si>
  <si>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</si>
  <si>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</si>
  <si>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</si>
  <si>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</si>
  <si>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</si>
  <si>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</si>
  <si>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</si>
  <si>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</si>
  <si>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</si>
  <si>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</si>
  <si>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</si>
  <si>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</si>
  <si>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</si>
  <si>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</si>
  <si>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</si>
  <si>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</si>
  <si>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</si>
  <si>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</si>
  <si>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</si>
  <si>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</si>
  <si>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</si>
  <si>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</si>
  <si>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</si>
  <si>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</si>
  <si>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</si>
  <si>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</si>
  <si>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</si>
  <si>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</si>
  <si>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</si>
  <si>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</si>
  <si>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</si>
  <si>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</si>
  <si>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Errors by Device</t>
  </si>
  <si>
    <t>Error Codes by Device</t>
  </si>
  <si>
    <t>Type of error</t>
  </si>
  <si>
    <t>Total Tests Run During Period</t>
  </si>
  <si>
    <t>Serial</t>
  </si>
  <si>
    <t>Date Range: -</t>
  </si>
  <si>
    <t>States: Balochistan, FATA, Gilgit–Baltistan, Islamabad Capital Territory, Khyber Pakhtunkhwa, Punjab, Sindh</t>
  </si>
  <si>
    <t>Deployment 1908</t>
  </si>
  <si>
    <t>DevSerial-1067</t>
  </si>
  <si>
    <t>Deployment 1907</t>
  </si>
  <si>
    <t>DevSerial-1066</t>
  </si>
  <si>
    <t>Deployment 1900</t>
  </si>
  <si>
    <t>DevSerial-1059</t>
  </si>
  <si>
    <t>Deployment 1899</t>
  </si>
  <si>
    <t>DevSerial-1058</t>
  </si>
  <si>
    <t>Deployment 1897</t>
  </si>
  <si>
    <t>DevSerial-1056</t>
  </si>
  <si>
    <t>Deployment 1896</t>
  </si>
  <si>
    <t>DevSerial-1055</t>
  </si>
  <si>
    <t>Deployment 1895</t>
  </si>
  <si>
    <t>DevSerial-1054</t>
  </si>
  <si>
    <t>Deployment 1894</t>
  </si>
  <si>
    <t>DevSerial-1053</t>
  </si>
  <si>
    <t>Deployment 1893</t>
  </si>
  <si>
    <t>DevSerial-1052</t>
  </si>
  <si>
    <t>Deployment 1892</t>
  </si>
  <si>
    <t>DevSerial-1051</t>
  </si>
  <si>
    <t>Deployment 1891</t>
  </si>
  <si>
    <t>DevSerial-1050</t>
  </si>
  <si>
    <t>Deployment 1890</t>
  </si>
  <si>
    <t>DevSerial-1049</t>
  </si>
  <si>
    <t>Deployment 1889</t>
  </si>
  <si>
    <t>DevSerial-1048</t>
  </si>
  <si>
    <t>Deployment 1882</t>
  </si>
  <si>
    <t>DevSerial-1041</t>
  </si>
  <si>
    <t>Deployment 1879</t>
  </si>
  <si>
    <t>DevSerial-1038</t>
  </si>
  <si>
    <t>Deployment 1875</t>
  </si>
  <si>
    <t>DevSerial-1034</t>
  </si>
  <si>
    <t>Deployment 1873</t>
  </si>
  <si>
    <t>DevSerial-1032</t>
  </si>
  <si>
    <t>Deployment 1871</t>
  </si>
  <si>
    <t>DevSerial-1030</t>
  </si>
  <si>
    <t>Deployment 1870</t>
  </si>
  <si>
    <t>DevSerial-1029</t>
  </si>
  <si>
    <t>Deployment 1869</t>
  </si>
  <si>
    <t>DevSerial-1028</t>
  </si>
  <si>
    <t>Deployment 1867</t>
  </si>
  <si>
    <t>DevSerial-1026</t>
  </si>
  <si>
    <t>Deployment 1865</t>
  </si>
  <si>
    <t>DevSerial-1024</t>
  </si>
  <si>
    <t>Deployment 1864</t>
  </si>
  <si>
    <t>DevSerial-1023</t>
  </si>
  <si>
    <t>Deployment 1862</t>
  </si>
  <si>
    <t>DevSerial-1021</t>
  </si>
  <si>
    <t>Deployment 1861</t>
  </si>
  <si>
    <t>DevSerial-1020</t>
  </si>
  <si>
    <t>Deployment 1858</t>
  </si>
  <si>
    <t>DevSerial-1017</t>
  </si>
  <si>
    <t>Deployment 1857</t>
  </si>
  <si>
    <t>DevSerial-1016</t>
  </si>
  <si>
    <t>Deployment 1856</t>
  </si>
  <si>
    <t>DevSerial-1015</t>
  </si>
  <si>
    <t>Deployment 1855</t>
  </si>
  <si>
    <t>DevSerial-1014</t>
  </si>
  <si>
    <t>Deployment 1587</t>
  </si>
  <si>
    <t>DevSerial-760</t>
  </si>
  <si>
    <t>Subtotal for devices not assigned to a state</t>
  </si>
  <si>
    <t>Total</t>
  </si>
  <si>
    <t>Dates: -</t>
  </si>
  <si>
    <t>States: State 1, State 2, State 3, State 4, State 5, State 6, State 7</t>
  </si>
  <si>
    <t>Subtotal for State 1</t>
  </si>
  <si>
    <t>Subtotal for State 2</t>
  </si>
  <si>
    <t>Subtotal for State 3</t>
  </si>
  <si>
    <t>Subtotal for State 4</t>
  </si>
  <si>
    <t>Subtotal for State 5</t>
  </si>
  <si>
    <t>Subtotal for State 6</t>
  </si>
  <si>
    <t>Subtotal for State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</si>
</sst>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</cellStyleXfs>
  <cellXfs count="1017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 applyFill="1" applyBorder="1"/>
    <xf numFmtId="0" fontId="0" fillId="0" borderId="1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applyAlignment="1">
      <alignment vertical="center" wrapText="1"/>
    </xf>
    <xf numFmtId="0" fontId="1" fillId="0" borderId="8" xfId="0" applyFont="1" applyBorder="1"/>
    <xf numFmtId="0" fontId="1" fillId="2" borderId="11" xfId="0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3" xfId="0" applyBorder="1"/>
    <xf numFmtId="0" fontId="0" fillId="0" borderId="12" xfId="0" applyBorder="1"/>
    <xf numFmtId="164" fontId="0" fillId="0" borderId="4" xfId="0" applyNumberFormat="1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0" fontId="0" fillId="0" borderId="4" xfId="0" applyBorder="1"/>
    <xf numFmtId="9" fontId="0" fillId="0" borderId="4" xfId="0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3" fontId="0" fillId="0" borderId="9" xfId="0" applyNumberFormat="1" applyFill="1" applyBorder="1" applyAlignment="1">
      <alignment horizontal="center"/>
    </xf>
  </cellXfs>
  <cellStyles count="43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3"/>
  <sheetViews>
    <sheetView tabSelected="1" workbookViewId="0">
      <selection activeCell="A41" sqref="A41"/>
    </sheetView>
  </sheetViews>
  <sheetFormatPr baseColWidth="10" defaultColWidth="11" defaultRowHeight="15.5" x14ac:dyDescent="0.35"/>
  <cols>
    <col min="1" max="1" width="27.08203125" customWidth="1"/>
    <col min="2" max="2" width="15.25" customWidth="1"/>
    <col min="3" max="3" width="19.08203125" customWidth="1"/>
    <col min="4" max="4" width="14.83203125" customWidth="1"/>
    <col min="5" max="7" width="0" hidden="1" customWidth="1"/>
    <col min="8" max="8" width="3" hidden="1" customWidth="1"/>
    <col min="9" max="9" width="11" customWidth="1"/>
    <col min="11" max="11" width="17" customWidth="1"/>
  </cols>
  <sheetData>
    <row r="1" spans="1:11" ht="21" x14ac:dyDescent="0.5">
      <c r="A1" s="1" t="s">
        <v>49</v>
      </c>
      <c r="B1" s="14"/>
    </row>
    <row r="2" spans="1:11" x14ac:dyDescent="0.35">
      <c r="A2" t="s">
        <v>54</v>
      </c>
    </row>
    <row r="3" spans="1:11" x14ac:dyDescent="0.35">
      <c r="A3" t="s">
        <v>119</v>
      </c>
    </row>
    <row r="6" spans="1:11" ht="16" thickBot="1" x14ac:dyDescent="0.4"/>
    <row r="7" spans="1:11" s="2" customFormat="1" ht="77.5" x14ac:dyDescent="0.35">
      <c r="A7" s="3" t="s">
        <v>9</v>
      </c>
      <c r="B7" s="13" t="s">
        <v>53</v>
      </c>
      <c r="C7" s="4" t="s">
        <v>10</v>
      </c>
      <c r="D7" s="4" t="s">
        <v>52</v>
      </c>
      <c r="E7" s="5" t="s">
        <v>0</v>
      </c>
      <c r="F7" s="5" t="s">
        <v>1</v>
      </c>
      <c r="G7" s="5" t="s">
        <v>2</v>
      </c>
      <c r="H7" s="4" t="s">
        <v>11</v>
      </c>
      <c r="I7" s="5" t="s">
        <v>3</v>
      </c>
      <c r="J7" s="5" t="s">
        <v>4</v>
      </c>
      <c r="K7" s="4" t="s">
        <v>12</v>
      </c>
    </row>
    <row r="8" spans="1:11" x14ac:dyDescent="0.35">
      <c r="A8" s="15" t="s">
        <v>56</v>
      </c>
      <c r="B8" s="16" t="s">
        <v>57</v>
      </c>
      <c r="C8" s="17">
        <v>42618.7577199074</v>
      </c>
      <c r="D8" s="18">
        <v>7067</v>
      </c>
      <c r="E8" s="19" t="s">
        <v>5</v>
      </c>
      <c r="F8" s="20" t="s">
        <v>6</v>
      </c>
      <c r="G8" s="21" t="s">
        <v>8</v>
      </c>
      <c r="H8" s="22" t="s">
        <v>7</v>
      </c>
      <c r="I8" s="23">
        <v>155</v>
      </c>
      <c r="J8" s="24">
        <v>415</v>
      </c>
      <c r="K8" s="25">
        <f t="shared" ref="K8:K37" si="0">IF(D8=0,0,(J8)/D8)</f>
        <v>0.06</v>
      </c>
    </row>
    <row r="9" spans="1:11" x14ac:dyDescent="0.35">
      <c r="A9" s="26" t="s">
        <v>58</v>
      </c>
      <c r="B9" s="27" t="s">
        <v>59</v>
      </c>
      <c r="C9" s="28">
        <v>42618.6410300926</v>
      </c>
      <c r="D9" s="29">
        <v>170</v>
      </c>
      <c r="E9" s="30" t="s">
        <v>5</v>
      </c>
      <c r="F9" s="31" t="s">
        <v>6</v>
      </c>
      <c r="G9" s="32" t="s">
        <v>8</v>
      </c>
      <c r="H9" s="33" t="s">
        <v>7</v>
      </c>
      <c r="I9" s="34">
        <v>12</v>
      </c>
      <c r="J9" s="35">
        <v>12</v>
      </c>
      <c r="K9" s="36">
        <f t="shared" si="0"/>
        <v>7.0000000000000007E-2</v>
      </c>
    </row>
    <row r="10" spans="1:11" x14ac:dyDescent="0.35">
      <c r="A10" s="37" t="s">
        <v>60</v>
      </c>
      <c r="B10" s="38" t="s">
        <v>61</v>
      </c>
      <c r="C10" s="39">
        <v>42610.9596296296</v>
      </c>
      <c r="D10" s="40">
        <v>17</v>
      </c>
      <c r="E10" s="41" t="s">
        <v>5</v>
      </c>
      <c r="F10" s="42" t="s">
        <v>6</v>
      </c>
      <c r="G10" s="43" t="s">
        <v>8</v>
      </c>
      <c r="H10" s="44" t="s">
        <v>7</v>
      </c>
      <c r="I10" s="45">
        <v>0</v>
      </c>
      <c r="J10" s="46">
        <v>7</v>
      </c>
      <c r="K10" s="47">
        <f t="shared" si="0"/>
        <v>0.41</v>
      </c>
    </row>
    <row r="11" spans="1:11" x14ac:dyDescent="0.35">
      <c r="A11" s="48" t="s">
        <v>62</v>
      </c>
      <c r="B11" s="49" t="s">
        <v>63</v>
      </c>
      <c r="C11" s="50">
        <v>42610.9601736111</v>
      </c>
      <c r="D11" s="51">
        <v>1020</v>
      </c>
      <c r="E11" s="52" t="s">
        <v>5</v>
      </c>
      <c r="F11" s="53" t="s">
        <v>6</v>
      </c>
      <c r="G11" s="54" t="s">
        <v>8</v>
      </c>
      <c r="H11" s="55" t="s">
        <v>7</v>
      </c>
      <c r="I11" s="56">
        <v>64</v>
      </c>
      <c r="J11" s="57">
        <v>60</v>
      </c>
      <c r="K11" s="58">
        <f t="shared" si="0"/>
        <v>0.06</v>
      </c>
    </row>
    <row r="12" spans="1:11" x14ac:dyDescent="0.35">
      <c r="A12" s="59" t="s">
        <v>64</v>
      </c>
      <c r="B12" s="60" t="s">
        <v>65</v>
      </c>
      <c r="C12" s="61">
        <v>42610.943043981497</v>
      </c>
      <c r="D12" s="62">
        <v>1709</v>
      </c>
      <c r="E12" s="63" t="s">
        <v>5</v>
      </c>
      <c r="F12" s="64" t="s">
        <v>6</v>
      </c>
      <c r="G12" s="65" t="s">
        <v>8</v>
      </c>
      <c r="H12" s="66" t="s">
        <v>7</v>
      </c>
      <c r="I12" s="67">
        <v>29</v>
      </c>
      <c r="J12" s="68">
        <v>373</v>
      </c>
      <c r="K12" s="69">
        <f t="shared" si="0"/>
        <v>0.22</v>
      </c>
    </row>
    <row r="13" spans="1:11" x14ac:dyDescent="0.35">
      <c r="A13" s="70" t="s">
        <v>66</v>
      </c>
      <c r="B13" s="71" t="s">
        <v>67</v>
      </c>
      <c r="C13" s="72">
        <v>42610.916956018496</v>
      </c>
      <c r="D13" s="73">
        <v>5353</v>
      </c>
      <c r="E13" s="74" t="s">
        <v>5</v>
      </c>
      <c r="F13" s="75" t="s">
        <v>6</v>
      </c>
      <c r="G13" s="76" t="s">
        <v>8</v>
      </c>
      <c r="H13" s="77" t="s">
        <v>7</v>
      </c>
      <c r="I13" s="78">
        <v>73</v>
      </c>
      <c r="J13" s="79">
        <v>294</v>
      </c>
      <c r="K13" s="80">
        <f t="shared" si="0"/>
        <v>0.05</v>
      </c>
    </row>
    <row r="14" spans="1:11" x14ac:dyDescent="0.35">
      <c r="A14" s="81" t="s">
        <v>68</v>
      </c>
      <c r="B14" s="82" t="s">
        <v>69</v>
      </c>
      <c r="C14" s="83">
        <v>42610.800694444399</v>
      </c>
      <c r="D14" s="84">
        <v>267</v>
      </c>
      <c r="E14" s="85" t="s">
        <v>5</v>
      </c>
      <c r="F14" s="86" t="s">
        <v>6</v>
      </c>
      <c r="G14" s="87" t="s">
        <v>8</v>
      </c>
      <c r="H14" s="88" t="s">
        <v>7</v>
      </c>
      <c r="I14" s="89">
        <v>5</v>
      </c>
      <c r="J14" s="90">
        <v>16</v>
      </c>
      <c r="K14" s="91">
        <f t="shared" si="0"/>
        <v>0.06</v>
      </c>
    </row>
    <row r="15" spans="1:11" x14ac:dyDescent="0.35">
      <c r="A15" s="92" t="s">
        <v>70</v>
      </c>
      <c r="B15" s="93" t="s">
        <v>71</v>
      </c>
      <c r="C15" s="94">
        <v>42610.811701388899</v>
      </c>
      <c r="D15" s="95">
        <v>1352</v>
      </c>
      <c r="E15" s="96" t="s">
        <v>5</v>
      </c>
      <c r="F15" s="97" t="s">
        <v>6</v>
      </c>
      <c r="G15" s="98" t="s">
        <v>8</v>
      </c>
      <c r="H15" s="99" t="s">
        <v>7</v>
      </c>
      <c r="I15" s="100">
        <v>73</v>
      </c>
      <c r="J15" s="101">
        <v>66</v>
      </c>
      <c r="K15" s="102">
        <f t="shared" si="0"/>
        <v>0.05</v>
      </c>
    </row>
    <row r="16" spans="1:11" x14ac:dyDescent="0.35">
      <c r="A16" s="103" t="s">
        <v>72</v>
      </c>
      <c r="B16" s="104" t="s">
        <v>73</v>
      </c>
      <c r="C16" s="105">
        <v>42610.7956597222</v>
      </c>
      <c r="D16" s="106">
        <v>407</v>
      </c>
      <c r="E16" s="107" t="s">
        <v>5</v>
      </c>
      <c r="F16" s="108" t="s">
        <v>6</v>
      </c>
      <c r="G16" s="109" t="s">
        <v>8</v>
      </c>
      <c r="H16" s="110" t="s">
        <v>7</v>
      </c>
      <c r="I16" s="111">
        <v>12</v>
      </c>
      <c r="J16" s="112">
        <v>36</v>
      </c>
      <c r="K16" s="113">
        <f t="shared" si="0"/>
        <v>0.09</v>
      </c>
    </row>
    <row r="17" spans="1:11" x14ac:dyDescent="0.35">
      <c r="A17" s="114" t="s">
        <v>74</v>
      </c>
      <c r="B17" s="115" t="s">
        <v>75</v>
      </c>
      <c r="C17" s="116">
        <v>42610.785729166702</v>
      </c>
      <c r="D17" s="117">
        <v>68</v>
      </c>
      <c r="E17" s="118" t="s">
        <v>5</v>
      </c>
      <c r="F17" s="119" t="s">
        <v>6</v>
      </c>
      <c r="G17" s="120" t="s">
        <v>8</v>
      </c>
      <c r="H17" s="121" t="s">
        <v>7</v>
      </c>
      <c r="I17" s="122">
        <v>3</v>
      </c>
      <c r="J17" s="123">
        <v>6</v>
      </c>
      <c r="K17" s="124">
        <f t="shared" si="0"/>
        <v>0.09</v>
      </c>
    </row>
    <row r="18" spans="1:11" x14ac:dyDescent="0.35">
      <c r="A18" s="125" t="s">
        <v>76</v>
      </c>
      <c r="B18" s="126" t="s">
        <v>77</v>
      </c>
      <c r="C18" s="127">
        <v>42610.799317129597</v>
      </c>
      <c r="D18" s="128">
        <v>906</v>
      </c>
      <c r="E18" s="129" t="s">
        <v>5</v>
      </c>
      <c r="F18" s="130" t="s">
        <v>6</v>
      </c>
      <c r="G18" s="131" t="s">
        <v>8</v>
      </c>
      <c r="H18" s="132" t="s">
        <v>7</v>
      </c>
      <c r="I18" s="133">
        <v>13</v>
      </c>
      <c r="J18" s="134">
        <v>126</v>
      </c>
      <c r="K18" s="135">
        <f t="shared" si="0"/>
        <v>0.14000000000000001</v>
      </c>
    </row>
    <row r="19" spans="1:11" x14ac:dyDescent="0.35">
      <c r="A19" s="136" t="s">
        <v>78</v>
      </c>
      <c r="B19" s="137" t="s">
        <v>79</v>
      </c>
      <c r="C19" s="138">
        <v>42610.791875000003</v>
      </c>
      <c r="D19" s="139">
        <v>775</v>
      </c>
      <c r="E19" s="140" t="s">
        <v>5</v>
      </c>
      <c r="F19" s="141" t="s">
        <v>6</v>
      </c>
      <c r="G19" s="142" t="s">
        <v>8</v>
      </c>
      <c r="H19" s="143" t="s">
        <v>7</v>
      </c>
      <c r="I19" s="144">
        <v>15</v>
      </c>
      <c r="J19" s="145">
        <v>120</v>
      </c>
      <c r="K19" s="146">
        <f t="shared" si="0"/>
        <v>0.15</v>
      </c>
    </row>
    <row r="20" spans="1:11" x14ac:dyDescent="0.35">
      <c r="A20" s="147" t="s">
        <v>80</v>
      </c>
      <c r="B20" s="148" t="s">
        <v>81</v>
      </c>
      <c r="C20" s="149">
        <v>42610.793275463002</v>
      </c>
      <c r="D20" s="150">
        <v>916</v>
      </c>
      <c r="E20" s="151" t="s">
        <v>5</v>
      </c>
      <c r="F20" s="152" t="s">
        <v>6</v>
      </c>
      <c r="G20" s="153" t="s">
        <v>8</v>
      </c>
      <c r="H20" s="154" t="s">
        <v>7</v>
      </c>
      <c r="I20" s="155">
        <v>11</v>
      </c>
      <c r="J20" s="156">
        <v>144</v>
      </c>
      <c r="K20" s="157">
        <f t="shared" si="0"/>
        <v>0.16</v>
      </c>
    </row>
    <row r="21" spans="1:11" x14ac:dyDescent="0.35">
      <c r="A21" s="158" t="s">
        <v>82</v>
      </c>
      <c r="B21" s="159" t="s">
        <v>83</v>
      </c>
      <c r="C21" s="160">
        <v>42603.557037036997</v>
      </c>
      <c r="D21" s="161">
        <v>4293</v>
      </c>
      <c r="E21" s="162" t="s">
        <v>5</v>
      </c>
      <c r="F21" s="163" t="s">
        <v>6</v>
      </c>
      <c r="G21" s="164" t="s">
        <v>8</v>
      </c>
      <c r="H21" s="165" t="s">
        <v>7</v>
      </c>
      <c r="I21" s="166">
        <v>73</v>
      </c>
      <c r="J21" s="167">
        <v>388</v>
      </c>
      <c r="K21" s="168">
        <f t="shared" si="0"/>
        <v>0.09</v>
      </c>
    </row>
    <row r="22" spans="1:11" x14ac:dyDescent="0.35">
      <c r="A22" s="169" t="s">
        <v>84</v>
      </c>
      <c r="B22" s="170" t="s">
        <v>85</v>
      </c>
      <c r="C22" s="171">
        <v>42603.526053240697</v>
      </c>
      <c r="D22" s="172">
        <v>2038</v>
      </c>
      <c r="E22" s="173" t="s">
        <v>5</v>
      </c>
      <c r="F22" s="174" t="s">
        <v>6</v>
      </c>
      <c r="G22" s="175" t="s">
        <v>8</v>
      </c>
      <c r="H22" s="176" t="s">
        <v>7</v>
      </c>
      <c r="I22" s="177">
        <v>50</v>
      </c>
      <c r="J22" s="178">
        <v>135</v>
      </c>
      <c r="K22" s="179">
        <f t="shared" si="0"/>
        <v>7.0000000000000007E-2</v>
      </c>
    </row>
    <row r="23" spans="1:11" x14ac:dyDescent="0.35">
      <c r="A23" s="180" t="s">
        <v>86</v>
      </c>
      <c r="B23" s="181" t="s">
        <v>87</v>
      </c>
      <c r="C23" s="182">
        <v>42603.487719907404</v>
      </c>
      <c r="D23" s="183">
        <v>521</v>
      </c>
      <c r="E23" s="184" t="s">
        <v>5</v>
      </c>
      <c r="F23" s="185" t="s">
        <v>6</v>
      </c>
      <c r="G23" s="186" t="s">
        <v>8</v>
      </c>
      <c r="H23" s="187" t="s">
        <v>7</v>
      </c>
      <c r="I23" s="188">
        <v>9</v>
      </c>
      <c r="J23" s="189">
        <v>33</v>
      </c>
      <c r="K23" s="190">
        <f t="shared" si="0"/>
        <v>0.06</v>
      </c>
    </row>
    <row r="24" spans="1:11" x14ac:dyDescent="0.35">
      <c r="A24" s="191" t="s">
        <v>88</v>
      </c>
      <c r="B24" s="192" t="s">
        <v>89</v>
      </c>
      <c r="C24" s="193">
        <v>42595.620902777802</v>
      </c>
      <c r="D24" s="194">
        <v>1131</v>
      </c>
      <c r="E24" s="195" t="s">
        <v>5</v>
      </c>
      <c r="F24" s="196" t="s">
        <v>6</v>
      </c>
      <c r="G24" s="197" t="s">
        <v>8</v>
      </c>
      <c r="H24" s="198" t="s">
        <v>7</v>
      </c>
      <c r="I24" s="199">
        <v>38</v>
      </c>
      <c r="J24" s="200">
        <v>36</v>
      </c>
      <c r="K24" s="201">
        <f t="shared" si="0"/>
        <v>0.03</v>
      </c>
    </row>
    <row r="25" spans="1:11" x14ac:dyDescent="0.35">
      <c r="A25" s="202" t="s">
        <v>90</v>
      </c>
      <c r="B25" s="203" t="s">
        <v>91</v>
      </c>
      <c r="C25" s="204">
        <v>42595.640648148103</v>
      </c>
      <c r="D25" s="205">
        <v>2656</v>
      </c>
      <c r="E25" s="206" t="s">
        <v>5</v>
      </c>
      <c r="F25" s="207" t="s">
        <v>6</v>
      </c>
      <c r="G25" s="208" t="s">
        <v>8</v>
      </c>
      <c r="H25" s="209" t="s">
        <v>7</v>
      </c>
      <c r="I25" s="210">
        <v>79</v>
      </c>
      <c r="J25" s="211">
        <v>176</v>
      </c>
      <c r="K25" s="212">
        <f t="shared" si="0"/>
        <v>7.0000000000000007E-2</v>
      </c>
    </row>
    <row r="26" spans="1:11" x14ac:dyDescent="0.35">
      <c r="A26" s="213" t="s">
        <v>92</v>
      </c>
      <c r="B26" s="214" t="s">
        <v>93</v>
      </c>
      <c r="C26" s="215">
        <v>42594.641238425902</v>
      </c>
      <c r="D26" s="216">
        <v>146</v>
      </c>
      <c r="E26" s="217" t="s">
        <v>5</v>
      </c>
      <c r="F26" s="218" t="s">
        <v>6</v>
      </c>
      <c r="G26" s="219" t="s">
        <v>8</v>
      </c>
      <c r="H26" s="220" t="s">
        <v>7</v>
      </c>
      <c r="I26" s="221">
        <v>6</v>
      </c>
      <c r="J26" s="222">
        <v>11</v>
      </c>
      <c r="K26" s="223">
        <f t="shared" si="0"/>
        <v>0.08</v>
      </c>
    </row>
    <row r="27" spans="1:11" x14ac:dyDescent="0.35">
      <c r="A27" s="224" t="s">
        <v>94</v>
      </c>
      <c r="B27" s="225" t="s">
        <v>95</v>
      </c>
      <c r="C27" s="226">
        <v>42594.651736111096</v>
      </c>
      <c r="D27" s="227">
        <v>1349</v>
      </c>
      <c r="E27" s="228" t="s">
        <v>5</v>
      </c>
      <c r="F27" s="229" t="s">
        <v>6</v>
      </c>
      <c r="G27" s="230" t="s">
        <v>8</v>
      </c>
      <c r="H27" s="231" t="s">
        <v>7</v>
      </c>
      <c r="I27" s="232">
        <v>20</v>
      </c>
      <c r="J27" s="233">
        <v>162</v>
      </c>
      <c r="K27" s="234">
        <f t="shared" si="0"/>
        <v>0.12</v>
      </c>
    </row>
    <row r="28" spans="1:11" x14ac:dyDescent="0.35">
      <c r="A28" s="235" t="s">
        <v>96</v>
      </c>
      <c r="B28" s="236" t="s">
        <v>97</v>
      </c>
      <c r="C28" s="237">
        <v>42594.634363425903</v>
      </c>
      <c r="D28" s="238">
        <v>6828</v>
      </c>
      <c r="E28" s="239" t="s">
        <v>5</v>
      </c>
      <c r="F28" s="240" t="s">
        <v>6</v>
      </c>
      <c r="G28" s="241" t="s">
        <v>8</v>
      </c>
      <c r="H28" s="242" t="s">
        <v>7</v>
      </c>
      <c r="I28" s="243">
        <v>90</v>
      </c>
      <c r="J28" s="244">
        <v>426</v>
      </c>
      <c r="K28" s="245">
        <f t="shared" si="0"/>
        <v>0.06</v>
      </c>
    </row>
    <row r="29" spans="1:11" x14ac:dyDescent="0.35">
      <c r="A29" s="246" t="s">
        <v>98</v>
      </c>
      <c r="B29" s="247" t="s">
        <v>99</v>
      </c>
      <c r="C29" s="248">
        <v>42593.907118055598</v>
      </c>
      <c r="D29" s="249">
        <v>74</v>
      </c>
      <c r="E29" s="250" t="s">
        <v>5</v>
      </c>
      <c r="F29" s="251" t="s">
        <v>6</v>
      </c>
      <c r="G29" s="252" t="s">
        <v>8</v>
      </c>
      <c r="H29" s="253" t="s">
        <v>7</v>
      </c>
      <c r="I29" s="254">
        <v>0</v>
      </c>
      <c r="J29" s="255">
        <v>21</v>
      </c>
      <c r="K29" s="256">
        <f t="shared" si="0"/>
        <v>0.28000000000000003</v>
      </c>
    </row>
    <row r="30" spans="1:11" x14ac:dyDescent="0.35">
      <c r="A30" s="257" t="s">
        <v>100</v>
      </c>
      <c r="B30" s="258" t="s">
        <v>101</v>
      </c>
      <c r="C30" s="259">
        <v>42594.631585648101</v>
      </c>
      <c r="D30" s="260">
        <v>2372</v>
      </c>
      <c r="E30" s="261" t="s">
        <v>5</v>
      </c>
      <c r="F30" s="262" t="s">
        <v>6</v>
      </c>
      <c r="G30" s="263" t="s">
        <v>8</v>
      </c>
      <c r="H30" s="264" t="s">
        <v>7</v>
      </c>
      <c r="I30" s="265">
        <v>25</v>
      </c>
      <c r="J30" s="266">
        <v>429</v>
      </c>
      <c r="K30" s="267">
        <f t="shared" si="0"/>
        <v>0.18</v>
      </c>
    </row>
    <row r="31" spans="1:11" x14ac:dyDescent="0.35">
      <c r="A31" s="268" t="s">
        <v>102</v>
      </c>
      <c r="B31" s="269" t="s">
        <v>103</v>
      </c>
      <c r="C31" s="270">
        <v>42593.941238425898</v>
      </c>
      <c r="D31" s="271">
        <v>1994</v>
      </c>
      <c r="E31" s="272" t="s">
        <v>5</v>
      </c>
      <c r="F31" s="273" t="s">
        <v>6</v>
      </c>
      <c r="G31" s="274" t="s">
        <v>8</v>
      </c>
      <c r="H31" s="275" t="s">
        <v>7</v>
      </c>
      <c r="I31" s="276">
        <v>37</v>
      </c>
      <c r="J31" s="277">
        <v>334</v>
      </c>
      <c r="K31" s="278">
        <f t="shared" si="0"/>
        <v>0.17</v>
      </c>
    </row>
    <row r="32" spans="1:11" x14ac:dyDescent="0.35">
      <c r="A32" s="279" t="s">
        <v>104</v>
      </c>
      <c r="B32" s="280" t="s">
        <v>105</v>
      </c>
      <c r="C32" s="281">
        <v>42594.4978819444</v>
      </c>
      <c r="D32" s="282">
        <v>2163</v>
      </c>
      <c r="E32" s="283" t="s">
        <v>5</v>
      </c>
      <c r="F32" s="284" t="s">
        <v>6</v>
      </c>
      <c r="G32" s="285" t="s">
        <v>8</v>
      </c>
      <c r="H32" s="286" t="s">
        <v>7</v>
      </c>
      <c r="I32" s="287">
        <v>27</v>
      </c>
      <c r="J32" s="288">
        <v>220</v>
      </c>
      <c r="K32" s="289">
        <f t="shared" si="0"/>
        <v>0.1</v>
      </c>
    </row>
    <row r="33" spans="1:11" x14ac:dyDescent="0.35">
      <c r="A33" s="290" t="s">
        <v>106</v>
      </c>
      <c r="B33" s="291" t="s">
        <v>107</v>
      </c>
      <c r="C33" s="292">
        <v>42594.462442129603</v>
      </c>
      <c r="D33" s="293">
        <v>2704</v>
      </c>
      <c r="E33" s="294" t="s">
        <v>5</v>
      </c>
      <c r="F33" s="295" t="s">
        <v>6</v>
      </c>
      <c r="G33" s="296" t="s">
        <v>8</v>
      </c>
      <c r="H33" s="297" t="s">
        <v>7</v>
      </c>
      <c r="I33" s="298">
        <v>27</v>
      </c>
      <c r="J33" s="299">
        <v>285</v>
      </c>
      <c r="K33" s="300">
        <f t="shared" si="0"/>
        <v>0.11</v>
      </c>
    </row>
    <row r="34" spans="1:11" x14ac:dyDescent="0.35">
      <c r="A34" s="301" t="s">
        <v>108</v>
      </c>
      <c r="B34" s="302" t="s">
        <v>109</v>
      </c>
      <c r="C34" s="303">
        <v>42593.936388888898</v>
      </c>
      <c r="D34" s="304">
        <v>1706</v>
      </c>
      <c r="E34" s="305" t="s">
        <v>5</v>
      </c>
      <c r="F34" s="306" t="s">
        <v>6</v>
      </c>
      <c r="G34" s="307" t="s">
        <v>8</v>
      </c>
      <c r="H34" s="308" t="s">
        <v>7</v>
      </c>
      <c r="I34" s="309">
        <v>41</v>
      </c>
      <c r="J34" s="310">
        <v>129</v>
      </c>
      <c r="K34" s="311">
        <f t="shared" si="0"/>
        <v>0.08</v>
      </c>
    </row>
    <row r="35" spans="1:11" x14ac:dyDescent="0.35">
      <c r="A35" s="312" t="s">
        <v>110</v>
      </c>
      <c r="B35" s="313" t="s">
        <v>111</v>
      </c>
      <c r="C35" s="314">
        <v>42593.902453703697</v>
      </c>
      <c r="D35" s="315">
        <v>343</v>
      </c>
      <c r="E35" s="316" t="s">
        <v>5</v>
      </c>
      <c r="F35" s="317" t="s">
        <v>6</v>
      </c>
      <c r="G35" s="318" t="s">
        <v>8</v>
      </c>
      <c r="H35" s="319" t="s">
        <v>7</v>
      </c>
      <c r="I35" s="320">
        <v>36</v>
      </c>
      <c r="J35" s="321">
        <v>20</v>
      </c>
      <c r="K35" s="322">
        <f t="shared" si="0"/>
        <v>0.06</v>
      </c>
    </row>
    <row r="36" spans="1:11" x14ac:dyDescent="0.35">
      <c r="A36" s="323" t="s">
        <v>112</v>
      </c>
      <c r="B36" s="324" t="s">
        <v>113</v>
      </c>
      <c r="C36" s="325">
        <v>42593.912361111099</v>
      </c>
      <c r="D36" s="326">
        <v>1623</v>
      </c>
      <c r="E36" s="327" t="s">
        <v>5</v>
      </c>
      <c r="F36" s="328" t="s">
        <v>6</v>
      </c>
      <c r="G36" s="329" t="s">
        <v>8</v>
      </c>
      <c r="H36" s="330" t="s">
        <v>7</v>
      </c>
      <c r="I36" s="331">
        <v>48</v>
      </c>
      <c r="J36" s="332">
        <v>147</v>
      </c>
      <c r="K36" s="333">
        <f t="shared" si="0"/>
        <v>0.09</v>
      </c>
    </row>
    <row r="37" spans="1:11" x14ac:dyDescent="0.35">
      <c r="A37" s="334" t="s">
        <v>114</v>
      </c>
      <c r="B37" s="335" t="s">
        <v>115</v>
      </c>
      <c r="C37" s="336">
        <v>42611.079664351797</v>
      </c>
      <c r="D37" s="337">
        <v>7652</v>
      </c>
      <c r="E37" s="338" t="s">
        <v>5</v>
      </c>
      <c r="F37" s="339" t="s">
        <v>6</v>
      </c>
      <c r="G37" s="340" t="s">
        <v>8</v>
      </c>
      <c r="H37" s="341" t="s">
        <v>7</v>
      </c>
      <c r="I37" s="342">
        <v>98</v>
      </c>
      <c r="J37" s="343">
        <v>587</v>
      </c>
      <c r="K37" s="344">
        <f t="shared" si="0"/>
        <v>0.08</v>
      </c>
    </row>
    <row r="38" spans="1:11" x14ac:dyDescent="0.35">
      <c r="A38" s="345"/>
      <c r="B38" s="346"/>
      <c r="C38" s="347"/>
      <c r="D38" s="348"/>
      <c r="E38" s="349"/>
      <c r="F38" s="350"/>
      <c r="G38" s="351"/>
      <c r="H38" s="352"/>
      <c r="I38" s="353"/>
      <c r="J38" s="354"/>
      <c r="K38" s="355"/>
    </row>
    <row r="39" spans="1:11" x14ac:dyDescent="0.35">
      <c r="A39" s="356"/>
      <c r="B39" s="357"/>
      <c r="C39" s="358"/>
      <c r="D39" s="359"/>
      <c r="E39" s="360"/>
      <c r="F39" s="361"/>
      <c r="G39" s="362"/>
      <c r="H39" s="363"/>
      <c r="I39" s="364"/>
      <c r="J39" s="365"/>
      <c r="K39" s="366"/>
    </row>
    <row r="40" spans="1:11" x14ac:dyDescent="0.35">
      <c r="A40" s="367" t="s">
        <v>116</v>
      </c>
      <c r="B40" s="368"/>
      <c r="C40" s="369"/>
      <c r="D40" s="370">
        <v>6827</v>
      </c>
      <c r="E40" s="371" t="s">
        <v>5</v>
      </c>
      <c r="F40" s="372" t="s">
        <v>6</v>
      </c>
      <c r="G40" s="373" t="s">
        <v>8</v>
      </c>
      <c r="H40" s="374" t="s">
        <v>7</v>
      </c>
      <c r="I40" s="375">
        <v>147</v>
      </c>
      <c r="J40" s="376">
        <v>350</v>
      </c>
      <c r="K40" s="377">
        <f t="shared" ref="K40:K47" si="1">IF(D40=0,0,(J40)/D40)</f>
        <v>0.05</v>
      </c>
    </row>
    <row r="41" spans="1:11" x14ac:dyDescent="0.35">
      <c r="A41" s="378" t="s">
        <v>120</v>
      </c>
      <c r="B41" s="379"/>
      <c r="C41" s="380"/>
      <c r="D41" s="381">
        <v>74</v>
      </c>
      <c r="E41" s="382" t="s">
        <v>5</v>
      </c>
      <c r="F41" s="383" t="s">
        <v>6</v>
      </c>
      <c r="G41" s="384" t="s">
        <v>8</v>
      </c>
      <c r="H41" s="385" t="s">
        <v>7</v>
      </c>
      <c r="I41" s="386">
        <v>0</v>
      </c>
      <c r="J41" s="387">
        <v>21</v>
      </c>
      <c r="K41" s="388">
        <f t="shared" si="1"/>
        <v>0.28000000000000003</v>
      </c>
    </row>
    <row r="42" spans="1:11" x14ac:dyDescent="0.35">
      <c r="A42" s="389" t="s">
        <v>121</v>
      </c>
      <c r="B42" s="390"/>
      <c r="C42" s="391"/>
      <c r="D42" s="392">
        <v>475</v>
      </c>
      <c r="E42" s="393" t="s">
        <v>5</v>
      </c>
      <c r="F42" s="394" t="s">
        <v>6</v>
      </c>
      <c r="G42" s="395" t="s">
        <v>8</v>
      </c>
      <c r="H42" s="396" t="s">
        <v>7</v>
      </c>
      <c r="I42" s="397">
        <v>15</v>
      </c>
      <c r="J42" s="398">
        <v>42</v>
      </c>
      <c r="K42" s="399">
        <f t="shared" si="1"/>
        <v>0.09</v>
      </c>
    </row>
    <row r="43" spans="1:11" x14ac:dyDescent="0.35">
      <c r="A43" s="400" t="s">
        <v>122</v>
      </c>
      <c r="B43" s="401"/>
      <c r="C43" s="402"/>
      <c r="D43" s="403">
        <v>146</v>
      </c>
      <c r="E43" s="404" t="s">
        <v>5</v>
      </c>
      <c r="F43" s="405" t="s">
        <v>6</v>
      </c>
      <c r="G43" s="406" t="s">
        <v>8</v>
      </c>
      <c r="H43" s="407" t="s">
        <v>7</v>
      </c>
      <c r="I43" s="408">
        <v>6</v>
      </c>
      <c r="J43" s="409">
        <v>11</v>
      </c>
      <c r="K43" s="410">
        <f t="shared" si="1"/>
        <v>0.08</v>
      </c>
    </row>
    <row r="44" spans="1:11" x14ac:dyDescent="0.35">
      <c r="A44" s="411" t="s">
        <v>123</v>
      </c>
      <c r="B44" s="412"/>
      <c r="C44" s="413"/>
      <c r="D44" s="414">
        <v>7652</v>
      </c>
      <c r="E44" s="415" t="s">
        <v>5</v>
      </c>
      <c r="F44" s="416" t="s">
        <v>6</v>
      </c>
      <c r="G44" s="417" t="s">
        <v>8</v>
      </c>
      <c r="H44" s="418" t="s">
        <v>7</v>
      </c>
      <c r="I44" s="419">
        <v>98</v>
      </c>
      <c r="J44" s="420">
        <v>587</v>
      </c>
      <c r="K44" s="421">
        <f t="shared" si="1"/>
        <v>0.08</v>
      </c>
    </row>
    <row r="45" spans="1:11" x14ac:dyDescent="0.35">
      <c r="A45" s="422" t="s">
        <v>124</v>
      </c>
      <c r="B45" s="423"/>
      <c r="C45" s="424"/>
      <c r="D45" s="425">
        <v>12653</v>
      </c>
      <c r="E45" s="426" t="s">
        <v>5</v>
      </c>
      <c r="F45" s="427" t="s">
        <v>6</v>
      </c>
      <c r="G45" s="428" t="s">
        <v>8</v>
      </c>
      <c r="H45" s="429" t="s">
        <v>7</v>
      </c>
      <c r="I45" s="430">
        <v>341</v>
      </c>
      <c r="J45" s="431">
        <v>1348</v>
      </c>
      <c r="K45" s="432">
        <f t="shared" si="1"/>
        <v>0.11</v>
      </c>
    </row>
    <row r="46" spans="1:11" x14ac:dyDescent="0.35">
      <c r="A46" s="433" t="s">
        <v>125</v>
      </c>
      <c r="B46" s="434"/>
      <c r="C46" s="435"/>
      <c r="D46" s="436">
        <v>16546</v>
      </c>
      <c r="E46" s="437" t="s">
        <v>5</v>
      </c>
      <c r="F46" s="438" t="s">
        <v>6</v>
      </c>
      <c r="G46" s="439" t="s">
        <v>8</v>
      </c>
      <c r="H46" s="440" t="s">
        <v>7</v>
      </c>
      <c r="I46" s="441">
        <v>363</v>
      </c>
      <c r="J46" s="442">
        <v>1219</v>
      </c>
      <c r="K46" s="443">
        <f t="shared" si="1"/>
        <v>7.0000000000000007E-2</v>
      </c>
    </row>
    <row r="47" spans="1:11" x14ac:dyDescent="0.35">
      <c r="A47" s="444" t="s">
        <v>126</v>
      </c>
      <c r="B47" s="445"/>
      <c r="C47" s="446"/>
      <c r="D47" s="447">
        <v>15247</v>
      </c>
      <c r="E47" s="448" t="s">
        <v>5</v>
      </c>
      <c r="F47" s="449" t="s">
        <v>6</v>
      </c>
      <c r="G47" s="450" t="s">
        <v>8</v>
      </c>
      <c r="H47" s="451" t="s">
        <v>7</v>
      </c>
      <c r="I47" s="452">
        <v>199</v>
      </c>
      <c r="J47" s="453">
        <v>1636</v>
      </c>
      <c r="K47" s="454">
        <f t="shared" si="1"/>
        <v>0.11</v>
      </c>
    </row>
    <row r="48" spans="1:11" x14ac:dyDescent="0.35">
      <c r="A48" s="455"/>
      <c r="B48" s="456"/>
      <c r="C48" s="457"/>
      <c r="D48" s="458"/>
      <c r="E48" s="459"/>
      <c r="F48" s="460"/>
      <c r="G48" s="461"/>
      <c r="H48" s="462"/>
      <c r="I48" s="463"/>
      <c r="J48" s="464"/>
      <c r="K48" s="465"/>
    </row>
    <row r="49" spans="1:11" x14ac:dyDescent="0.35">
      <c r="A49" s="466" t="s">
        <v>117</v>
      </c>
      <c r="B49" s="467"/>
      <c r="C49" s="468"/>
      <c r="D49" s="469">
        <v>59620</v>
      </c>
      <c r="E49" s="470" t="s">
        <v>5</v>
      </c>
      <c r="F49" s="471" t="s">
        <v>6</v>
      </c>
      <c r="G49" s="472" t="s">
        <v>8</v>
      </c>
      <c r="H49" s="473" t="s">
        <v>7</v>
      </c>
      <c r="I49" s="474">
        <v>1169</v>
      </c>
      <c r="J49" s="475">
        <v>5214</v>
      </c>
      <c r="K49" s="476">
        <f>IF(D49=0,0,(J49)/D49)</f>
        <v>0.09</v>
      </c>
    </row>
    <row r="50" spans="1:11" x14ac:dyDescent="0.35">
      <c r="A50" s="7"/>
      <c r="B50" s="7"/>
    </row>
    <row r="53" spans="1:11" x14ac:dyDescent="0.35">
      <c r="A53" s="6"/>
      <c r="B53" s="6"/>
    </row>
  </sheetData>
  <pageMargins left="0.75" right="0.75" top="1" bottom="1" header="0.5" footer="0.5"/>
  <pageSetup fitToHeight="0" orientation="portrait" r:id="rId1"/>
  <extLst>
    <ext uri="{64002731-A6B0-56B0-2670-7721B7C09600}">
      <mx:PLV xmlns:mx="http://schemas.microsoft.com/office/mac/excel/2008/main"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8"/>
  <sheetViews>
    <sheetView workbookViewId="0"/>
  </sheetViews>
  <sheetFormatPr baseColWidth="10" defaultColWidth="8.6640625" defaultRowHeight="15.5" x14ac:dyDescent="0.35"/>
  <cols>
    <col min="1" max="1" width="40.83203125" customWidth="1"/>
    <col min="2" max="2" width="28.5" customWidth="1"/>
    <col min="3" max="31" width="28.5" customWidth="1" collapsed="1"/>
  </cols>
  <sheetData>
    <row r="1" spans="1:31" ht="21" x14ac:dyDescent="0.5">
      <c r="A1" s="1" t="s">
        <v>50</v>
      </c>
      <c r="B1" s="477"/>
      <c r="C1" s="495"/>
      <c r="D1" s="513"/>
      <c r="E1" s="531"/>
      <c r="F1" s="549"/>
      <c r="G1" s="567"/>
      <c r="H1" s="585"/>
      <c r="I1" s="603"/>
      <c r="J1" s="621"/>
      <c r="K1" s="639"/>
      <c r="L1" s="657"/>
      <c r="M1" s="675"/>
      <c r="N1" s="693"/>
      <c r="O1" s="711"/>
      <c r="P1" s="729"/>
      <c r="Q1" s="747"/>
      <c r="R1" s="765"/>
      <c r="S1" s="783"/>
      <c r="T1" s="801"/>
      <c r="U1" s="819"/>
      <c r="V1" s="837"/>
      <c r="W1" s="855"/>
      <c r="X1" s="873"/>
      <c r="Y1" s="891"/>
      <c r="Z1" s="909"/>
      <c r="AA1" s="927"/>
      <c r="AB1" s="945"/>
      <c r="AC1" s="963"/>
      <c r="AD1" s="981"/>
      <c r="AE1" s="999"/>
    </row>
    <row r="2" spans="1:31" x14ac:dyDescent="0.35">
      <c r="A2" t="s">
        <v>118</v>
      </c>
      <c r="B2" s="478"/>
      <c r="C2" s="496"/>
      <c r="D2" s="514"/>
      <c r="E2" s="532"/>
      <c r="F2" s="550"/>
      <c r="G2" s="568"/>
      <c r="H2" s="586"/>
      <c r="I2" s="604"/>
      <c r="J2" s="622"/>
      <c r="K2" s="640"/>
      <c r="L2" s="658"/>
      <c r="M2" s="676"/>
      <c r="N2" s="694"/>
      <c r="O2" s="712"/>
      <c r="P2" s="730"/>
      <c r="Q2" s="748"/>
      <c r="R2" s="766"/>
      <c r="S2" s="784"/>
      <c r="T2" s="802"/>
      <c r="U2" s="820"/>
      <c r="V2" s="838"/>
      <c r="W2" s="856"/>
      <c r="X2" s="874"/>
      <c r="Y2" s="892"/>
      <c r="Z2" s="910"/>
      <c r="AA2" s="928"/>
      <c r="AB2" s="946"/>
      <c r="AC2" s="964"/>
      <c r="AD2" s="982"/>
      <c r="AE2" s="1000"/>
    </row>
    <row r="3" spans="1:31" x14ac:dyDescent="0.35">
      <c r="A3" t="s">
        <v>55</v>
      </c>
      <c r="B3" s="479"/>
      <c r="C3" s="497"/>
      <c r="D3" s="515"/>
      <c r="E3" s="533"/>
      <c r="F3" s="551"/>
      <c r="G3" s="569"/>
      <c r="H3" s="587"/>
      <c r="I3" s="605"/>
      <c r="J3" s="623"/>
      <c r="K3" s="641"/>
      <c r="L3" s="659"/>
      <c r="M3" s="677"/>
      <c r="N3" s="695"/>
      <c r="O3" s="713"/>
      <c r="P3" s="731"/>
      <c r="Q3" s="749"/>
      <c r="R3" s="767"/>
      <c r="S3" s="785"/>
      <c r="T3" s="803"/>
      <c r="U3" s="821"/>
      <c r="V3" s="839"/>
      <c r="W3" s="857"/>
      <c r="X3" s="875"/>
      <c r="Y3" s="893"/>
      <c r="Z3" s="911"/>
      <c r="AA3" s="929"/>
      <c r="AB3" s="947"/>
      <c r="AC3" s="965"/>
      <c r="AD3" s="983"/>
      <c r="AE3" s="1001"/>
    </row>
    <row r="4" spans="1:31" x14ac:dyDescent="0.35">
      <c r="B4" s="480"/>
      <c r="C4" s="498"/>
      <c r="D4" s="516"/>
      <c r="E4" s="534"/>
      <c r="F4" s="552"/>
      <c r="G4" s="570"/>
      <c r="H4" s="588"/>
      <c r="I4" s="606"/>
      <c r="J4" s="624"/>
      <c r="K4" s="642"/>
      <c r="L4" s="660"/>
      <c r="M4" s="678"/>
      <c r="N4" s="696"/>
      <c r="O4" s="714"/>
      <c r="P4" s="732"/>
      <c r="Q4" s="750"/>
      <c r="R4" s="768"/>
      <c r="S4" s="786"/>
      <c r="T4" s="804"/>
      <c r="U4" s="822"/>
      <c r="V4" s="840"/>
      <c r="W4" s="858"/>
      <c r="X4" s="876"/>
      <c r="Y4" s="894"/>
      <c r="Z4" s="912"/>
      <c r="AA4" s="930"/>
      <c r="AB4" s="948"/>
      <c r="AC4" s="966"/>
      <c r="AD4" s="984"/>
      <c r="AE4" s="1002"/>
    </row>
    <row r="5" spans="1:31" x14ac:dyDescent="0.35">
      <c r="B5" s="481"/>
      <c r="C5" s="499"/>
      <c r="D5" s="517"/>
      <c r="E5" s="535"/>
      <c r="F5" s="553"/>
      <c r="G5" s="571"/>
      <c r="H5" s="589"/>
      <c r="I5" s="607"/>
      <c r="J5" s="625"/>
      <c r="K5" s="643"/>
      <c r="L5" s="661"/>
      <c r="M5" s="679"/>
      <c r="N5" s="697"/>
      <c r="O5" s="715"/>
      <c r="P5" s="733"/>
      <c r="Q5" s="751"/>
      <c r="R5" s="769"/>
      <c r="S5" s="787"/>
      <c r="T5" s="805"/>
      <c r="U5" s="823"/>
      <c r="V5" s="841"/>
      <c r="W5" s="859"/>
      <c r="X5" s="877"/>
      <c r="Y5" s="895"/>
      <c r="Z5" s="913"/>
      <c r="AA5" s="931"/>
      <c r="AB5" s="949"/>
      <c r="AC5" s="967"/>
      <c r="AD5" s="985"/>
      <c r="AE5" s="1003"/>
    </row>
    <row r="6" spans="1:31" ht="16" thickBot="1" x14ac:dyDescent="0.4">
      <c r="B6" s="482"/>
      <c r="C6" s="500"/>
      <c r="D6" s="518"/>
      <c r="E6" s="536"/>
      <c r="F6" s="554"/>
      <c r="G6" s="572"/>
      <c r="H6" s="590"/>
      <c r="I6" s="608"/>
      <c r="J6" s="626"/>
      <c r="K6" s="644"/>
      <c r="L6" s="662"/>
      <c r="M6" s="680"/>
      <c r="N6" s="698"/>
      <c r="O6" s="716"/>
      <c r="P6" s="734"/>
      <c r="Q6" s="752"/>
      <c r="R6" s="770"/>
      <c r="S6" s="788"/>
      <c r="T6" s="806"/>
      <c r="U6" s="824"/>
      <c r="V6" s="842"/>
      <c r="W6" s="860"/>
      <c r="X6" s="878"/>
      <c r="Y6" s="896"/>
      <c r="Z6" s="914"/>
      <c r="AA6" s="932"/>
      <c r="AB6" s="950"/>
      <c r="AC6" s="968"/>
      <c r="AD6" s="986"/>
      <c r="AE6" s="1004"/>
    </row>
    <row r="7" spans="1:31" ht="16" thickBot="1" x14ac:dyDescent="0.4">
      <c r="A7" s="12" t="s">
        <v>51</v>
      </c>
      <c r="B7" s="483" t="s">
        <v>56</v>
      </c>
      <c r="C7" s="501" t="s">
        <v>58</v>
      </c>
      <c r="D7" s="519" t="s">
        <v>60</v>
      </c>
      <c r="E7" s="537" t="s">
        <v>62</v>
      </c>
      <c r="F7" s="555" t="s">
        <v>64</v>
      </c>
      <c r="G7" s="573" t="s">
        <v>66</v>
      </c>
      <c r="H7" s="591" t="s">
        <v>68</v>
      </c>
      <c r="I7" s="609" t="s">
        <v>70</v>
      </c>
      <c r="J7" s="627" t="s">
        <v>72</v>
      </c>
      <c r="K7" s="645" t="s">
        <v>74</v>
      </c>
      <c r="L7" s="663" t="s">
        <v>76</v>
      </c>
      <c r="M7" s="681" t="s">
        <v>78</v>
      </c>
      <c r="N7" s="699" t="s">
        <v>80</v>
      </c>
      <c r="O7" s="717" t="s">
        <v>82</v>
      </c>
      <c r="P7" s="735" t="s">
        <v>84</v>
      </c>
      <c r="Q7" s="753" t="s">
        <v>86</v>
      </c>
      <c r="R7" s="771" t="s">
        <v>88</v>
      </c>
      <c r="S7" s="789" t="s">
        <v>90</v>
      </c>
      <c r="T7" s="807" t="s">
        <v>92</v>
      </c>
      <c r="U7" s="825" t="s">
        <v>94</v>
      </c>
      <c r="V7" s="843" t="s">
        <v>96</v>
      </c>
      <c r="W7" s="861" t="s">
        <v>98</v>
      </c>
      <c r="X7" s="879" t="s">
        <v>100</v>
      </c>
      <c r="Y7" s="897" t="s">
        <v>102</v>
      </c>
      <c r="Z7" s="915" t="s">
        <v>104</v>
      </c>
      <c r="AA7" s="933" t="s">
        <v>106</v>
      </c>
      <c r="AB7" s="951" t="s">
        <v>108</v>
      </c>
      <c r="AC7" s="969" t="s">
        <v>110</v>
      </c>
      <c r="AD7" s="987" t="s">
        <v>112</v>
      </c>
      <c r="AE7" s="1005" t="s">
        <v>114</v>
      </c>
    </row>
    <row r="8" spans="1:31" x14ac:dyDescent="0.35">
      <c r="A8" s="8">
        <v>5011</v>
      </c>
      <c r="B8" s="484">
        <v>38</v>
      </c>
      <c r="C8" s="502">
        <v>0</v>
      </c>
      <c r="D8" s="520">
        <v>0</v>
      </c>
      <c r="E8" s="538">
        <v>0</v>
      </c>
      <c r="F8" s="556">
        <v>0</v>
      </c>
      <c r="G8" s="574">
        <v>0</v>
      </c>
      <c r="H8" s="592">
        <v>0</v>
      </c>
      <c r="I8" s="610">
        <v>0</v>
      </c>
      <c r="J8" s="628">
        <v>0</v>
      </c>
      <c r="K8" s="646">
        <v>0</v>
      </c>
      <c r="L8" s="664">
        <v>0</v>
      </c>
      <c r="M8" s="682">
        <v>0</v>
      </c>
      <c r="N8" s="700">
        <v>0</v>
      </c>
      <c r="O8" s="718">
        <v>0</v>
      </c>
      <c r="P8" s="736">
        <v>0</v>
      </c>
      <c r="Q8" s="754">
        <v>0</v>
      </c>
      <c r="R8" s="772">
        <v>0</v>
      </c>
      <c r="S8" s="790">
        <v>0</v>
      </c>
      <c r="T8" s="808">
        <v>0</v>
      </c>
      <c r="U8" s="826">
        <v>0</v>
      </c>
      <c r="V8" s="844">
        <v>0</v>
      </c>
      <c r="W8" s="862">
        <v>0</v>
      </c>
      <c r="X8" s="880">
        <v>0</v>
      </c>
      <c r="Y8" s="898">
        <v>0</v>
      </c>
      <c r="Z8" s="916">
        <v>0</v>
      </c>
      <c r="AA8" s="934">
        <v>0</v>
      </c>
      <c r="AB8" s="952">
        <v>0</v>
      </c>
      <c r="AC8" s="970">
        <v>0</v>
      </c>
      <c r="AD8" s="988">
        <v>0</v>
      </c>
      <c r="AE8" s="1006">
        <v>0</v>
      </c>
    </row>
    <row r="9" spans="1:31" x14ac:dyDescent="0.35">
      <c r="A9" s="9">
        <v>5007</v>
      </c>
      <c r="B9" s="485">
        <v>271</v>
      </c>
      <c r="C9" s="503">
        <v>1</v>
      </c>
      <c r="D9" s="521">
        <v>0</v>
      </c>
      <c r="E9" s="539">
        <v>0</v>
      </c>
      <c r="F9" s="557">
        <v>0</v>
      </c>
      <c r="G9" s="575">
        <v>0</v>
      </c>
      <c r="H9" s="593">
        <v>0</v>
      </c>
      <c r="I9" s="611">
        <v>0</v>
      </c>
      <c r="J9" s="629">
        <v>0</v>
      </c>
      <c r="K9" s="647">
        <v>0</v>
      </c>
      <c r="L9" s="665">
        <v>0</v>
      </c>
      <c r="M9" s="683">
        <v>0</v>
      </c>
      <c r="N9" s="701">
        <v>0</v>
      </c>
      <c r="O9" s="719">
        <v>0</v>
      </c>
      <c r="P9" s="737">
        <v>0</v>
      </c>
      <c r="Q9" s="755">
        <v>0</v>
      </c>
      <c r="R9" s="773">
        <v>0</v>
      </c>
      <c r="S9" s="791">
        <v>0</v>
      </c>
      <c r="T9" s="809">
        <v>0</v>
      </c>
      <c r="U9" s="827">
        <v>0</v>
      </c>
      <c r="V9" s="845">
        <v>0</v>
      </c>
      <c r="W9" s="863">
        <v>0</v>
      </c>
      <c r="X9" s="881">
        <v>0</v>
      </c>
      <c r="Y9" s="899">
        <v>0</v>
      </c>
      <c r="Z9" s="917">
        <v>0</v>
      </c>
      <c r="AA9" s="935">
        <v>0</v>
      </c>
      <c r="AB9" s="953">
        <v>0</v>
      </c>
      <c r="AC9" s="971">
        <v>0</v>
      </c>
      <c r="AD9" s="989">
        <v>0</v>
      </c>
      <c r="AE9" s="1007">
        <v>0</v>
      </c>
    </row>
    <row r="10" spans="1:31" x14ac:dyDescent="0.35">
      <c r="A10" s="9">
        <v>5006</v>
      </c>
      <c r="B10" s="486">
        <v>66</v>
      </c>
      <c r="C10" s="504">
        <v>1</v>
      </c>
      <c r="D10" s="522">
        <v>0</v>
      </c>
      <c r="E10" s="540">
        <v>0</v>
      </c>
      <c r="F10" s="558">
        <v>0</v>
      </c>
      <c r="G10" s="576">
        <v>0</v>
      </c>
      <c r="H10" s="594">
        <v>0</v>
      </c>
      <c r="I10" s="612">
        <v>0</v>
      </c>
      <c r="J10" s="630">
        <v>0</v>
      </c>
      <c r="K10" s="648">
        <v>0</v>
      </c>
      <c r="L10" s="666">
        <v>0</v>
      </c>
      <c r="M10" s="684">
        <v>0</v>
      </c>
      <c r="N10" s="702">
        <v>0</v>
      </c>
      <c r="O10" s="720">
        <v>0</v>
      </c>
      <c r="P10" s="738">
        <v>0</v>
      </c>
      <c r="Q10" s="756">
        <v>0</v>
      </c>
      <c r="R10" s="774">
        <v>0</v>
      </c>
      <c r="S10" s="792">
        <v>0</v>
      </c>
      <c r="T10" s="810">
        <v>0</v>
      </c>
      <c r="U10" s="828">
        <v>0</v>
      </c>
      <c r="V10" s="846">
        <v>0</v>
      </c>
      <c r="W10" s="864">
        <v>0</v>
      </c>
      <c r="X10" s="882">
        <v>0</v>
      </c>
      <c r="Y10" s="900">
        <v>0</v>
      </c>
      <c r="Z10" s="918">
        <v>0</v>
      </c>
      <c r="AA10" s="936">
        <v>0</v>
      </c>
      <c r="AB10" s="954">
        <v>0</v>
      </c>
      <c r="AC10" s="972">
        <v>0</v>
      </c>
      <c r="AD10" s="990">
        <v>0</v>
      </c>
      <c r="AE10" s="1008">
        <v>1</v>
      </c>
    </row>
    <row r="11" spans="1:31" x14ac:dyDescent="0.35">
      <c r="A11" s="9">
        <v>2008</v>
      </c>
      <c r="B11" s="487">
        <v>0</v>
      </c>
      <c r="C11" s="505">
        <v>0</v>
      </c>
      <c r="D11" s="523">
        <v>0</v>
      </c>
      <c r="E11" s="541">
        <v>0</v>
      </c>
      <c r="F11" s="559">
        <v>0</v>
      </c>
      <c r="G11" s="577">
        <v>0</v>
      </c>
      <c r="H11" s="595">
        <v>0</v>
      </c>
      <c r="I11" s="613">
        <v>0</v>
      </c>
      <c r="J11" s="631">
        <v>0</v>
      </c>
      <c r="K11" s="649">
        <v>0</v>
      </c>
      <c r="L11" s="667">
        <v>0</v>
      </c>
      <c r="M11" s="685">
        <v>0</v>
      </c>
      <c r="N11" s="703">
        <v>0</v>
      </c>
      <c r="O11" s="721">
        <v>0</v>
      </c>
      <c r="P11" s="739">
        <v>0</v>
      </c>
      <c r="Q11" s="757">
        <v>0</v>
      </c>
      <c r="R11" s="775">
        <v>0</v>
      </c>
      <c r="S11" s="793">
        <v>0</v>
      </c>
      <c r="T11" s="811">
        <v>0</v>
      </c>
      <c r="U11" s="829">
        <v>0</v>
      </c>
      <c r="V11" s="847">
        <v>0</v>
      </c>
      <c r="W11" s="865">
        <v>0</v>
      </c>
      <c r="X11" s="883">
        <v>0</v>
      </c>
      <c r="Y11" s="901">
        <v>0</v>
      </c>
      <c r="Z11" s="919">
        <v>0</v>
      </c>
      <c r="AA11" s="937">
        <v>0</v>
      </c>
      <c r="AB11" s="955">
        <v>0</v>
      </c>
      <c r="AC11" s="973">
        <v>0</v>
      </c>
      <c r="AD11" s="991">
        <v>0</v>
      </c>
      <c r="AE11" s="1009">
        <v>0</v>
      </c>
    </row>
    <row r="12" spans="1:31" x14ac:dyDescent="0.35">
      <c r="A12" s="9">
        <v>2005</v>
      </c>
      <c r="B12" s="488">
        <v>0</v>
      </c>
      <c r="C12" s="506">
        <v>0</v>
      </c>
      <c r="D12" s="524">
        <v>0</v>
      </c>
      <c r="E12" s="542">
        <v>0</v>
      </c>
      <c r="F12" s="560">
        <v>0</v>
      </c>
      <c r="G12" s="578">
        <v>0</v>
      </c>
      <c r="H12" s="596">
        <v>0</v>
      </c>
      <c r="I12" s="614">
        <v>0</v>
      </c>
      <c r="J12" s="632">
        <v>0</v>
      </c>
      <c r="K12" s="650">
        <v>0</v>
      </c>
      <c r="L12" s="668">
        <v>0</v>
      </c>
      <c r="M12" s="686">
        <v>0</v>
      </c>
      <c r="N12" s="704">
        <v>0</v>
      </c>
      <c r="O12" s="722">
        <v>0</v>
      </c>
      <c r="P12" s="740">
        <v>0</v>
      </c>
      <c r="Q12" s="758">
        <v>0</v>
      </c>
      <c r="R12" s="776">
        <v>0</v>
      </c>
      <c r="S12" s="794">
        <v>0</v>
      </c>
      <c r="T12" s="812">
        <v>0</v>
      </c>
      <c r="U12" s="830">
        <v>0</v>
      </c>
      <c r="V12" s="848">
        <v>0</v>
      </c>
      <c r="W12" s="866">
        <v>0</v>
      </c>
      <c r="X12" s="884">
        <v>0</v>
      </c>
      <c r="Y12" s="902">
        <v>0</v>
      </c>
      <c r="Z12" s="920">
        <v>0</v>
      </c>
      <c r="AA12" s="938">
        <v>0</v>
      </c>
      <c r="AB12" s="956">
        <v>0</v>
      </c>
      <c r="AC12" s="974">
        <v>0</v>
      </c>
      <c r="AD12" s="992">
        <v>0</v>
      </c>
      <c r="AE12" s="1010">
        <v>0</v>
      </c>
    </row>
    <row r="13" spans="1:31" x14ac:dyDescent="0.35">
      <c r="A13" s="9">
        <v>2037</v>
      </c>
      <c r="B13" s="489">
        <v>0</v>
      </c>
      <c r="C13" s="507">
        <v>0</v>
      </c>
      <c r="D13" s="525">
        <v>0</v>
      </c>
      <c r="E13" s="543">
        <v>0</v>
      </c>
      <c r="F13" s="561">
        <v>0</v>
      </c>
      <c r="G13" s="579">
        <v>0</v>
      </c>
      <c r="H13" s="597">
        <v>0</v>
      </c>
      <c r="I13" s="615">
        <v>0</v>
      </c>
      <c r="J13" s="633">
        <v>0</v>
      </c>
      <c r="K13" s="651">
        <v>0</v>
      </c>
      <c r="L13" s="669">
        <v>0</v>
      </c>
      <c r="M13" s="687">
        <v>0</v>
      </c>
      <c r="N13" s="705">
        <v>0</v>
      </c>
      <c r="O13" s="723">
        <v>0</v>
      </c>
      <c r="P13" s="741">
        <v>0</v>
      </c>
      <c r="Q13" s="759">
        <v>0</v>
      </c>
      <c r="R13" s="777">
        <v>0</v>
      </c>
      <c r="S13" s="795">
        <v>0</v>
      </c>
      <c r="T13" s="813">
        <v>0</v>
      </c>
      <c r="U13" s="831">
        <v>0</v>
      </c>
      <c r="V13" s="849">
        <v>0</v>
      </c>
      <c r="W13" s="867">
        <v>0</v>
      </c>
      <c r="X13" s="885">
        <v>0</v>
      </c>
      <c r="Y13" s="903">
        <v>0</v>
      </c>
      <c r="Z13" s="921">
        <v>0</v>
      </c>
      <c r="AA13" s="939">
        <v>0</v>
      </c>
      <c r="AB13" s="957">
        <v>0</v>
      </c>
      <c r="AC13" s="975">
        <v>0</v>
      </c>
      <c r="AD13" s="993">
        <v>0</v>
      </c>
      <c r="AE13" s="1011">
        <v>0</v>
      </c>
    </row>
    <row r="14" spans="1:31" x14ac:dyDescent="0.35">
      <c r="A14" s="9">
        <v>2025</v>
      </c>
      <c r="B14" s="490">
        <v>0</v>
      </c>
      <c r="C14" s="508">
        <v>0</v>
      </c>
      <c r="D14" s="526">
        <v>0</v>
      </c>
      <c r="E14" s="544">
        <v>0</v>
      </c>
      <c r="F14" s="562">
        <v>0</v>
      </c>
      <c r="G14" s="580">
        <v>0</v>
      </c>
      <c r="H14" s="598">
        <v>0</v>
      </c>
      <c r="I14" s="616">
        <v>0</v>
      </c>
      <c r="J14" s="634">
        <v>0</v>
      </c>
      <c r="K14" s="652">
        <v>0</v>
      </c>
      <c r="L14" s="670">
        <v>0</v>
      </c>
      <c r="M14" s="688">
        <v>0</v>
      </c>
      <c r="N14" s="706">
        <v>0</v>
      </c>
      <c r="O14" s="724">
        <v>0</v>
      </c>
      <c r="P14" s="742">
        <v>0</v>
      </c>
      <c r="Q14" s="760">
        <v>0</v>
      </c>
      <c r="R14" s="778">
        <v>0</v>
      </c>
      <c r="S14" s="796">
        <v>0</v>
      </c>
      <c r="T14" s="814">
        <v>0</v>
      </c>
      <c r="U14" s="832">
        <v>0</v>
      </c>
      <c r="V14" s="850">
        <v>0</v>
      </c>
      <c r="W14" s="868">
        <v>0</v>
      </c>
      <c r="X14" s="886">
        <v>0</v>
      </c>
      <c r="Y14" s="904">
        <v>0</v>
      </c>
      <c r="Z14" s="922">
        <v>0</v>
      </c>
      <c r="AA14" s="940">
        <v>0</v>
      </c>
      <c r="AB14" s="958">
        <v>0</v>
      </c>
      <c r="AC14" s="976">
        <v>0</v>
      </c>
      <c r="AD14" s="994">
        <v>0</v>
      </c>
      <c r="AE14" s="1012">
        <v>0</v>
      </c>
    </row>
    <row r="15" spans="1:31" x14ac:dyDescent="0.35">
      <c r="A15" s="9">
        <v>2022</v>
      </c>
      <c r="B15" s="491">
        <v>0</v>
      </c>
      <c r="C15" s="509">
        <v>0</v>
      </c>
      <c r="D15" s="527">
        <v>0</v>
      </c>
      <c r="E15" s="545">
        <v>0</v>
      </c>
      <c r="F15" s="563">
        <v>0</v>
      </c>
      <c r="G15" s="581">
        <v>0</v>
      </c>
      <c r="H15" s="599">
        <v>0</v>
      </c>
      <c r="I15" s="617">
        <v>0</v>
      </c>
      <c r="J15" s="635">
        <v>0</v>
      </c>
      <c r="K15" s="653">
        <v>0</v>
      </c>
      <c r="L15" s="671">
        <v>0</v>
      </c>
      <c r="M15" s="689">
        <v>0</v>
      </c>
      <c r="N15" s="707">
        <v>0</v>
      </c>
      <c r="O15" s="725">
        <v>0</v>
      </c>
      <c r="P15" s="743">
        <v>0</v>
      </c>
      <c r="Q15" s="761">
        <v>0</v>
      </c>
      <c r="R15" s="779">
        <v>0</v>
      </c>
      <c r="S15" s="797">
        <v>0</v>
      </c>
      <c r="T15" s="815">
        <v>0</v>
      </c>
      <c r="U15" s="833">
        <v>0</v>
      </c>
      <c r="V15" s="851">
        <v>0</v>
      </c>
      <c r="W15" s="869">
        <v>0</v>
      </c>
      <c r="X15" s="887">
        <v>0</v>
      </c>
      <c r="Y15" s="905">
        <v>0</v>
      </c>
      <c r="Z15" s="923">
        <v>0</v>
      </c>
      <c r="AA15" s="941">
        <v>0</v>
      </c>
      <c r="AB15" s="959">
        <v>0</v>
      </c>
      <c r="AC15" s="977">
        <v>0</v>
      </c>
      <c r="AD15" s="995">
        <v>0</v>
      </c>
      <c r="AE15" s="1013">
        <v>0</v>
      </c>
    </row>
    <row r="16" spans="1:31" x14ac:dyDescent="0.35">
      <c r="A16" s="9" t="s">
        <v>13</v>
      </c>
      <c r="B16" s="492">
        <v>40</v>
      </c>
      <c r="C16" s="510">
        <v>10</v>
      </c>
      <c r="D16" s="528">
        <v>7</v>
      </c>
      <c r="E16" s="546">
        <v>60</v>
      </c>
      <c r="F16" s="564">
        <v>373</v>
      </c>
      <c r="G16" s="582">
        <v>294</v>
      </c>
      <c r="H16" s="600">
        <v>16</v>
      </c>
      <c r="I16" s="618">
        <v>66</v>
      </c>
      <c r="J16" s="636">
        <v>36</v>
      </c>
      <c r="K16" s="654">
        <v>6</v>
      </c>
      <c r="L16" s="672">
        <v>126</v>
      </c>
      <c r="M16" s="690">
        <v>120</v>
      </c>
      <c r="N16" s="708">
        <v>144</v>
      </c>
      <c r="O16" s="726">
        <v>388</v>
      </c>
      <c r="P16" s="744">
        <v>135</v>
      </c>
      <c r="Q16" s="762">
        <v>33</v>
      </c>
      <c r="R16" s="780">
        <v>36</v>
      </c>
      <c r="S16" s="798">
        <v>176</v>
      </c>
      <c r="T16" s="816">
        <v>11</v>
      </c>
      <c r="U16" s="834">
        <v>162</v>
      </c>
      <c r="V16" s="852">
        <v>426</v>
      </c>
      <c r="W16" s="870">
        <v>21</v>
      </c>
      <c r="X16" s="888">
        <v>429</v>
      </c>
      <c r="Y16" s="906">
        <v>334</v>
      </c>
      <c r="Z16" s="924">
        <v>220</v>
      </c>
      <c r="AA16" s="942">
        <v>285</v>
      </c>
      <c r="AB16" s="960">
        <v>129</v>
      </c>
      <c r="AC16" s="978">
        <v>20</v>
      </c>
      <c r="AD16" s="996">
        <v>147</v>
      </c>
      <c r="AE16" s="1014">
        <v>586</v>
      </c>
    </row>
    <row r="17" spans="1:31" x14ac:dyDescent="0.35">
      <c r="A17" s="9" t="s">
        <v>14</v>
      </c>
      <c r="B17" s="493">
        <v>155</v>
      </c>
      <c r="C17" s="511">
        <v>12</v>
      </c>
      <c r="D17" s="529">
        <v>0</v>
      </c>
      <c r="E17" s="547">
        <v>64</v>
      </c>
      <c r="F17" s="565">
        <v>29</v>
      </c>
      <c r="G17" s="583">
        <v>73</v>
      </c>
      <c r="H17" s="601">
        <v>5</v>
      </c>
      <c r="I17" s="619">
        <v>73</v>
      </c>
      <c r="J17" s="637">
        <v>12</v>
      </c>
      <c r="K17" s="655">
        <v>3</v>
      </c>
      <c r="L17" s="673">
        <v>13</v>
      </c>
      <c r="M17" s="691">
        <v>15</v>
      </c>
      <c r="N17" s="709">
        <v>11</v>
      </c>
      <c r="O17" s="727">
        <v>73</v>
      </c>
      <c r="P17" s="745">
        <v>50</v>
      </c>
      <c r="Q17" s="763">
        <v>9</v>
      </c>
      <c r="R17" s="781">
        <v>38</v>
      </c>
      <c r="S17" s="799">
        <v>79</v>
      </c>
      <c r="T17" s="817">
        <v>6</v>
      </c>
      <c r="U17" s="835">
        <v>20</v>
      </c>
      <c r="V17" s="853">
        <v>90</v>
      </c>
      <c r="W17" s="871">
        <v>0</v>
      </c>
      <c r="X17" s="889">
        <v>25</v>
      </c>
      <c r="Y17" s="907">
        <v>37</v>
      </c>
      <c r="Z17" s="925">
        <v>27</v>
      </c>
      <c r="AA17" s="943">
        <v>27</v>
      </c>
      <c r="AB17" s="961">
        <v>41</v>
      </c>
      <c r="AC17" s="979">
        <v>36</v>
      </c>
      <c r="AD17" s="997">
        <v>48</v>
      </c>
      <c r="AE17" s="1015">
        <v>98</v>
      </c>
    </row>
    <row r="18" spans="1:31" ht="16" thickBot="1" x14ac:dyDescent="0.4">
      <c r="A18" s="10" t="s">
        <v>15</v>
      </c>
      <c r="B18" s="494">
        <f t="shared" ref="B18:AE18" si="0">B8+B9+B10+B11+B12+B13+B14+B15+B16+B17</f>
        <v>570</v>
      </c>
      <c r="C18" s="512">
        <f t="shared" si="0"/>
        <v>24</v>
      </c>
      <c r="D18" s="530">
        <f t="shared" si="0"/>
        <v>7</v>
      </c>
      <c r="E18" s="548">
        <f t="shared" si="0"/>
        <v>124</v>
      </c>
      <c r="F18" s="566">
        <f t="shared" si="0"/>
        <v>402</v>
      </c>
      <c r="G18" s="584">
        <f t="shared" si="0"/>
        <v>367</v>
      </c>
      <c r="H18" s="602">
        <f t="shared" si="0"/>
        <v>21</v>
      </c>
      <c r="I18" s="620">
        <f t="shared" si="0"/>
        <v>139</v>
      </c>
      <c r="J18" s="638">
        <f t="shared" si="0"/>
        <v>48</v>
      </c>
      <c r="K18" s="656">
        <f t="shared" si="0"/>
        <v>9</v>
      </c>
      <c r="L18" s="674">
        <f t="shared" si="0"/>
        <v>139</v>
      </c>
      <c r="M18" s="692">
        <f t="shared" si="0"/>
        <v>135</v>
      </c>
      <c r="N18" s="710">
        <f t="shared" si="0"/>
        <v>155</v>
      </c>
      <c r="O18" s="728">
        <f t="shared" si="0"/>
        <v>461</v>
      </c>
      <c r="P18" s="746">
        <f t="shared" si="0"/>
        <v>185</v>
      </c>
      <c r="Q18" s="764">
        <f t="shared" si="0"/>
        <v>42</v>
      </c>
      <c r="R18" s="782">
        <f t="shared" si="0"/>
        <v>74</v>
      </c>
      <c r="S18" s="800">
        <f t="shared" si="0"/>
        <v>255</v>
      </c>
      <c r="T18" s="818">
        <f t="shared" si="0"/>
        <v>17</v>
      </c>
      <c r="U18" s="836">
        <f t="shared" si="0"/>
        <v>182</v>
      </c>
      <c r="V18" s="854">
        <f t="shared" si="0"/>
        <v>516</v>
      </c>
      <c r="W18" s="872">
        <f t="shared" si="0"/>
        <v>21</v>
      </c>
      <c r="X18" s="890">
        <f t="shared" si="0"/>
        <v>454</v>
      </c>
      <c r="Y18" s="908">
        <f t="shared" si="0"/>
        <v>371</v>
      </c>
      <c r="Z18" s="926">
        <f t="shared" si="0"/>
        <v>247</v>
      </c>
      <c r="AA18" s="944">
        <f t="shared" si="0"/>
        <v>312</v>
      </c>
      <c r="AB18" s="962">
        <f t="shared" si="0"/>
        <v>170</v>
      </c>
      <c r="AC18" s="980">
        <f t="shared" si="0"/>
        <v>56</v>
      </c>
      <c r="AD18" s="998">
        <f t="shared" si="0"/>
        <v>195</v>
      </c>
      <c r="AE18" s="1016">
        <f t="shared" si="0"/>
        <v>685</v>
      </c>
    </row>
  </sheetData>
  <pageMargins left="0.7" right="0.7" top="0.75" bottom="0.75" header="0.3" footer="0.3"/>
  <pageSetup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/>
  </sheetViews>
  <sheetFormatPr baseColWidth="10" defaultColWidth="8.6640625" defaultRowHeight="22" customHeight="1" x14ac:dyDescent="0.35"/>
  <cols>
    <col min="1" max="1" width="5.08203125" bestFit="1" customWidth="1"/>
    <col min="2" max="2" width="39.25" customWidth="1"/>
    <col min="3" max="3" width="100.58203125" customWidth="1"/>
  </cols>
  <sheetData>
    <row r="1" spans="1:3" ht="22" customHeight="1" x14ac:dyDescent="0.35">
      <c r="A1" s="6" t="s">
        <v>16</v>
      </c>
      <c r="B1" s="6" t="s">
        <v>17</v>
      </c>
      <c r="C1" s="6" t="s">
        <v>18</v>
      </c>
    </row>
    <row r="2" spans="1:3" ht="22" customHeight="1" x14ac:dyDescent="0.35">
      <c r="A2" s="11">
        <v>1001</v>
      </c>
      <c r="B2" s="11" t="s">
        <v>19</v>
      </c>
      <c r="C2" s="11" t="s">
        <v>20</v>
      </c>
    </row>
    <row r="3" spans="1:3" ht="22" customHeight="1" x14ac:dyDescent="0.35">
      <c r="A3" s="11">
        <v>1002</v>
      </c>
      <c r="B3" s="11" t="s">
        <v>19</v>
      </c>
      <c r="C3" s="11" t="s">
        <v>21</v>
      </c>
    </row>
    <row r="4" spans="1:3" ht="22" customHeight="1" x14ac:dyDescent="0.35">
      <c r="A4" s="11">
        <v>1004</v>
      </c>
      <c r="B4" s="11" t="s">
        <v>19</v>
      </c>
      <c r="C4" s="11" t="s">
        <v>22</v>
      </c>
    </row>
    <row r="5" spans="1:3" ht="22" customHeight="1" x14ac:dyDescent="0.35">
      <c r="A5" s="11">
        <v>1005</v>
      </c>
      <c r="B5" s="11" t="s">
        <v>19</v>
      </c>
      <c r="C5" s="11" t="s">
        <v>23</v>
      </c>
    </row>
    <row r="6" spans="1:3" ht="22" customHeight="1" x14ac:dyDescent="0.35">
      <c r="A6" s="11">
        <v>1006</v>
      </c>
      <c r="B6" s="11" t="s">
        <v>19</v>
      </c>
      <c r="C6" s="11" t="s">
        <v>24</v>
      </c>
    </row>
    <row r="7" spans="1:3" ht="22" customHeight="1" x14ac:dyDescent="0.35">
      <c r="A7" s="11">
        <v>1007</v>
      </c>
      <c r="B7" s="11" t="s">
        <v>19</v>
      </c>
      <c r="C7" s="11" t="s">
        <v>25</v>
      </c>
    </row>
    <row r="8" spans="1:3" ht="22" customHeight="1" x14ac:dyDescent="0.35">
      <c r="A8" s="11">
        <v>1017</v>
      </c>
      <c r="B8" s="11" t="s">
        <v>19</v>
      </c>
      <c r="C8" s="11" t="s">
        <v>26</v>
      </c>
    </row>
    <row r="9" spans="1:3" ht="22" customHeight="1" x14ac:dyDescent="0.35">
      <c r="A9" s="11">
        <v>1018</v>
      </c>
      <c r="B9" s="11" t="s">
        <v>19</v>
      </c>
      <c r="C9" s="11" t="s">
        <v>27</v>
      </c>
    </row>
    <row r="10" spans="1:3" ht="22" customHeight="1" x14ac:dyDescent="0.35">
      <c r="A10" s="11">
        <v>2003</v>
      </c>
      <c r="B10" s="11" t="s">
        <v>28</v>
      </c>
      <c r="C10" s="11" t="s">
        <v>29</v>
      </c>
    </row>
    <row r="11" spans="1:3" ht="22" customHeight="1" x14ac:dyDescent="0.35">
      <c r="A11" s="11">
        <v>2005</v>
      </c>
      <c r="B11" s="11" t="s">
        <v>28</v>
      </c>
      <c r="C11" s="11" t="s">
        <v>30</v>
      </c>
    </row>
    <row r="12" spans="1:3" ht="22" customHeight="1" x14ac:dyDescent="0.35">
      <c r="A12" s="11">
        <v>2008</v>
      </c>
      <c r="B12" s="11" t="s">
        <v>28</v>
      </c>
      <c r="C12" s="11" t="s">
        <v>31</v>
      </c>
    </row>
    <row r="13" spans="1:3" ht="22" customHeight="1" x14ac:dyDescent="0.35">
      <c r="A13" s="11">
        <v>2009</v>
      </c>
      <c r="B13" s="11" t="s">
        <v>28</v>
      </c>
      <c r="C13" s="11" t="s">
        <v>32</v>
      </c>
    </row>
    <row r="14" spans="1:3" ht="22" customHeight="1" x14ac:dyDescent="0.35">
      <c r="A14" s="11">
        <v>2011</v>
      </c>
      <c r="B14" s="11" t="s">
        <v>33</v>
      </c>
      <c r="C14" s="11" t="s">
        <v>34</v>
      </c>
    </row>
    <row r="15" spans="1:3" ht="22" customHeight="1" x14ac:dyDescent="0.35">
      <c r="A15" s="11">
        <v>2014</v>
      </c>
      <c r="B15" s="11" t="s">
        <v>28</v>
      </c>
      <c r="C15" s="11" t="s">
        <v>35</v>
      </c>
    </row>
    <row r="16" spans="1:3" ht="22" customHeight="1" x14ac:dyDescent="0.35">
      <c r="A16" s="11">
        <v>2016</v>
      </c>
      <c r="B16" s="11" t="s">
        <v>28</v>
      </c>
      <c r="C16" s="11" t="s">
        <v>36</v>
      </c>
    </row>
    <row r="17" spans="1:3" ht="22" customHeight="1" x14ac:dyDescent="0.35">
      <c r="A17" s="11">
        <v>2018</v>
      </c>
      <c r="B17" s="11" t="s">
        <v>33</v>
      </c>
      <c r="C17" s="11" t="s">
        <v>37</v>
      </c>
    </row>
    <row r="18" spans="1:3" ht="22" customHeight="1" x14ac:dyDescent="0.35">
      <c r="A18" s="11">
        <v>2022</v>
      </c>
      <c r="B18" s="11" t="s">
        <v>28</v>
      </c>
      <c r="C18" s="11" t="s">
        <v>38</v>
      </c>
    </row>
    <row r="19" spans="1:3" ht="22" customHeight="1" x14ac:dyDescent="0.35">
      <c r="A19" s="11">
        <v>2025</v>
      </c>
      <c r="B19" s="11" t="s">
        <v>33</v>
      </c>
      <c r="C19" s="11" t="s">
        <v>39</v>
      </c>
    </row>
    <row r="20" spans="1:3" ht="22" customHeight="1" x14ac:dyDescent="0.35">
      <c r="A20" s="11">
        <v>2032</v>
      </c>
      <c r="B20" s="11" t="s">
        <v>28</v>
      </c>
      <c r="C20" s="11" t="s">
        <v>40</v>
      </c>
    </row>
    <row r="21" spans="1:3" ht="22" customHeight="1" x14ac:dyDescent="0.35">
      <c r="A21" s="11">
        <v>2034</v>
      </c>
      <c r="B21" s="11" t="s">
        <v>28</v>
      </c>
      <c r="C21" s="11" t="s">
        <v>41</v>
      </c>
    </row>
    <row r="22" spans="1:3" ht="22" customHeight="1" x14ac:dyDescent="0.35">
      <c r="A22" s="11">
        <v>2037</v>
      </c>
      <c r="B22" s="11" t="s">
        <v>33</v>
      </c>
      <c r="C22" s="11" t="s">
        <v>42</v>
      </c>
    </row>
    <row r="23" spans="1:3" ht="22" customHeight="1" x14ac:dyDescent="0.35">
      <c r="A23" s="11">
        <v>4010</v>
      </c>
      <c r="B23" s="11" t="s">
        <v>43</v>
      </c>
      <c r="C23" s="11" t="s">
        <v>44</v>
      </c>
    </row>
    <row r="24" spans="1:3" ht="22" customHeight="1" x14ac:dyDescent="0.35">
      <c r="A24" s="11">
        <v>4017</v>
      </c>
      <c r="B24" s="11" t="s">
        <v>43</v>
      </c>
      <c r="C24" s="11" t="s">
        <v>35</v>
      </c>
    </row>
    <row r="25" spans="1:3" ht="22" customHeight="1" x14ac:dyDescent="0.35">
      <c r="A25" s="11">
        <v>5006</v>
      </c>
      <c r="B25" s="11" t="s">
        <v>45</v>
      </c>
      <c r="C25" s="11" t="s">
        <v>46</v>
      </c>
    </row>
    <row r="26" spans="1:3" ht="22" customHeight="1" x14ac:dyDescent="0.35">
      <c r="A26" s="11">
        <v>5007</v>
      </c>
      <c r="B26" s="11" t="s">
        <v>45</v>
      </c>
      <c r="C26" s="11" t="s">
        <v>47</v>
      </c>
    </row>
    <row r="27" spans="1:3" ht="22" customHeight="1" x14ac:dyDescent="0.35">
      <c r="A27" s="11">
        <v>5011</v>
      </c>
      <c r="B27" s="11" t="s">
        <v>45</v>
      </c>
      <c r="C27" s="1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Ariel Epelman</cp:lastModifiedBy>
  <dcterms:created xsi:type="dcterms:W3CDTF">2014-04-20T08:25:13Z</dcterms:created>
  <dcterms:modified xsi:type="dcterms:W3CDTF">2019-09-26T19:52:07Z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