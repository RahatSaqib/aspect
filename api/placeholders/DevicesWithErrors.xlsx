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yectos\systemoneid\aspect\api\placeholders\"/>
    </mc:Choice>
  </mc:AlternateContent>
  <bookViews>
    <workbookView xWindow="0" yWindow="0" windowWidth="19200" windowHeight="6470" tabRatio="815"/>
  </bookViews>
  <sheets>
    <sheet name="Errors by Device" sheetId="1" r:id="rId1"/>
    <sheet name="Error Codes by Device" sheetId="2" r:id="rId2"/>
    <sheet name="Error Codes" sheetId="3" r:id="rId3"/>
  </sheets>
  <calcPr calcId="162913" fullPrecision="0" calcOnSave="0" concurrentCalc="0"/>
</workbook>
</file>

<file path=xl/calcChain.xml><?xml version="1.0" encoding="utf-8"?>
<calcChain xmlns="http://schemas.openxmlformats.org/spreadsheetml/2006/main">
  <c r="K29" i="1" l="1"/>
  <c r="K27" i="1"/>
  <c r="K26" i="1"/>
  <c r="K25" i="1"/>
  <c r="K24" i="1"/>
  <c r="K23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B18" i="2"/>
  <c r="N18" i="2"/>
  <c r="M18" i="2"/>
  <c r="L18" i="2"/>
  <c r="K18" i="2"/>
  <c r="J18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<sst xmlns="http://schemas.openxmlformats.org/spreadsheetml/2006/main" count="197" uniqueCount="90">
  <si>
    <t>MTB-</t>
  </si>
  <si>
    <t>MTB+ Rif-</t>
  </si>
  <si>
    <t>MTB+ Rif+</t>
  </si>
  <si>
    <t>Invalid</t>
  </si>
  <si>
    <t>Errors</t>
  </si>
  <si>
    <t>&lt;MtbNegative&gt;</t>
  </si>
  <si>
    <t>&lt;MtbPositiveRifNegative&gt;</t>
  </si>
  <si>
    <t>&lt;MtbPositiveRifIndeterminate&gt;</t>
  </si>
  <si>
    <t>&lt;MtbPositiveRifPositive&gt;</t>
  </si>
  <si>
    <t>Last Upload</t>
  </si>
  <si>
    <t>MTB+ Rif?</t>
  </si>
  <si>
    <t>Error Percentage</t>
  </si>
  <si>
    <t>Other Error</t>
  </si>
  <si>
    <t>Invalid Results</t>
  </si>
  <si>
    <t>Total errors, invalid results, no results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</si>
  <si>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</si>
  <si>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</si>
  <si>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</si>
  <si>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</si>
  <si>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</si>
  <si>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</si>
  <si>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</si>
  <si>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</si>
  <si>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</si>
  <si>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</si>
  <si>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</si>
  <si>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</si>
  <si>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</si>
  <si>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</si>
  <si>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</si>
  <si>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</si>
  <si>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</si>
  <si>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</si>
  <si>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</si>
  <si>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</si>
  <si>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</si>
  <si>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</si>
  <si>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</si>
  <si>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</si>
  <si>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</si>
  <si>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</si>
  <si>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</si>
  <si>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</si>
  <si>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</si>
  <si>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</si>
  <si>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</si>
  <si>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</si>
  <si>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</si>
  <si>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Errors by Device</t>
  </si>
  <si>
    <t>Error Codes by Device</t>
  </si>
  <si>
    <t>Type of error</t>
  </si>
  <si>
    <t>Total Tests Run During Period</t>
  </si>
  <si>
    <t>Serial</t>
  </si>
  <si>
    <t>Date Range: -</t>
  </si>
  <si>
    <t>Subtotal for devices not assigned to a state</t>
  </si>
  <si>
    <t>Total</t>
  </si>
  <si>
    <t>Dates: -</t>
  </si>
  <si>
    <t>Wooster MicroLab</t>
  </si>
  <si>
    <t>DevSerial-263</t>
  </si>
  <si>
    <t>Wooster Hospital</t>
  </si>
  <si>
    <t>DevSerial-989</t>
  </si>
  <si>
    <t>systemonetest</t>
  </si>
  <si>
    <t>WINDOWS-7-VM</t>
  </si>
  <si>
    <t>Stefan Troubles</t>
  </si>
  <si>
    <t>Tranquilo</t>
  </si>
  <si>
    <t>Shelburne Falls MicroLab</t>
  </si>
  <si>
    <t>DevSerial-262</t>
  </si>
  <si>
    <t>Pittsburgh MicroLab</t>
  </si>
  <si>
    <t>DevSerial-267</t>
  </si>
  <si>
    <t>Philadelphia MicroLab</t>
  </si>
  <si>
    <t>DevSerial-264</t>
  </si>
  <si>
    <t>OH Central MicroLab</t>
  </si>
  <si>
    <t>DevSerial-993</t>
  </si>
  <si>
    <t>Northampton MicroLab</t>
  </si>
  <si>
    <t>DevSerial-261</t>
  </si>
  <si>
    <t>Cleveland MicroLab</t>
  </si>
  <si>
    <t>DevSerial-265</t>
  </si>
  <si>
    <t>Boston Micro Lab</t>
  </si>
  <si>
    <t>DevSerial-260</t>
  </si>
  <si>
    <t>Atlanta MicroLab</t>
  </si>
  <si>
    <t>DevSerial-268</t>
  </si>
  <si>
    <t>Akron MicroLab</t>
  </si>
  <si>
    <t>DevSerial-266</t>
  </si>
  <si>
    <t>States: Georgia, Massachusetts, Ohio, Pennsylvania</t>
  </si>
  <si>
    <t>County: , Allegheny County, Cuyahoga County, Fulton County, Hampshire County, Philadelphia County, Suffolk County, Summit County, Wayne County</t>
  </si>
  <si>
    <t>Subtotal for Georgia</t>
  </si>
  <si>
    <t>Subtotal for Massachusetts</t>
  </si>
  <si>
    <t>Subtotal for Ohio</t>
  </si>
  <si>
    <t>Subtotal for Pennsylvania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</si>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</sst>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22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9" xfId="0" applyBorder="1"/>
    <xf numFmtId="164" fontId="0" fillId="0" borderId="3" xfId="0" applyNumberFormat="1" applyBorder="1"/>
    <xf numFmtId="0" fontId="0" fillId="0" borderId="3" xfId="0" applyBorder="1"/>
    <xf numFmtId="9" fontId="0" fillId="0" borderId="3" xfId="0" applyNumberFormat="1" applyFont="1" applyBorder="1"/>
    <xf numFmtId="0" fontId="5" fillId="2" borderId="7" xfId="0" applyFont="1" applyFill="1" applyBorder="1"/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/>
  </sheetViews>
  <sheetFormatPr baseColWidth="10" defaultColWidth="11" defaultRowHeight="15.5" x14ac:dyDescent="0.35"/>
  <cols>
    <col min="1" max="1" width="27.08203125" customWidth="1"/>
    <col min="2" max="2" width="15.25" customWidth="1"/>
    <col min="3" max="3" width="19.08203125" customWidth="1"/>
    <col min="4" max="4" width="14.83203125" customWidth="1"/>
    <col min="5" max="7" width="0" hidden="1" customWidth="1"/>
    <col min="8" max="8" width="3" hidden="1" customWidth="1"/>
    <col min="9" max="9" width="11" customWidth="1"/>
    <col min="11" max="11" width="17" customWidth="1"/>
  </cols>
  <sheetData>
    <row r="1" spans="1:11" ht="21" x14ac:dyDescent="0.5">
      <c r="A1" s="217" t="s">
        <v>48</v>
      </c>
      <c r="B1" s="217"/>
      <c r="C1" s="216"/>
      <c r="D1" s="216"/>
      <c r="E1" s="216"/>
      <c r="F1" s="216"/>
      <c r="G1" s="216"/>
      <c r="H1" s="216"/>
      <c r="I1" s="216"/>
      <c r="J1" s="216"/>
      <c r="K1" s="216"/>
    </row>
    <row r="2" spans="1:11" x14ac:dyDescent="0.35">
      <c r="A2" s="216" t="s">
        <v>53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</row>
    <row r="3" spans="1:11" x14ac:dyDescent="0.35">
      <c r="A3" s="216" t="s">
        <v>83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</row>
    <row r="4" spans="1:11" x14ac:dyDescent="0.35">
      <c r="A4" s="216" t="s">
        <v>84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</row>
    <row r="5" spans="1:11" x14ac:dyDescent="0.35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</row>
    <row r="6" spans="1:11" ht="16" thickBot="1" x14ac:dyDescent="0.4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</row>
    <row r="7" spans="1:11" ht="30" customHeight="1" thickBot="1" x14ac:dyDescent="0.4">
      <c r="A7" s="223" t="s">
        <v>89</v>
      </c>
      <c r="B7" s="223" t="s">
        <v>52</v>
      </c>
      <c r="C7" s="223" t="s">
        <v>9</v>
      </c>
      <c r="D7" s="223" t="s">
        <v>51</v>
      </c>
      <c r="E7" s="223" t="s">
        <v>0</v>
      </c>
      <c r="F7" s="223" t="s">
        <v>1</v>
      </c>
      <c r="G7" s="223" t="s">
        <v>2</v>
      </c>
      <c r="H7" s="223" t="s">
        <v>10</v>
      </c>
      <c r="I7" s="223" t="s">
        <v>3</v>
      </c>
      <c r="J7" s="223" t="s">
        <v>4</v>
      </c>
      <c r="K7" s="223" t="s">
        <v>11</v>
      </c>
    </row>
    <row r="8" spans="1:11" x14ac:dyDescent="0.35">
      <c r="A8" s="218" t="s">
        <v>57</v>
      </c>
      <c r="B8" s="219" t="s">
        <v>58</v>
      </c>
      <c r="C8" s="220">
        <v>43290.256388888898</v>
      </c>
      <c r="D8" s="221">
        <v>2653</v>
      </c>
      <c r="E8" s="221" t="s">
        <v>5</v>
      </c>
      <c r="F8" s="221" t="s">
        <v>6</v>
      </c>
      <c r="G8" s="221" t="s">
        <v>8</v>
      </c>
      <c r="H8" s="221" t="s">
        <v>7</v>
      </c>
      <c r="I8" s="221">
        <v>13</v>
      </c>
      <c r="J8" s="221">
        <v>64</v>
      </c>
      <c r="K8" s="222">
        <f t="shared" ref="K8:K20" si="0">IF(D8=0,0,(J8)/D8)</f>
        <v>0.02</v>
      </c>
    </row>
    <row r="9" spans="1:11" x14ac:dyDescent="0.35">
      <c r="A9" s="218" t="s">
        <v>59</v>
      </c>
      <c r="B9" s="219" t="s">
        <v>60</v>
      </c>
      <c r="C9" s="220">
        <v>43291.477210648103</v>
      </c>
      <c r="D9" s="221">
        <v>44</v>
      </c>
      <c r="E9" s="221" t="s">
        <v>5</v>
      </c>
      <c r="F9" s="221" t="s">
        <v>6</v>
      </c>
      <c r="G9" s="221" t="s">
        <v>8</v>
      </c>
      <c r="H9" s="221" t="s">
        <v>7</v>
      </c>
      <c r="I9" s="221">
        <v>0</v>
      </c>
      <c r="J9" s="221">
        <v>0</v>
      </c>
      <c r="K9" s="222">
        <f t="shared" si="0"/>
        <v>0</v>
      </c>
    </row>
    <row r="10" spans="1:11" x14ac:dyDescent="0.35">
      <c r="A10" s="218" t="s">
        <v>61</v>
      </c>
      <c r="B10" s="219" t="s">
        <v>62</v>
      </c>
      <c r="C10" s="220">
        <v>43696.675752314797</v>
      </c>
      <c r="D10" s="221">
        <v>8</v>
      </c>
      <c r="E10" s="221" t="s">
        <v>5</v>
      </c>
      <c r="F10" s="221" t="s">
        <v>6</v>
      </c>
      <c r="G10" s="221" t="s">
        <v>8</v>
      </c>
      <c r="H10" s="221" t="s">
        <v>7</v>
      </c>
      <c r="I10" s="221">
        <v>0</v>
      </c>
      <c r="J10" s="221">
        <v>0</v>
      </c>
      <c r="K10" s="222">
        <f t="shared" si="0"/>
        <v>0</v>
      </c>
    </row>
    <row r="11" spans="1:11" x14ac:dyDescent="0.35">
      <c r="A11" s="218" t="s">
        <v>63</v>
      </c>
      <c r="B11" s="219" t="s">
        <v>64</v>
      </c>
      <c r="C11" s="220">
        <v>43376.754537036999</v>
      </c>
      <c r="D11" s="221">
        <v>63</v>
      </c>
      <c r="E11" s="221" t="s">
        <v>5</v>
      </c>
      <c r="F11" s="221" t="s">
        <v>6</v>
      </c>
      <c r="G11" s="221" t="s">
        <v>8</v>
      </c>
      <c r="H11" s="221" t="s">
        <v>7</v>
      </c>
      <c r="I11" s="221">
        <v>1</v>
      </c>
      <c r="J11" s="221">
        <v>1</v>
      </c>
      <c r="K11" s="222">
        <f t="shared" si="0"/>
        <v>0.02</v>
      </c>
    </row>
    <row r="12" spans="1:11" x14ac:dyDescent="0.35">
      <c r="A12" s="218" t="s">
        <v>65</v>
      </c>
      <c r="B12" s="219" t="s">
        <v>66</v>
      </c>
      <c r="C12" s="220">
        <v>43290.563379629602</v>
      </c>
      <c r="D12" s="221">
        <v>3983</v>
      </c>
      <c r="E12" s="221" t="s">
        <v>5</v>
      </c>
      <c r="F12" s="221" t="s">
        <v>6</v>
      </c>
      <c r="G12" s="221" t="s">
        <v>8</v>
      </c>
      <c r="H12" s="221" t="s">
        <v>7</v>
      </c>
      <c r="I12" s="221">
        <v>87</v>
      </c>
      <c r="J12" s="221">
        <v>192</v>
      </c>
      <c r="K12" s="222">
        <f t="shared" si="0"/>
        <v>0.05</v>
      </c>
    </row>
    <row r="13" spans="1:11" x14ac:dyDescent="0.35">
      <c r="A13" s="218" t="s">
        <v>67</v>
      </c>
      <c r="B13" s="219" t="s">
        <v>68</v>
      </c>
      <c r="C13" s="220">
        <v>43287.538900462998</v>
      </c>
      <c r="D13" s="221">
        <v>24</v>
      </c>
      <c r="E13" s="221" t="s">
        <v>5</v>
      </c>
      <c r="F13" s="221" t="s">
        <v>6</v>
      </c>
      <c r="G13" s="221" t="s">
        <v>8</v>
      </c>
      <c r="H13" s="221" t="s">
        <v>7</v>
      </c>
      <c r="I13" s="221">
        <v>0</v>
      </c>
      <c r="J13" s="221">
        <v>1</v>
      </c>
      <c r="K13" s="222">
        <f t="shared" si="0"/>
        <v>0.04</v>
      </c>
    </row>
    <row r="14" spans="1:11" x14ac:dyDescent="0.35">
      <c r="A14" s="218" t="s">
        <v>69</v>
      </c>
      <c r="B14" s="219" t="s">
        <v>70</v>
      </c>
      <c r="C14" s="220">
        <v>43290.4698726852</v>
      </c>
      <c r="D14" s="221">
        <v>2331</v>
      </c>
      <c r="E14" s="221" t="s">
        <v>5</v>
      </c>
      <c r="F14" s="221" t="s">
        <v>6</v>
      </c>
      <c r="G14" s="221" t="s">
        <v>8</v>
      </c>
      <c r="H14" s="221" t="s">
        <v>7</v>
      </c>
      <c r="I14" s="221">
        <v>38</v>
      </c>
      <c r="J14" s="221">
        <v>177</v>
      </c>
      <c r="K14" s="222">
        <f t="shared" si="0"/>
        <v>0.08</v>
      </c>
    </row>
    <row r="15" spans="1:11" x14ac:dyDescent="0.35">
      <c r="A15" s="218" t="s">
        <v>71</v>
      </c>
      <c r="B15" s="219" t="s">
        <v>72</v>
      </c>
      <c r="C15" s="220">
        <v>43276.418298611097</v>
      </c>
      <c r="D15" s="221">
        <v>272</v>
      </c>
      <c r="E15" s="221" t="s">
        <v>5</v>
      </c>
      <c r="F15" s="221" t="s">
        <v>6</v>
      </c>
      <c r="G15" s="221" t="s">
        <v>8</v>
      </c>
      <c r="H15" s="221" t="s">
        <v>7</v>
      </c>
      <c r="I15" s="221">
        <v>3</v>
      </c>
      <c r="J15" s="221">
        <v>29</v>
      </c>
      <c r="K15" s="222">
        <f t="shared" si="0"/>
        <v>0.11</v>
      </c>
    </row>
    <row r="16" spans="1:11" x14ac:dyDescent="0.35">
      <c r="A16" s="218" t="s">
        <v>73</v>
      </c>
      <c r="B16" s="219" t="s">
        <v>74</v>
      </c>
      <c r="C16" s="220">
        <v>43290.545868055597</v>
      </c>
      <c r="D16" s="221">
        <v>2949</v>
      </c>
      <c r="E16" s="221" t="s">
        <v>5</v>
      </c>
      <c r="F16" s="221" t="s">
        <v>6</v>
      </c>
      <c r="G16" s="221" t="s">
        <v>8</v>
      </c>
      <c r="H16" s="221" t="s">
        <v>7</v>
      </c>
      <c r="I16" s="221">
        <v>28</v>
      </c>
      <c r="J16" s="221">
        <v>184</v>
      </c>
      <c r="K16" s="222">
        <f t="shared" si="0"/>
        <v>0.06</v>
      </c>
    </row>
    <row r="17" spans="1:11" x14ac:dyDescent="0.35">
      <c r="A17" s="218" t="s">
        <v>75</v>
      </c>
      <c r="B17" s="219" t="s">
        <v>76</v>
      </c>
      <c r="C17" s="220">
        <v>43287.570289351803</v>
      </c>
      <c r="D17" s="221">
        <v>4</v>
      </c>
      <c r="E17" s="221" t="s">
        <v>5</v>
      </c>
      <c r="F17" s="221" t="s">
        <v>6</v>
      </c>
      <c r="G17" s="221" t="s">
        <v>8</v>
      </c>
      <c r="H17" s="221" t="s">
        <v>7</v>
      </c>
      <c r="I17" s="221">
        <v>0</v>
      </c>
      <c r="J17" s="221">
        <v>0</v>
      </c>
      <c r="K17" s="222">
        <f t="shared" si="0"/>
        <v>0</v>
      </c>
    </row>
    <row r="18" spans="1:11" x14ac:dyDescent="0.35">
      <c r="A18" s="218" t="s">
        <v>77</v>
      </c>
      <c r="B18" s="219" t="s">
        <v>78</v>
      </c>
      <c r="C18" s="220">
        <v>43289.361250000002</v>
      </c>
      <c r="D18" s="221">
        <v>6669</v>
      </c>
      <c r="E18" s="221" t="s">
        <v>5</v>
      </c>
      <c r="F18" s="221" t="s">
        <v>6</v>
      </c>
      <c r="G18" s="221" t="s">
        <v>8</v>
      </c>
      <c r="H18" s="221" t="s">
        <v>7</v>
      </c>
      <c r="I18" s="221">
        <v>76</v>
      </c>
      <c r="J18" s="221">
        <v>295</v>
      </c>
      <c r="K18" s="222">
        <f t="shared" si="0"/>
        <v>0.04</v>
      </c>
    </row>
    <row r="19" spans="1:11" x14ac:dyDescent="0.35">
      <c r="A19" s="218" t="s">
        <v>79</v>
      </c>
      <c r="B19" s="219" t="s">
        <v>80</v>
      </c>
      <c r="C19" s="220">
        <v>43288.357418981497</v>
      </c>
      <c r="D19" s="221">
        <v>4</v>
      </c>
      <c r="E19" s="221" t="s">
        <v>5</v>
      </c>
      <c r="F19" s="221" t="s">
        <v>6</v>
      </c>
      <c r="G19" s="221" t="s">
        <v>8</v>
      </c>
      <c r="H19" s="221" t="s">
        <v>7</v>
      </c>
      <c r="I19" s="221">
        <v>0</v>
      </c>
      <c r="J19" s="221">
        <v>0</v>
      </c>
      <c r="K19" s="222">
        <f t="shared" si="0"/>
        <v>0</v>
      </c>
    </row>
    <row r="20" spans="1:11" x14ac:dyDescent="0.35">
      <c r="A20" s="218" t="s">
        <v>81</v>
      </c>
      <c r="B20" s="219" t="s">
        <v>82</v>
      </c>
      <c r="C20" s="220">
        <v>43290.381157407399</v>
      </c>
      <c r="D20" s="221">
        <v>45</v>
      </c>
      <c r="E20" s="221" t="s">
        <v>5</v>
      </c>
      <c r="F20" s="221" t="s">
        <v>6</v>
      </c>
      <c r="G20" s="221" t="s">
        <v>8</v>
      </c>
      <c r="H20" s="221" t="s">
        <v>7</v>
      </c>
      <c r="I20" s="221">
        <v>0</v>
      </c>
      <c r="J20" s="221">
        <v>2</v>
      </c>
      <c r="K20" s="222">
        <f t="shared" si="0"/>
        <v>0.04</v>
      </c>
    </row>
    <row r="21" spans="1:11" x14ac:dyDescent="0.35">
      <c r="A21" s="218"/>
      <c r="B21" s="219"/>
      <c r="C21" s="220"/>
      <c r="D21" s="221"/>
      <c r="E21" s="221"/>
      <c r="F21" s="221"/>
      <c r="G21" s="221"/>
      <c r="H21" s="221"/>
      <c r="I21" s="221"/>
      <c r="J21" s="221"/>
      <c r="K21" s="222"/>
    </row>
    <row r="22" spans="1:11" x14ac:dyDescent="0.35">
      <c r="A22" s="218"/>
      <c r="B22" s="219"/>
      <c r="C22" s="220"/>
      <c r="D22" s="221"/>
      <c r="E22" s="221"/>
      <c r="F22" s="221"/>
      <c r="G22" s="221"/>
      <c r="H22" s="221"/>
      <c r="I22" s="221"/>
      <c r="J22" s="221"/>
      <c r="K22" s="222"/>
    </row>
    <row r="23" spans="1:11" x14ac:dyDescent="0.35">
      <c r="A23" s="218" t="s">
        <v>54</v>
      </c>
      <c r="B23" s="219"/>
      <c r="C23" s="220"/>
      <c r="D23" s="221">
        <v>71</v>
      </c>
      <c r="E23" s="221" t="s">
        <v>5</v>
      </c>
      <c r="F23" s="221" t="s">
        <v>6</v>
      </c>
      <c r="G23" s="221" t="s">
        <v>8</v>
      </c>
      <c r="H23" s="221" t="s">
        <v>7</v>
      </c>
      <c r="I23" s="221">
        <v>1</v>
      </c>
      <c r="J23" s="221">
        <v>1</v>
      </c>
      <c r="K23" s="222">
        <f>IF(D23=0,0,(J23)/D23)</f>
        <v>0.01</v>
      </c>
    </row>
    <row r="24" spans="1:11" x14ac:dyDescent="0.35">
      <c r="A24" s="218" t="s">
        <v>85</v>
      </c>
      <c r="B24" s="219"/>
      <c r="C24" s="220"/>
      <c r="D24" s="221">
        <v>4</v>
      </c>
      <c r="E24" s="221" t="s">
        <v>5</v>
      </c>
      <c r="F24" s="221" t="s">
        <v>6</v>
      </c>
      <c r="G24" s="221" t="s">
        <v>8</v>
      </c>
      <c r="H24" s="221" t="s">
        <v>7</v>
      </c>
      <c r="I24" s="221">
        <v>0</v>
      </c>
      <c r="J24" s="221">
        <v>0</v>
      </c>
      <c r="K24" s="222">
        <f>IF(D24=0,0,(J24)/D24)</f>
        <v>0</v>
      </c>
    </row>
    <row r="25" spans="1:11" x14ac:dyDescent="0.35">
      <c r="A25" s="218" t="s">
        <v>86</v>
      </c>
      <c r="B25" s="219"/>
      <c r="C25" s="220"/>
      <c r="D25" s="221">
        <v>13873</v>
      </c>
      <c r="E25" s="221" t="s">
        <v>5</v>
      </c>
      <c r="F25" s="221" t="s">
        <v>6</v>
      </c>
      <c r="G25" s="221" t="s">
        <v>8</v>
      </c>
      <c r="H25" s="221" t="s">
        <v>7</v>
      </c>
      <c r="I25" s="221">
        <v>194</v>
      </c>
      <c r="J25" s="221">
        <v>700</v>
      </c>
      <c r="K25" s="222">
        <f>IF(D25=0,0,(J25)/D25)</f>
        <v>0.05</v>
      </c>
    </row>
    <row r="26" spans="1:11" x14ac:dyDescent="0.35">
      <c r="A26" s="218" t="s">
        <v>87</v>
      </c>
      <c r="B26" s="219"/>
      <c r="C26" s="220"/>
      <c r="D26" s="221">
        <v>2746</v>
      </c>
      <c r="E26" s="221" t="s">
        <v>5</v>
      </c>
      <c r="F26" s="221" t="s">
        <v>6</v>
      </c>
      <c r="G26" s="221" t="s">
        <v>8</v>
      </c>
      <c r="H26" s="221" t="s">
        <v>7</v>
      </c>
      <c r="I26" s="221">
        <v>13</v>
      </c>
      <c r="J26" s="221">
        <v>66</v>
      </c>
      <c r="K26" s="222">
        <f>IF(D26=0,0,(J26)/D26)</f>
        <v>0.02</v>
      </c>
    </row>
    <row r="27" spans="1:11" x14ac:dyDescent="0.35">
      <c r="A27" s="218" t="s">
        <v>88</v>
      </c>
      <c r="B27" s="219"/>
      <c r="C27" s="220"/>
      <c r="D27" s="221">
        <v>2355</v>
      </c>
      <c r="E27" s="221" t="s">
        <v>5</v>
      </c>
      <c r="F27" s="221" t="s">
        <v>6</v>
      </c>
      <c r="G27" s="221" t="s">
        <v>8</v>
      </c>
      <c r="H27" s="221" t="s">
        <v>7</v>
      </c>
      <c r="I27" s="221">
        <v>38</v>
      </c>
      <c r="J27" s="221">
        <v>178</v>
      </c>
      <c r="K27" s="222">
        <f>IF(D27=0,0,(J27)/D27)</f>
        <v>0.08</v>
      </c>
    </row>
    <row r="28" spans="1:11" x14ac:dyDescent="0.35">
      <c r="A28" s="218"/>
      <c r="B28" s="219"/>
      <c r="C28" s="220"/>
      <c r="D28" s="221"/>
      <c r="E28" s="221"/>
      <c r="F28" s="221"/>
      <c r="G28" s="221"/>
      <c r="H28" s="221"/>
      <c r="I28" s="221"/>
      <c r="J28" s="221"/>
      <c r="K28" s="222"/>
    </row>
    <row r="29" spans="1:11" x14ac:dyDescent="0.35">
      <c r="A29" s="218" t="s">
        <v>55</v>
      </c>
      <c r="B29" s="219"/>
      <c r="C29" s="220"/>
      <c r="D29" s="221">
        <v>19049</v>
      </c>
      <c r="E29" s="221" t="s">
        <v>5</v>
      </c>
      <c r="F29" s="221" t="s">
        <v>6</v>
      </c>
      <c r="G29" s="221" t="s">
        <v>8</v>
      </c>
      <c r="H29" s="221" t="s">
        <v>7</v>
      </c>
      <c r="I29" s="221">
        <v>246</v>
      </c>
      <c r="J29" s="221">
        <v>945</v>
      </c>
      <c r="K29" s="222">
        <f>IF(D29=0,0,(J29)/D29)</f>
        <v>0.05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N8" sqref="N8"/>
    </sheetView>
  </sheetViews>
  <sheetFormatPr baseColWidth="10" defaultColWidth="8.6640625" defaultRowHeight="15.5" x14ac:dyDescent="0.35"/>
  <cols>
    <col min="1" max="1" width="40.83203125" customWidth="1"/>
    <col min="2" max="2" width="28.5" customWidth="1"/>
    <col min="3" max="14" width="28.5" customWidth="1" collapsed="1"/>
  </cols>
  <sheetData>
    <row r="1" spans="1:14" ht="21" x14ac:dyDescent="0.5">
      <c r="A1" s="1" t="s">
        <v>49</v>
      </c>
      <c r="B1" s="8"/>
      <c r="C1" s="24"/>
      <c r="D1" s="40"/>
      <c r="E1" s="56"/>
      <c r="F1" s="72"/>
      <c r="G1" s="88"/>
      <c r="H1" s="104"/>
      <c r="I1" s="120"/>
      <c r="J1" s="136"/>
      <c r="K1" s="152"/>
      <c r="L1" s="168"/>
      <c r="M1" s="184"/>
      <c r="N1" s="200"/>
    </row>
    <row r="2" spans="1:14" x14ac:dyDescent="0.35">
      <c r="A2" t="s">
        <v>56</v>
      </c>
      <c r="B2" s="9"/>
      <c r="C2" s="25"/>
      <c r="D2" s="41"/>
      <c r="E2" s="57"/>
      <c r="F2" s="73"/>
      <c r="G2" s="89"/>
      <c r="H2" s="105"/>
      <c r="I2" s="121"/>
      <c r="J2" s="137"/>
      <c r="K2" s="153"/>
      <c r="L2" s="169"/>
      <c r="M2" s="185"/>
      <c r="N2" s="201"/>
    </row>
    <row r="3" spans="1:14" x14ac:dyDescent="0.35">
      <c r="B3" s="10"/>
      <c r="C3" s="26"/>
      <c r="D3" s="42"/>
      <c r="E3" s="58"/>
      <c r="F3" s="74"/>
      <c r="G3" s="90"/>
      <c r="H3" s="106"/>
      <c r="I3" s="122"/>
      <c r="J3" s="138"/>
      <c r="K3" s="154"/>
      <c r="L3" s="170"/>
      <c r="M3" s="186"/>
      <c r="N3" s="202"/>
    </row>
    <row r="4" spans="1:14" x14ac:dyDescent="0.35">
      <c r="B4" s="11"/>
      <c r="C4" s="27"/>
      <c r="D4" s="43"/>
      <c r="E4" s="59"/>
      <c r="F4" s="75"/>
      <c r="G4" s="91"/>
      <c r="H4" s="107"/>
      <c r="I4" s="123"/>
      <c r="J4" s="139"/>
      <c r="K4" s="155"/>
      <c r="L4" s="171"/>
      <c r="M4" s="187"/>
      <c r="N4" s="203"/>
    </row>
    <row r="6" spans="1:14" ht="16" thickBot="1" x14ac:dyDescent="0.4">
      <c r="B6" s="12"/>
      <c r="C6" s="28"/>
      <c r="D6" s="44"/>
      <c r="E6" s="60"/>
      <c r="F6" s="76"/>
      <c r="G6" s="92"/>
      <c r="H6" s="108"/>
      <c r="I6" s="124"/>
      <c r="J6" s="140"/>
      <c r="K6" s="156"/>
      <c r="L6" s="172"/>
      <c r="M6" s="188"/>
      <c r="N6" s="204"/>
    </row>
    <row r="7" spans="1:14" ht="16" thickBot="1" x14ac:dyDescent="0.4">
      <c r="A7" s="7" t="s">
        <v>50</v>
      </c>
      <c r="B7" s="7" t="s">
        <v>57</v>
      </c>
      <c r="C7" s="7" t="s">
        <v>59</v>
      </c>
      <c r="D7" s="7" t="s">
        <v>61</v>
      </c>
      <c r="E7" s="7" t="s">
        <v>63</v>
      </c>
      <c r="F7" s="7" t="s">
        <v>65</v>
      </c>
      <c r="G7" s="7" t="s">
        <v>67</v>
      </c>
      <c r="H7" s="7" t="s">
        <v>69</v>
      </c>
      <c r="I7" s="7" t="s">
        <v>71</v>
      </c>
      <c r="J7" s="7" t="s">
        <v>73</v>
      </c>
      <c r="K7" s="7" t="s">
        <v>75</v>
      </c>
      <c r="L7" s="7" t="s">
        <v>77</v>
      </c>
      <c r="M7" s="7" t="s">
        <v>79</v>
      </c>
      <c r="N7" s="7" t="s">
        <v>81</v>
      </c>
    </row>
    <row r="8" spans="1:14" x14ac:dyDescent="0.35">
      <c r="A8" s="3">
        <v>5011</v>
      </c>
      <c r="B8" s="13">
        <v>38</v>
      </c>
      <c r="C8" s="29">
        <v>0</v>
      </c>
      <c r="D8" s="45">
        <v>0</v>
      </c>
      <c r="E8" s="61">
        <v>0</v>
      </c>
      <c r="F8" s="77">
        <v>0</v>
      </c>
      <c r="G8" s="93">
        <v>0</v>
      </c>
      <c r="H8" s="109">
        <v>0</v>
      </c>
      <c r="I8" s="125">
        <v>0</v>
      </c>
      <c r="J8" s="141">
        <v>0</v>
      </c>
      <c r="K8" s="157">
        <v>0</v>
      </c>
      <c r="L8" s="173">
        <v>0</v>
      </c>
      <c r="M8" s="189">
        <v>0</v>
      </c>
      <c r="N8" s="205">
        <v>0</v>
      </c>
    </row>
    <row r="9" spans="1:14" x14ac:dyDescent="0.35">
      <c r="A9" s="4">
        <v>5007</v>
      </c>
      <c r="B9" s="14">
        <v>271</v>
      </c>
      <c r="C9" s="30">
        <v>1</v>
      </c>
      <c r="D9" s="46">
        <v>0</v>
      </c>
      <c r="E9" s="62">
        <v>0</v>
      </c>
      <c r="F9" s="78">
        <v>0</v>
      </c>
      <c r="G9" s="94">
        <v>0</v>
      </c>
      <c r="H9" s="110">
        <v>0</v>
      </c>
      <c r="I9" s="126">
        <v>0</v>
      </c>
      <c r="J9" s="142">
        <v>0</v>
      </c>
      <c r="K9" s="158">
        <v>0</v>
      </c>
      <c r="L9" s="174">
        <v>0</v>
      </c>
      <c r="M9" s="190">
        <v>0</v>
      </c>
      <c r="N9" s="206">
        <v>0</v>
      </c>
    </row>
    <row r="10" spans="1:14" x14ac:dyDescent="0.35">
      <c r="A10" s="4">
        <v>5006</v>
      </c>
      <c r="B10" s="15">
        <v>66</v>
      </c>
      <c r="C10" s="31">
        <v>1</v>
      </c>
      <c r="D10" s="47">
        <v>0</v>
      </c>
      <c r="E10" s="63">
        <v>0</v>
      </c>
      <c r="F10" s="79">
        <v>0</v>
      </c>
      <c r="G10" s="95">
        <v>0</v>
      </c>
      <c r="H10" s="111">
        <v>0</v>
      </c>
      <c r="I10" s="127">
        <v>0</v>
      </c>
      <c r="J10" s="143">
        <v>0</v>
      </c>
      <c r="K10" s="159">
        <v>0</v>
      </c>
      <c r="L10" s="175">
        <v>0</v>
      </c>
      <c r="M10" s="191">
        <v>0</v>
      </c>
      <c r="N10" s="207">
        <v>0</v>
      </c>
    </row>
    <row r="11" spans="1:14" x14ac:dyDescent="0.35">
      <c r="A11" s="4">
        <v>2008</v>
      </c>
      <c r="B11" s="16">
        <v>0</v>
      </c>
      <c r="C11" s="32">
        <v>0</v>
      </c>
      <c r="D11" s="48">
        <v>0</v>
      </c>
      <c r="E11" s="64">
        <v>0</v>
      </c>
      <c r="F11" s="80">
        <v>0</v>
      </c>
      <c r="G11" s="96">
        <v>0</v>
      </c>
      <c r="H11" s="112">
        <v>0</v>
      </c>
      <c r="I11" s="128">
        <v>0</v>
      </c>
      <c r="J11" s="144">
        <v>0</v>
      </c>
      <c r="K11" s="160">
        <v>0</v>
      </c>
      <c r="L11" s="176">
        <v>0</v>
      </c>
      <c r="M11" s="192">
        <v>0</v>
      </c>
      <c r="N11" s="208">
        <v>0</v>
      </c>
    </row>
    <row r="12" spans="1:14" x14ac:dyDescent="0.35">
      <c r="A12" s="4">
        <v>2005</v>
      </c>
      <c r="B12" s="17">
        <v>0</v>
      </c>
      <c r="C12" s="33">
        <v>0</v>
      </c>
      <c r="D12" s="49">
        <v>0</v>
      </c>
      <c r="E12" s="65">
        <v>0</v>
      </c>
      <c r="F12" s="81">
        <v>0</v>
      </c>
      <c r="G12" s="97">
        <v>0</v>
      </c>
      <c r="H12" s="113">
        <v>0</v>
      </c>
      <c r="I12" s="129">
        <v>0</v>
      </c>
      <c r="J12" s="145">
        <v>0</v>
      </c>
      <c r="K12" s="161">
        <v>0</v>
      </c>
      <c r="L12" s="177">
        <v>0</v>
      </c>
      <c r="M12" s="193">
        <v>0</v>
      </c>
      <c r="N12" s="209">
        <v>0</v>
      </c>
    </row>
    <row r="13" spans="1:14" x14ac:dyDescent="0.35">
      <c r="A13" s="4">
        <v>2037</v>
      </c>
      <c r="B13" s="18">
        <v>0</v>
      </c>
      <c r="C13" s="34">
        <v>0</v>
      </c>
      <c r="D13" s="50">
        <v>0</v>
      </c>
      <c r="E13" s="66">
        <v>0</v>
      </c>
      <c r="F13" s="82">
        <v>0</v>
      </c>
      <c r="G13" s="98">
        <v>0</v>
      </c>
      <c r="H13" s="114">
        <v>0</v>
      </c>
      <c r="I13" s="130">
        <v>0</v>
      </c>
      <c r="J13" s="146">
        <v>0</v>
      </c>
      <c r="K13" s="162">
        <v>0</v>
      </c>
      <c r="L13" s="178">
        <v>0</v>
      </c>
      <c r="M13" s="194">
        <v>0</v>
      </c>
      <c r="N13" s="210">
        <v>0</v>
      </c>
    </row>
    <row r="14" spans="1:14" x14ac:dyDescent="0.35">
      <c r="A14" s="4">
        <v>2025</v>
      </c>
      <c r="B14" s="19">
        <v>0</v>
      </c>
      <c r="C14" s="35">
        <v>0</v>
      </c>
      <c r="D14" s="51">
        <v>0</v>
      </c>
      <c r="E14" s="67">
        <v>0</v>
      </c>
      <c r="F14" s="83">
        <v>0</v>
      </c>
      <c r="G14" s="99">
        <v>0</v>
      </c>
      <c r="H14" s="115">
        <v>0</v>
      </c>
      <c r="I14" s="131">
        <v>0</v>
      </c>
      <c r="J14" s="147">
        <v>0</v>
      </c>
      <c r="K14" s="163">
        <v>0</v>
      </c>
      <c r="L14" s="179">
        <v>0</v>
      </c>
      <c r="M14" s="195">
        <v>0</v>
      </c>
      <c r="N14" s="211">
        <v>0</v>
      </c>
    </row>
    <row r="15" spans="1:14" x14ac:dyDescent="0.35">
      <c r="A15" s="4">
        <v>2022</v>
      </c>
      <c r="B15" s="20">
        <v>0</v>
      </c>
      <c r="C15" s="36">
        <v>0</v>
      </c>
      <c r="D15" s="52">
        <v>0</v>
      </c>
      <c r="E15" s="68">
        <v>0</v>
      </c>
      <c r="F15" s="84">
        <v>0</v>
      </c>
      <c r="G15" s="100">
        <v>0</v>
      </c>
      <c r="H15" s="116">
        <v>0</v>
      </c>
      <c r="I15" s="132">
        <v>0</v>
      </c>
      <c r="J15" s="148">
        <v>0</v>
      </c>
      <c r="K15" s="164">
        <v>0</v>
      </c>
      <c r="L15" s="180">
        <v>0</v>
      </c>
      <c r="M15" s="196">
        <v>0</v>
      </c>
      <c r="N15" s="212">
        <v>0</v>
      </c>
    </row>
    <row r="16" spans="1:14" x14ac:dyDescent="0.35">
      <c r="A16" s="4" t="s">
        <v>12</v>
      </c>
      <c r="B16" s="21">
        <v>40</v>
      </c>
      <c r="C16" s="37">
        <v>10</v>
      </c>
      <c r="D16" s="53">
        <v>7</v>
      </c>
      <c r="E16" s="69">
        <v>60</v>
      </c>
      <c r="F16" s="85">
        <v>373</v>
      </c>
      <c r="G16" s="101">
        <v>294</v>
      </c>
      <c r="H16" s="117">
        <v>16</v>
      </c>
      <c r="I16" s="133">
        <v>66</v>
      </c>
      <c r="J16" s="149">
        <v>36</v>
      </c>
      <c r="K16" s="165">
        <v>6</v>
      </c>
      <c r="L16" s="181">
        <v>126</v>
      </c>
      <c r="M16" s="197">
        <v>120</v>
      </c>
      <c r="N16" s="213">
        <v>144</v>
      </c>
    </row>
    <row r="17" spans="1:14" x14ac:dyDescent="0.35">
      <c r="A17" s="4" t="s">
        <v>13</v>
      </c>
      <c r="B17" s="22">
        <v>155</v>
      </c>
      <c r="C17" s="38">
        <v>12</v>
      </c>
      <c r="D17" s="54">
        <v>0</v>
      </c>
      <c r="E17" s="70">
        <v>64</v>
      </c>
      <c r="F17" s="86">
        <v>29</v>
      </c>
      <c r="G17" s="102">
        <v>73</v>
      </c>
      <c r="H17" s="118">
        <v>5</v>
      </c>
      <c r="I17" s="134">
        <v>73</v>
      </c>
      <c r="J17" s="150">
        <v>12</v>
      </c>
      <c r="K17" s="166">
        <v>3</v>
      </c>
      <c r="L17" s="182">
        <v>13</v>
      </c>
      <c r="M17" s="198">
        <v>15</v>
      </c>
      <c r="N17" s="214">
        <v>11</v>
      </c>
    </row>
    <row r="18" spans="1:14" ht="16" thickBot="1" x14ac:dyDescent="0.4">
      <c r="A18" s="5" t="s">
        <v>14</v>
      </c>
      <c r="B18" s="23">
        <f t="shared" ref="B18:N18" si="0">B8+B9+B10+B11+B12+B13+B14+B15+B16+B17</f>
        <v>570</v>
      </c>
      <c r="C18" s="39">
        <f t="shared" si="0"/>
        <v>24</v>
      </c>
      <c r="D18" s="55">
        <f t="shared" si="0"/>
        <v>7</v>
      </c>
      <c r="E18" s="71">
        <f t="shared" si="0"/>
        <v>124</v>
      </c>
      <c r="F18" s="87">
        <f t="shared" si="0"/>
        <v>402</v>
      </c>
      <c r="G18" s="103">
        <f t="shared" si="0"/>
        <v>367</v>
      </c>
      <c r="H18" s="119">
        <f t="shared" si="0"/>
        <v>21</v>
      </c>
      <c r="I18" s="135">
        <f t="shared" si="0"/>
        <v>139</v>
      </c>
      <c r="J18" s="151">
        <f t="shared" si="0"/>
        <v>48</v>
      </c>
      <c r="K18" s="167">
        <f t="shared" si="0"/>
        <v>9</v>
      </c>
      <c r="L18" s="183">
        <f t="shared" si="0"/>
        <v>139</v>
      </c>
      <c r="M18" s="199">
        <f t="shared" si="0"/>
        <v>135</v>
      </c>
      <c r="N18" s="215">
        <f t="shared" si="0"/>
        <v>155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baseColWidth="10" defaultColWidth="8.6640625" defaultRowHeight="22" customHeight="1" x14ac:dyDescent="0.35"/>
  <cols>
    <col min="1" max="1" width="5.08203125" bestFit="1" customWidth="1"/>
    <col min="2" max="2" width="39.25" customWidth="1"/>
    <col min="3" max="3" width="100.58203125" customWidth="1"/>
  </cols>
  <sheetData>
    <row r="1" spans="1:3" ht="22" customHeight="1" x14ac:dyDescent="0.35">
      <c r="A1" s="2" t="s">
        <v>15</v>
      </c>
      <c r="B1" s="2" t="s">
        <v>16</v>
      </c>
      <c r="C1" s="2" t="s">
        <v>17</v>
      </c>
    </row>
    <row r="2" spans="1:3" ht="22" customHeight="1" x14ac:dyDescent="0.35">
      <c r="A2" s="6">
        <v>1001</v>
      </c>
      <c r="B2" s="6" t="s">
        <v>18</v>
      </c>
      <c r="C2" s="6" t="s">
        <v>19</v>
      </c>
    </row>
    <row r="3" spans="1:3" ht="22" customHeight="1" x14ac:dyDescent="0.35">
      <c r="A3" s="6">
        <v>1002</v>
      </c>
      <c r="B3" s="6" t="s">
        <v>18</v>
      </c>
      <c r="C3" s="6" t="s">
        <v>20</v>
      </c>
    </row>
    <row r="4" spans="1:3" ht="22" customHeight="1" x14ac:dyDescent="0.35">
      <c r="A4" s="6">
        <v>1004</v>
      </c>
      <c r="B4" s="6" t="s">
        <v>18</v>
      </c>
      <c r="C4" s="6" t="s">
        <v>21</v>
      </c>
    </row>
    <row r="5" spans="1:3" ht="22" customHeight="1" x14ac:dyDescent="0.35">
      <c r="A5" s="6">
        <v>1005</v>
      </c>
      <c r="B5" s="6" t="s">
        <v>18</v>
      </c>
      <c r="C5" s="6" t="s">
        <v>22</v>
      </c>
    </row>
    <row r="6" spans="1:3" ht="22" customHeight="1" x14ac:dyDescent="0.35">
      <c r="A6" s="6">
        <v>1006</v>
      </c>
      <c r="B6" s="6" t="s">
        <v>18</v>
      </c>
      <c r="C6" s="6" t="s">
        <v>23</v>
      </c>
    </row>
    <row r="7" spans="1:3" ht="22" customHeight="1" x14ac:dyDescent="0.35">
      <c r="A7" s="6">
        <v>1007</v>
      </c>
      <c r="B7" s="6" t="s">
        <v>18</v>
      </c>
      <c r="C7" s="6" t="s">
        <v>24</v>
      </c>
    </row>
    <row r="8" spans="1:3" ht="22" customHeight="1" x14ac:dyDescent="0.35">
      <c r="A8" s="6">
        <v>1017</v>
      </c>
      <c r="B8" s="6" t="s">
        <v>18</v>
      </c>
      <c r="C8" s="6" t="s">
        <v>25</v>
      </c>
    </row>
    <row r="9" spans="1:3" ht="22" customHeight="1" x14ac:dyDescent="0.35">
      <c r="A9" s="6">
        <v>1018</v>
      </c>
      <c r="B9" s="6" t="s">
        <v>18</v>
      </c>
      <c r="C9" s="6" t="s">
        <v>26</v>
      </c>
    </row>
    <row r="10" spans="1:3" ht="22" customHeight="1" x14ac:dyDescent="0.35">
      <c r="A10" s="6">
        <v>2003</v>
      </c>
      <c r="B10" s="6" t="s">
        <v>27</v>
      </c>
      <c r="C10" s="6" t="s">
        <v>28</v>
      </c>
    </row>
    <row r="11" spans="1:3" ht="22" customHeight="1" x14ac:dyDescent="0.35">
      <c r="A11" s="6">
        <v>2005</v>
      </c>
      <c r="B11" s="6" t="s">
        <v>27</v>
      </c>
      <c r="C11" s="6" t="s">
        <v>29</v>
      </c>
    </row>
    <row r="12" spans="1:3" ht="22" customHeight="1" x14ac:dyDescent="0.35">
      <c r="A12" s="6">
        <v>2008</v>
      </c>
      <c r="B12" s="6" t="s">
        <v>27</v>
      </c>
      <c r="C12" s="6" t="s">
        <v>30</v>
      </c>
    </row>
    <row r="13" spans="1:3" ht="22" customHeight="1" x14ac:dyDescent="0.35">
      <c r="A13" s="6">
        <v>2009</v>
      </c>
      <c r="B13" s="6" t="s">
        <v>27</v>
      </c>
      <c r="C13" s="6" t="s">
        <v>31</v>
      </c>
    </row>
    <row r="14" spans="1:3" ht="22" customHeight="1" x14ac:dyDescent="0.35">
      <c r="A14" s="6">
        <v>2011</v>
      </c>
      <c r="B14" s="6" t="s">
        <v>32</v>
      </c>
      <c r="C14" s="6" t="s">
        <v>33</v>
      </c>
    </row>
    <row r="15" spans="1:3" ht="22" customHeight="1" x14ac:dyDescent="0.35">
      <c r="A15" s="6">
        <v>2014</v>
      </c>
      <c r="B15" s="6" t="s">
        <v>27</v>
      </c>
      <c r="C15" s="6" t="s">
        <v>34</v>
      </c>
    </row>
    <row r="16" spans="1:3" ht="22" customHeight="1" x14ac:dyDescent="0.35">
      <c r="A16" s="6">
        <v>2016</v>
      </c>
      <c r="B16" s="6" t="s">
        <v>27</v>
      </c>
      <c r="C16" s="6" t="s">
        <v>35</v>
      </c>
    </row>
    <row r="17" spans="1:3" ht="22" customHeight="1" x14ac:dyDescent="0.35">
      <c r="A17" s="6">
        <v>2018</v>
      </c>
      <c r="B17" s="6" t="s">
        <v>32</v>
      </c>
      <c r="C17" s="6" t="s">
        <v>36</v>
      </c>
    </row>
    <row r="18" spans="1:3" ht="22" customHeight="1" x14ac:dyDescent="0.35">
      <c r="A18" s="6">
        <v>2022</v>
      </c>
      <c r="B18" s="6" t="s">
        <v>27</v>
      </c>
      <c r="C18" s="6" t="s">
        <v>37</v>
      </c>
    </row>
    <row r="19" spans="1:3" ht="22" customHeight="1" x14ac:dyDescent="0.35">
      <c r="A19" s="6">
        <v>2025</v>
      </c>
      <c r="B19" s="6" t="s">
        <v>32</v>
      </c>
      <c r="C19" s="6" t="s">
        <v>38</v>
      </c>
    </row>
    <row r="20" spans="1:3" ht="22" customHeight="1" x14ac:dyDescent="0.35">
      <c r="A20" s="6">
        <v>2032</v>
      </c>
      <c r="B20" s="6" t="s">
        <v>27</v>
      </c>
      <c r="C20" s="6" t="s">
        <v>39</v>
      </c>
    </row>
    <row r="21" spans="1:3" ht="22" customHeight="1" x14ac:dyDescent="0.35">
      <c r="A21" s="6">
        <v>2034</v>
      </c>
      <c r="B21" s="6" t="s">
        <v>27</v>
      </c>
      <c r="C21" s="6" t="s">
        <v>40</v>
      </c>
    </row>
    <row r="22" spans="1:3" ht="22" customHeight="1" x14ac:dyDescent="0.35">
      <c r="A22" s="6">
        <v>2037</v>
      </c>
      <c r="B22" s="6" t="s">
        <v>32</v>
      </c>
      <c r="C22" s="6" t="s">
        <v>41</v>
      </c>
    </row>
    <row r="23" spans="1:3" ht="22" customHeight="1" x14ac:dyDescent="0.35">
      <c r="A23" s="6">
        <v>4010</v>
      </c>
      <c r="B23" s="6" t="s">
        <v>42</v>
      </c>
      <c r="C23" s="6" t="s">
        <v>43</v>
      </c>
    </row>
    <row r="24" spans="1:3" ht="22" customHeight="1" x14ac:dyDescent="0.35">
      <c r="A24" s="6">
        <v>4017</v>
      </c>
      <c r="B24" s="6" t="s">
        <v>42</v>
      </c>
      <c r="C24" s="6" t="s">
        <v>34</v>
      </c>
    </row>
    <row r="25" spans="1:3" ht="22" customHeight="1" x14ac:dyDescent="0.35">
      <c r="A25" s="6">
        <v>5006</v>
      </c>
      <c r="B25" s="6" t="s">
        <v>44</v>
      </c>
      <c r="C25" s="6" t="s">
        <v>45</v>
      </c>
    </row>
    <row r="26" spans="1:3" ht="22" customHeight="1" x14ac:dyDescent="0.35">
      <c r="A26" s="6">
        <v>5007</v>
      </c>
      <c r="B26" s="6" t="s">
        <v>44</v>
      </c>
      <c r="C26" s="6" t="s">
        <v>46</v>
      </c>
    </row>
    <row r="27" spans="1:3" ht="22" customHeight="1" x14ac:dyDescent="0.35">
      <c r="A27" s="6">
        <v>5011</v>
      </c>
      <c r="B27" s="6" t="s">
        <v>44</v>
      </c>
      <c r="C27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Errors by Device</vt:lpstr>
      <vt:lpstr>Error Codes by Device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2019-10-01T19:36:15Z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